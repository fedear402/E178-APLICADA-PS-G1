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55e916249d8decc/Documents/UDESA/08/APLICADA/TUTORIALES/E178-APLICADA-PS-G1/rodri/"/>
    </mc:Choice>
  </mc:AlternateContent>
  <xr:revisionPtr revIDLastSave="84" documentId="8_{0705516E-27AF-5E42-8F75-9D5E853D7D63}" xr6:coauthVersionLast="47" xr6:coauthVersionMax="47" xr10:uidLastSave="{8CC5E0DC-4E42-7149-A2BA-D93B473802AA}"/>
  <bookViews>
    <workbookView xWindow="2900" yWindow="880" windowWidth="23260" windowHeight="16800" xr2:uid="{3B9F2DF1-82F4-4353-B6A7-3AC52D7941E9}"/>
  </bookViews>
  <sheets>
    <sheet name="Hoja1" sheetId="1" r:id="rId1"/>
    <sheet name="Sheet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1002" i="1"/>
  <c r="K1003" i="1"/>
  <c r="K1004" i="1"/>
  <c r="K1005" i="1"/>
  <c r="K1006" i="1"/>
  <c r="K1007" i="1"/>
  <c r="K1008" i="1"/>
  <c r="K1009" i="1"/>
  <c r="K1010" i="1"/>
  <c r="K1011" i="1"/>
  <c r="K1012" i="1"/>
  <c r="K1013" i="1"/>
  <c r="K1014" i="1"/>
  <c r="K1015" i="1"/>
  <c r="K1016" i="1"/>
  <c r="K1017" i="1"/>
  <c r="K1018" i="1"/>
  <c r="K1019" i="1"/>
  <c r="K1020" i="1"/>
  <c r="K1021" i="1"/>
  <c r="K1022" i="1"/>
  <c r="K1023" i="1"/>
  <c r="K1024" i="1"/>
  <c r="K1025" i="1"/>
  <c r="K1026" i="1"/>
  <c r="K1027" i="1"/>
  <c r="K1028" i="1"/>
  <c r="K1029" i="1"/>
  <c r="K1030" i="1"/>
  <c r="K1031" i="1"/>
  <c r="K1032" i="1"/>
  <c r="K1033" i="1"/>
  <c r="K1034" i="1"/>
  <c r="K1035" i="1"/>
  <c r="K1036" i="1"/>
  <c r="K1037" i="1"/>
  <c r="K1038" i="1"/>
  <c r="K1039" i="1"/>
  <c r="K1040" i="1"/>
  <c r="K1041" i="1"/>
  <c r="K1042" i="1"/>
  <c r="K1043" i="1"/>
  <c r="K1044" i="1"/>
  <c r="K1045" i="1"/>
  <c r="K1046" i="1"/>
  <c r="K1047" i="1"/>
  <c r="K1048" i="1"/>
  <c r="K1049" i="1"/>
  <c r="K1050" i="1"/>
  <c r="K1051" i="1"/>
  <c r="K1052" i="1"/>
  <c r="K1053" i="1"/>
  <c r="K1054" i="1"/>
  <c r="K1055" i="1"/>
  <c r="K1056" i="1"/>
  <c r="K1057" i="1"/>
  <c r="K1058" i="1"/>
  <c r="K1059" i="1"/>
  <c r="K1060" i="1"/>
  <c r="K1061" i="1"/>
  <c r="K1062" i="1"/>
  <c r="K1063" i="1"/>
  <c r="K1064" i="1"/>
  <c r="K1065" i="1"/>
  <c r="K1066" i="1"/>
  <c r="K1067" i="1"/>
  <c r="K1068" i="1"/>
  <c r="K1069" i="1"/>
  <c r="K1070" i="1"/>
  <c r="K1071" i="1"/>
  <c r="K1072" i="1"/>
  <c r="K1073" i="1"/>
  <c r="K1074" i="1"/>
  <c r="K1075" i="1"/>
  <c r="K1076" i="1"/>
  <c r="K1077" i="1"/>
  <c r="K1078" i="1"/>
  <c r="K1079" i="1"/>
  <c r="K1080" i="1"/>
  <c r="K1081" i="1"/>
  <c r="K1082" i="1"/>
  <c r="K1083" i="1"/>
  <c r="K1084" i="1"/>
  <c r="K1085" i="1"/>
  <c r="K1086" i="1"/>
  <c r="K1087" i="1"/>
  <c r="K1088" i="1"/>
  <c r="K1089" i="1"/>
  <c r="K1090" i="1"/>
  <c r="K1091" i="1"/>
  <c r="K1092" i="1"/>
  <c r="K1093" i="1"/>
  <c r="K1094" i="1"/>
  <c r="K1095" i="1"/>
  <c r="K1096" i="1"/>
  <c r="K1097" i="1"/>
  <c r="K1098" i="1"/>
  <c r="K1099" i="1"/>
  <c r="K1100" i="1"/>
  <c r="K1101" i="1"/>
  <c r="K1102" i="1"/>
  <c r="K1103" i="1"/>
  <c r="K1104" i="1"/>
  <c r="K1105" i="1"/>
  <c r="K1106" i="1"/>
  <c r="K1107" i="1"/>
  <c r="K1108" i="1"/>
  <c r="K1109" i="1"/>
  <c r="K1110" i="1"/>
  <c r="K1111" i="1"/>
  <c r="K1112" i="1"/>
  <c r="K1113" i="1"/>
  <c r="K1114" i="1"/>
  <c r="K1115" i="1"/>
  <c r="K1116" i="1"/>
  <c r="K1117" i="1"/>
  <c r="K1118" i="1"/>
  <c r="K1119" i="1"/>
  <c r="K1120" i="1"/>
  <c r="K1121" i="1"/>
  <c r="K1122" i="1"/>
  <c r="K1123" i="1"/>
  <c r="K1124" i="1"/>
  <c r="K1125" i="1"/>
  <c r="K1126" i="1"/>
  <c r="K1127" i="1"/>
  <c r="K1128" i="1"/>
  <c r="K1129" i="1"/>
  <c r="K1130" i="1"/>
  <c r="K1131" i="1"/>
  <c r="K1132" i="1"/>
  <c r="K1133" i="1"/>
  <c r="K1134" i="1"/>
  <c r="K1135" i="1"/>
  <c r="K1136" i="1"/>
  <c r="K1137" i="1"/>
  <c r="K1138" i="1"/>
  <c r="K1139" i="1"/>
  <c r="K1140" i="1"/>
  <c r="K1141" i="1"/>
  <c r="K1142" i="1"/>
  <c r="K1143" i="1"/>
  <c r="K1144" i="1"/>
  <c r="K1145" i="1"/>
  <c r="K1146" i="1"/>
  <c r="K1147" i="1"/>
  <c r="K1148" i="1"/>
  <c r="K1149" i="1"/>
  <c r="K1150" i="1"/>
  <c r="K1151" i="1"/>
  <c r="K1152" i="1"/>
  <c r="K1153" i="1"/>
  <c r="K1154" i="1"/>
  <c r="K1155" i="1"/>
  <c r="K1156" i="1"/>
  <c r="K1157" i="1"/>
  <c r="K1158" i="1"/>
  <c r="K1159" i="1"/>
  <c r="K1160" i="1"/>
  <c r="K1161" i="1"/>
  <c r="K1162" i="1"/>
  <c r="K1163" i="1"/>
  <c r="K1164" i="1"/>
  <c r="K1165" i="1"/>
  <c r="K1166" i="1"/>
  <c r="K1167" i="1"/>
  <c r="K1168" i="1"/>
  <c r="K1169" i="1"/>
  <c r="K1170" i="1"/>
  <c r="K1171" i="1"/>
  <c r="K1172" i="1"/>
  <c r="K1173" i="1"/>
  <c r="K1174" i="1"/>
  <c r="K1175" i="1"/>
  <c r="K1176" i="1"/>
  <c r="K1177" i="1"/>
  <c r="K1178" i="1"/>
  <c r="K1179" i="1"/>
  <c r="K1180" i="1"/>
  <c r="K1181" i="1"/>
  <c r="K1182" i="1"/>
  <c r="K1183" i="1"/>
  <c r="K1184" i="1"/>
  <c r="K1185" i="1"/>
  <c r="K1186" i="1"/>
  <c r="K1187" i="1"/>
  <c r="K1188" i="1"/>
  <c r="K1189" i="1"/>
  <c r="K1190" i="1"/>
  <c r="K1191" i="1"/>
  <c r="K1192" i="1"/>
  <c r="K1193" i="1"/>
  <c r="K1194" i="1"/>
  <c r="K1195" i="1"/>
  <c r="K1196" i="1"/>
  <c r="K1197" i="1"/>
  <c r="K1198" i="1"/>
  <c r="K1199" i="1"/>
  <c r="K1200" i="1"/>
  <c r="K1201" i="1"/>
  <c r="K1202" i="1"/>
  <c r="K1203" i="1"/>
  <c r="K1204" i="1"/>
  <c r="K1205" i="1"/>
  <c r="K1206" i="1"/>
  <c r="K1207" i="1"/>
  <c r="K1208" i="1"/>
  <c r="K1209" i="1"/>
  <c r="K1210" i="1"/>
  <c r="K1211" i="1"/>
  <c r="K1212" i="1"/>
  <c r="K1213" i="1"/>
  <c r="K1214" i="1"/>
  <c r="K1215" i="1"/>
  <c r="K1216" i="1"/>
  <c r="K1217" i="1"/>
  <c r="K1218" i="1"/>
  <c r="K1219" i="1"/>
  <c r="K1220" i="1"/>
  <c r="K1221" i="1"/>
  <c r="K1222" i="1"/>
  <c r="K1223" i="1"/>
  <c r="K1224" i="1"/>
  <c r="K1225" i="1"/>
  <c r="K1226" i="1"/>
  <c r="K1227" i="1"/>
  <c r="K1228" i="1"/>
  <c r="K1229" i="1"/>
  <c r="K1230" i="1"/>
  <c r="K1231" i="1"/>
  <c r="K1232" i="1"/>
  <c r="K1233" i="1"/>
  <c r="K1234" i="1"/>
  <c r="K1235" i="1"/>
  <c r="K1236" i="1"/>
  <c r="K1237" i="1"/>
  <c r="K1238" i="1"/>
  <c r="K1239" i="1"/>
  <c r="K1240" i="1"/>
  <c r="K1241" i="1"/>
  <c r="K1242" i="1"/>
  <c r="K1243" i="1"/>
  <c r="K1244" i="1"/>
  <c r="K1245" i="1"/>
  <c r="K1246" i="1"/>
  <c r="K1247" i="1"/>
  <c r="K1248" i="1"/>
  <c r="K1249" i="1"/>
  <c r="K1250" i="1"/>
  <c r="K1251" i="1"/>
  <c r="K1252" i="1"/>
  <c r="K1253" i="1"/>
  <c r="K1254" i="1"/>
  <c r="K1255" i="1"/>
  <c r="K1256" i="1"/>
  <c r="K1257" i="1"/>
  <c r="K1258" i="1"/>
  <c r="K1259" i="1"/>
  <c r="K1260" i="1"/>
  <c r="K1261" i="1"/>
  <c r="K1262" i="1"/>
  <c r="K1263" i="1"/>
  <c r="K1264" i="1"/>
  <c r="K1265" i="1"/>
  <c r="K1266" i="1"/>
  <c r="K1267" i="1"/>
  <c r="K1268" i="1"/>
  <c r="K1269" i="1"/>
  <c r="K1270" i="1"/>
  <c r="K1271" i="1"/>
  <c r="K1272" i="1"/>
  <c r="K1273" i="1"/>
  <c r="K1274" i="1"/>
  <c r="K1275" i="1"/>
  <c r="K1276" i="1"/>
  <c r="K1277" i="1"/>
  <c r="K1278" i="1"/>
  <c r="K1279" i="1"/>
  <c r="K1280" i="1"/>
  <c r="K1281" i="1"/>
  <c r="K1282" i="1"/>
  <c r="K1283" i="1"/>
  <c r="K1284" i="1"/>
  <c r="K1285" i="1"/>
  <c r="K1286" i="1"/>
  <c r="K1287" i="1"/>
  <c r="K1288" i="1"/>
  <c r="K1289" i="1"/>
  <c r="K1290" i="1"/>
  <c r="K1291" i="1"/>
  <c r="K1292" i="1"/>
  <c r="K1293" i="1"/>
  <c r="K1294" i="1"/>
  <c r="K1295" i="1"/>
  <c r="K1296" i="1"/>
  <c r="K1297" i="1"/>
  <c r="K1298" i="1"/>
  <c r="K1299" i="1"/>
  <c r="K1300" i="1"/>
  <c r="K1301" i="1"/>
  <c r="K1302" i="1"/>
  <c r="K1303" i="1"/>
  <c r="K1304" i="1"/>
  <c r="K1305" i="1"/>
  <c r="K1306" i="1"/>
  <c r="K1307" i="1"/>
  <c r="K1308" i="1"/>
  <c r="K1309" i="1"/>
  <c r="K1310" i="1"/>
  <c r="K1311" i="1"/>
  <c r="K1312" i="1"/>
  <c r="K1313" i="1"/>
  <c r="K1314" i="1"/>
  <c r="K1315" i="1"/>
  <c r="K1316" i="1"/>
  <c r="K1317" i="1"/>
  <c r="K1318" i="1"/>
  <c r="K1319" i="1"/>
  <c r="K1320" i="1"/>
  <c r="K1321" i="1"/>
  <c r="K1322" i="1"/>
  <c r="K1323" i="1"/>
  <c r="K1324" i="1"/>
  <c r="K1325" i="1"/>
  <c r="K1326" i="1"/>
  <c r="K1327" i="1"/>
  <c r="K1328" i="1"/>
  <c r="K1329" i="1"/>
  <c r="K1330" i="1"/>
  <c r="K1331" i="1"/>
  <c r="K1332" i="1"/>
  <c r="K1333" i="1"/>
  <c r="K1334" i="1"/>
  <c r="K1335" i="1"/>
  <c r="K1336" i="1"/>
  <c r="K1337" i="1"/>
  <c r="K1338" i="1"/>
  <c r="K1339" i="1"/>
  <c r="K1340" i="1"/>
  <c r="K1341" i="1"/>
  <c r="K1342" i="1"/>
  <c r="K1343" i="1"/>
  <c r="K1344" i="1"/>
  <c r="K1345" i="1"/>
  <c r="K1346" i="1"/>
  <c r="K1347" i="1"/>
  <c r="K1348" i="1"/>
  <c r="K1349" i="1"/>
  <c r="K1350" i="1"/>
  <c r="K1351" i="1"/>
  <c r="K1352" i="1"/>
  <c r="K1353" i="1"/>
  <c r="K1354" i="1"/>
  <c r="K1355" i="1"/>
  <c r="K1356" i="1"/>
  <c r="K1357" i="1"/>
  <c r="K1358" i="1"/>
  <c r="K1359" i="1"/>
  <c r="K1360" i="1"/>
  <c r="K1361" i="1"/>
  <c r="K1362" i="1"/>
  <c r="K1363" i="1"/>
  <c r="K1364" i="1"/>
  <c r="K1365" i="1"/>
  <c r="K1366" i="1"/>
  <c r="K1367" i="1"/>
  <c r="K1368" i="1"/>
  <c r="K1369" i="1"/>
  <c r="K1370" i="1"/>
  <c r="K1371" i="1"/>
  <c r="K1372" i="1"/>
  <c r="K1373" i="1"/>
  <c r="K1374" i="1"/>
  <c r="K1375" i="1"/>
  <c r="K1376" i="1"/>
  <c r="K1377" i="1"/>
  <c r="K1378" i="1"/>
  <c r="K1379" i="1"/>
  <c r="K1380" i="1"/>
  <c r="K1381" i="1"/>
  <c r="K1382" i="1"/>
  <c r="K1383" i="1"/>
  <c r="K1384" i="1"/>
  <c r="K1385" i="1"/>
  <c r="K1386" i="1"/>
  <c r="K1387" i="1"/>
  <c r="K1388" i="1"/>
  <c r="K1389" i="1"/>
  <c r="K1390" i="1"/>
  <c r="K1391" i="1"/>
  <c r="K1392" i="1"/>
  <c r="K1393" i="1"/>
  <c r="K1394" i="1"/>
  <c r="K1395" i="1"/>
  <c r="K1396" i="1"/>
  <c r="K1397" i="1"/>
  <c r="K1398" i="1"/>
  <c r="K1399" i="1"/>
  <c r="K1400" i="1"/>
  <c r="K1401" i="1"/>
  <c r="K1402" i="1"/>
  <c r="K1403" i="1"/>
  <c r="K1404" i="1"/>
  <c r="K1405" i="1"/>
  <c r="K1406" i="1"/>
  <c r="K1407" i="1"/>
  <c r="K1408" i="1"/>
  <c r="K1409" i="1"/>
  <c r="K1410" i="1"/>
  <c r="K1411" i="1"/>
  <c r="K1412" i="1"/>
  <c r="K1413" i="1"/>
  <c r="K1414" i="1"/>
  <c r="K1415" i="1"/>
  <c r="K1416" i="1"/>
  <c r="K1417" i="1"/>
  <c r="K1418" i="1"/>
  <c r="K1419" i="1"/>
  <c r="K1420" i="1"/>
  <c r="K1421" i="1"/>
  <c r="K1422" i="1"/>
  <c r="K1423" i="1"/>
  <c r="K1424" i="1"/>
  <c r="K1425" i="1"/>
  <c r="K1426" i="1"/>
  <c r="K1427" i="1"/>
  <c r="K1428" i="1"/>
  <c r="K1429" i="1"/>
  <c r="K1430" i="1"/>
  <c r="K1431" i="1"/>
  <c r="K1432" i="1"/>
  <c r="K1433" i="1"/>
  <c r="K1434" i="1"/>
  <c r="K1435" i="1"/>
  <c r="K1436" i="1"/>
  <c r="K1437" i="1"/>
  <c r="K1438" i="1"/>
  <c r="K1439" i="1"/>
  <c r="K1440" i="1"/>
  <c r="K1441" i="1"/>
  <c r="K1442" i="1"/>
  <c r="K1443" i="1"/>
  <c r="K1444" i="1"/>
  <c r="K1445" i="1"/>
  <c r="K1446" i="1"/>
  <c r="K1447" i="1"/>
  <c r="K1448" i="1"/>
  <c r="K1449" i="1"/>
  <c r="K1450" i="1"/>
  <c r="K1451" i="1"/>
  <c r="K1452" i="1"/>
  <c r="K1453" i="1"/>
  <c r="K1454" i="1"/>
  <c r="K1455" i="1"/>
  <c r="K1456" i="1"/>
  <c r="K1457" i="1"/>
  <c r="K1458" i="1"/>
  <c r="K1459" i="1"/>
  <c r="K1460" i="1"/>
  <c r="K1461" i="1"/>
  <c r="K1462" i="1"/>
  <c r="K1463" i="1"/>
  <c r="K1464" i="1"/>
  <c r="K1465" i="1"/>
  <c r="K1466" i="1"/>
  <c r="K1467" i="1"/>
  <c r="K1468" i="1"/>
  <c r="K1469" i="1"/>
  <c r="K1470" i="1"/>
  <c r="K1471" i="1"/>
  <c r="K1472" i="1"/>
  <c r="K1473" i="1"/>
  <c r="K1474" i="1"/>
  <c r="K1475" i="1"/>
  <c r="K1476" i="1"/>
  <c r="K1477" i="1"/>
  <c r="K1478" i="1"/>
  <c r="K1479" i="1"/>
  <c r="K1480" i="1"/>
  <c r="K1481" i="1"/>
  <c r="K1482" i="1"/>
  <c r="K1483" i="1"/>
  <c r="K1484" i="1"/>
  <c r="K1485" i="1"/>
  <c r="K1486" i="1"/>
  <c r="K1487" i="1"/>
  <c r="K1488" i="1"/>
  <c r="K1489" i="1"/>
  <c r="K1490" i="1"/>
  <c r="K1491" i="1"/>
  <c r="K1492" i="1"/>
  <c r="K1493" i="1"/>
  <c r="K1494" i="1"/>
  <c r="K1495" i="1"/>
  <c r="K1496" i="1"/>
  <c r="K1497" i="1"/>
  <c r="K1498" i="1"/>
  <c r="K1499" i="1"/>
  <c r="K1500" i="1"/>
  <c r="K1501" i="1"/>
  <c r="K1502" i="1"/>
  <c r="K1503" i="1"/>
  <c r="K1504" i="1"/>
  <c r="K1505" i="1"/>
  <c r="K1506" i="1"/>
  <c r="K1507" i="1"/>
  <c r="K1508" i="1"/>
  <c r="K1509" i="1"/>
  <c r="K1510" i="1"/>
  <c r="K1511" i="1"/>
  <c r="K1512" i="1"/>
  <c r="K1513" i="1"/>
  <c r="K1514" i="1"/>
  <c r="K1515" i="1"/>
  <c r="K1516" i="1"/>
  <c r="K1517" i="1"/>
  <c r="K1518" i="1"/>
  <c r="K1519" i="1"/>
  <c r="K1520" i="1"/>
  <c r="K1521" i="1"/>
  <c r="K1522" i="1"/>
  <c r="K1523" i="1"/>
  <c r="K1524" i="1"/>
  <c r="K1525" i="1"/>
  <c r="K1526" i="1"/>
  <c r="K1527" i="1"/>
  <c r="K1528" i="1"/>
  <c r="K1529" i="1"/>
  <c r="K1530" i="1"/>
  <c r="K1531" i="1"/>
  <c r="K1532" i="1"/>
  <c r="K1533" i="1"/>
  <c r="K1534" i="1"/>
  <c r="K1535" i="1"/>
  <c r="K1536" i="1"/>
  <c r="K1537" i="1"/>
  <c r="K1538" i="1"/>
  <c r="K1539" i="1"/>
  <c r="K1540" i="1"/>
  <c r="K1541" i="1"/>
  <c r="K1542" i="1"/>
  <c r="K1543" i="1"/>
  <c r="K1544" i="1"/>
  <c r="K1545" i="1"/>
  <c r="K1546" i="1"/>
  <c r="K1547" i="1"/>
  <c r="K1548" i="1"/>
  <c r="K1549" i="1"/>
  <c r="K1550" i="1"/>
  <c r="K1551" i="1"/>
  <c r="K1552" i="1"/>
  <c r="K1553" i="1"/>
  <c r="K1554" i="1"/>
  <c r="K1555" i="1"/>
  <c r="K1556" i="1"/>
  <c r="K1557" i="1"/>
  <c r="K1558" i="1"/>
  <c r="K1559" i="1"/>
  <c r="K1560" i="1"/>
  <c r="K1561" i="1"/>
  <c r="K1562" i="1"/>
  <c r="K1563" i="1"/>
  <c r="K1564" i="1"/>
  <c r="K1565" i="1"/>
  <c r="K1566" i="1"/>
  <c r="K1567" i="1"/>
  <c r="K1568" i="1"/>
  <c r="K1569" i="1"/>
  <c r="K1570" i="1"/>
  <c r="K1571" i="1"/>
  <c r="K1572" i="1"/>
  <c r="K1573" i="1"/>
  <c r="K1574" i="1"/>
  <c r="K1575" i="1"/>
  <c r="K1576" i="1"/>
  <c r="K1577" i="1"/>
  <c r="K1578" i="1"/>
  <c r="K1579" i="1"/>
  <c r="K1580" i="1"/>
  <c r="K1581" i="1"/>
  <c r="K1582" i="1"/>
  <c r="K1583" i="1"/>
  <c r="K1584" i="1"/>
  <c r="K1585" i="1"/>
  <c r="K1586" i="1"/>
  <c r="K1587" i="1"/>
  <c r="K1588" i="1"/>
  <c r="K1589" i="1"/>
  <c r="K1590" i="1"/>
  <c r="K1591" i="1"/>
  <c r="K1592" i="1"/>
  <c r="K1593" i="1"/>
  <c r="K1594" i="1"/>
  <c r="K1595" i="1"/>
  <c r="K1596" i="1"/>
  <c r="K1597" i="1"/>
  <c r="K1598" i="1"/>
  <c r="K1599" i="1"/>
  <c r="K1600" i="1"/>
  <c r="K1601" i="1"/>
  <c r="K1602" i="1"/>
  <c r="K1603" i="1"/>
  <c r="K1604" i="1"/>
  <c r="K1605" i="1"/>
  <c r="K1606" i="1"/>
  <c r="K1607" i="1"/>
  <c r="K1608" i="1"/>
  <c r="K1609" i="1"/>
  <c r="K1610" i="1"/>
  <c r="K1611" i="1"/>
  <c r="K1612" i="1"/>
  <c r="K1613" i="1"/>
  <c r="K1614" i="1"/>
  <c r="K1615" i="1"/>
  <c r="K1616" i="1"/>
  <c r="K1617" i="1"/>
  <c r="K1618" i="1"/>
  <c r="K1619" i="1"/>
  <c r="K1620" i="1"/>
  <c r="K1621" i="1"/>
  <c r="K1622" i="1"/>
  <c r="K1623" i="1"/>
  <c r="K1624" i="1"/>
  <c r="K1625" i="1"/>
  <c r="K1626" i="1"/>
  <c r="K1627" i="1"/>
  <c r="K1628" i="1"/>
  <c r="K1629" i="1"/>
  <c r="K1630" i="1"/>
  <c r="K1631" i="1"/>
  <c r="K1632" i="1"/>
  <c r="K1633" i="1"/>
  <c r="K1634" i="1"/>
  <c r="K1635" i="1"/>
  <c r="K1636" i="1"/>
  <c r="K1637" i="1"/>
  <c r="K1638" i="1"/>
  <c r="K1639" i="1"/>
  <c r="K1640" i="1"/>
  <c r="K1641" i="1"/>
  <c r="K1642" i="1"/>
  <c r="K1643" i="1"/>
  <c r="K1644" i="1"/>
  <c r="K1645" i="1"/>
  <c r="K1646" i="1"/>
  <c r="K1647" i="1"/>
  <c r="K1648" i="1"/>
  <c r="K1649" i="1"/>
  <c r="K1650" i="1"/>
  <c r="K1651" i="1"/>
  <c r="K1652" i="1"/>
  <c r="K1653" i="1"/>
  <c r="K1654" i="1"/>
  <c r="K1655" i="1"/>
  <c r="K1656" i="1"/>
  <c r="K1657" i="1"/>
  <c r="K1658" i="1"/>
  <c r="K1659" i="1"/>
  <c r="K1660" i="1"/>
  <c r="K1661" i="1"/>
  <c r="K1662" i="1"/>
  <c r="K1663" i="1"/>
  <c r="K1664" i="1"/>
  <c r="K1665" i="1"/>
  <c r="K1666" i="1"/>
  <c r="K1667" i="1"/>
  <c r="K1668" i="1"/>
  <c r="K1669" i="1"/>
  <c r="K1670" i="1"/>
  <c r="K1671" i="1"/>
  <c r="K1672" i="1"/>
  <c r="K1673" i="1"/>
  <c r="K1674" i="1"/>
  <c r="K1675" i="1"/>
  <c r="K1676" i="1"/>
  <c r="K1677" i="1"/>
  <c r="K1678" i="1"/>
  <c r="K1679" i="1"/>
  <c r="K1680" i="1"/>
  <c r="K1681" i="1"/>
  <c r="K1682" i="1"/>
  <c r="K1683" i="1"/>
  <c r="K1684" i="1"/>
  <c r="K1685" i="1"/>
  <c r="K1686" i="1"/>
  <c r="K1687" i="1"/>
  <c r="K1688" i="1"/>
  <c r="K1689" i="1"/>
  <c r="K1690" i="1"/>
  <c r="K1691" i="1"/>
  <c r="K1692" i="1"/>
  <c r="K1693" i="1"/>
  <c r="K1694" i="1"/>
  <c r="K1695" i="1"/>
  <c r="K1696" i="1"/>
  <c r="K1697" i="1"/>
  <c r="K1698" i="1"/>
  <c r="K1699" i="1"/>
  <c r="K1700" i="1"/>
  <c r="K1701" i="1"/>
  <c r="K1702" i="1"/>
  <c r="K1703" i="1"/>
  <c r="K1704" i="1"/>
  <c r="K1705" i="1"/>
  <c r="K1706" i="1"/>
  <c r="K1707" i="1"/>
  <c r="K1708" i="1"/>
  <c r="K1709" i="1"/>
  <c r="K1710" i="1"/>
  <c r="K1711" i="1"/>
  <c r="K1712" i="1"/>
  <c r="K1713" i="1"/>
  <c r="K1714" i="1"/>
  <c r="K1715" i="1"/>
  <c r="K1716" i="1"/>
  <c r="K1717" i="1"/>
  <c r="K1718" i="1"/>
  <c r="K1719" i="1"/>
  <c r="K1720" i="1"/>
  <c r="K1721" i="1"/>
  <c r="K1722" i="1"/>
  <c r="K1723" i="1"/>
  <c r="K1724" i="1"/>
  <c r="K1725" i="1"/>
  <c r="K1726" i="1"/>
  <c r="K1727" i="1"/>
  <c r="K1728" i="1"/>
  <c r="K1729" i="1"/>
  <c r="K1730" i="1"/>
  <c r="K1731" i="1"/>
  <c r="K1732" i="1"/>
  <c r="K1733" i="1"/>
  <c r="K1734" i="1"/>
  <c r="K1735" i="1"/>
  <c r="K1736" i="1"/>
  <c r="K1737" i="1"/>
  <c r="K1738" i="1"/>
  <c r="K1739" i="1"/>
  <c r="K1740" i="1"/>
  <c r="K1741" i="1"/>
  <c r="K1742" i="1"/>
  <c r="K1743" i="1"/>
  <c r="K1744" i="1"/>
  <c r="K1745" i="1"/>
  <c r="K1746" i="1"/>
  <c r="K1747" i="1"/>
  <c r="K1748" i="1"/>
  <c r="K1749" i="1"/>
  <c r="K1750" i="1"/>
  <c r="K1751" i="1"/>
  <c r="K1752" i="1"/>
  <c r="K1753" i="1"/>
  <c r="K1754" i="1"/>
  <c r="K1755" i="1"/>
  <c r="K1756" i="1"/>
  <c r="K1757" i="1"/>
  <c r="K1758" i="1"/>
  <c r="K1759" i="1"/>
  <c r="K1760" i="1"/>
  <c r="K1761" i="1"/>
  <c r="K1762" i="1"/>
  <c r="K1763" i="1"/>
  <c r="K1764" i="1"/>
  <c r="K1765" i="1"/>
  <c r="K1766" i="1"/>
  <c r="K1767" i="1"/>
  <c r="K1768" i="1"/>
  <c r="K1769" i="1"/>
  <c r="K1770" i="1"/>
  <c r="K1771" i="1"/>
  <c r="K1772" i="1"/>
  <c r="K1773" i="1"/>
  <c r="K1774" i="1"/>
  <c r="K1775" i="1"/>
  <c r="K1776" i="1"/>
  <c r="K1777" i="1"/>
  <c r="K1778" i="1"/>
  <c r="K1779" i="1"/>
  <c r="K1780" i="1"/>
  <c r="K1781" i="1"/>
  <c r="K1782" i="1"/>
  <c r="K1783" i="1"/>
  <c r="K1784" i="1"/>
  <c r="K1785" i="1"/>
  <c r="K1786" i="1"/>
  <c r="K1787" i="1"/>
  <c r="K1788" i="1"/>
  <c r="K1789" i="1"/>
  <c r="K1790" i="1"/>
  <c r="K1791" i="1"/>
  <c r="K1792" i="1"/>
  <c r="K1793" i="1"/>
  <c r="K1794" i="1"/>
  <c r="K1795" i="1"/>
  <c r="K1796" i="1"/>
  <c r="K1797" i="1"/>
  <c r="K1798" i="1"/>
  <c r="K1799" i="1"/>
  <c r="K1800" i="1"/>
  <c r="K1801" i="1"/>
  <c r="K2" i="1"/>
  <c r="M3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2" i="2"/>
  <c r="I3" i="1"/>
  <c r="J3" i="1"/>
  <c r="I4" i="1"/>
  <c r="J4" i="1"/>
  <c r="I5" i="1"/>
  <c r="J5" i="1"/>
  <c r="I6" i="1"/>
  <c r="J6" i="1"/>
  <c r="I7" i="1"/>
  <c r="J7" i="1"/>
  <c r="I8" i="1"/>
  <c r="J8" i="1"/>
  <c r="I9" i="1"/>
  <c r="J9" i="1"/>
  <c r="I10" i="1"/>
  <c r="J10" i="1"/>
  <c r="I11" i="1"/>
  <c r="J11" i="1"/>
  <c r="I12" i="1"/>
  <c r="J12" i="1"/>
  <c r="I13" i="1"/>
  <c r="J13" i="1"/>
  <c r="I14" i="1"/>
  <c r="J14" i="1"/>
  <c r="I15" i="1"/>
  <c r="J15" i="1"/>
  <c r="I16" i="1"/>
  <c r="J16" i="1"/>
  <c r="I17" i="1"/>
  <c r="J17" i="1"/>
  <c r="I18" i="1"/>
  <c r="J18" i="1"/>
  <c r="I19" i="1"/>
  <c r="J19" i="1"/>
  <c r="I20" i="1"/>
  <c r="J20" i="1"/>
  <c r="I21" i="1"/>
  <c r="J21" i="1"/>
  <c r="I22" i="1"/>
  <c r="J22" i="1"/>
  <c r="I23" i="1"/>
  <c r="J23" i="1"/>
  <c r="I24" i="1"/>
  <c r="J24" i="1"/>
  <c r="I25" i="1"/>
  <c r="J25" i="1"/>
  <c r="I26" i="1"/>
  <c r="J26" i="1"/>
  <c r="I27" i="1"/>
  <c r="J27" i="1"/>
  <c r="I28" i="1"/>
  <c r="J28" i="1"/>
  <c r="I29" i="1"/>
  <c r="J29" i="1"/>
  <c r="I30" i="1"/>
  <c r="J30" i="1"/>
  <c r="I31" i="1"/>
  <c r="J31" i="1"/>
  <c r="I32" i="1"/>
  <c r="J32" i="1"/>
  <c r="I33" i="1"/>
  <c r="J33" i="1"/>
  <c r="I34" i="1"/>
  <c r="J34" i="1"/>
  <c r="I35" i="1"/>
  <c r="J35" i="1"/>
  <c r="I36" i="1"/>
  <c r="J36" i="1"/>
  <c r="I37" i="1"/>
  <c r="J37" i="1"/>
  <c r="I38" i="1"/>
  <c r="J38" i="1"/>
  <c r="I39" i="1"/>
  <c r="J39" i="1"/>
  <c r="I40" i="1"/>
  <c r="J40" i="1"/>
  <c r="I41" i="1"/>
  <c r="J41" i="1"/>
  <c r="I42" i="1"/>
  <c r="J42" i="1"/>
  <c r="I43" i="1"/>
  <c r="J43" i="1"/>
  <c r="I44" i="1"/>
  <c r="J44" i="1"/>
  <c r="I45" i="1"/>
  <c r="J45" i="1"/>
  <c r="I46" i="1"/>
  <c r="J46" i="1"/>
  <c r="I47" i="1"/>
  <c r="J47" i="1"/>
  <c r="I48" i="1"/>
  <c r="J48" i="1"/>
  <c r="I49" i="1"/>
  <c r="J49" i="1"/>
  <c r="I50" i="1"/>
  <c r="J50" i="1"/>
  <c r="I51" i="1"/>
  <c r="J51" i="1"/>
  <c r="I52" i="1"/>
  <c r="J52" i="1"/>
  <c r="I53" i="1"/>
  <c r="J53" i="1"/>
  <c r="I54" i="1"/>
  <c r="J54" i="1"/>
  <c r="I55" i="1"/>
  <c r="J55" i="1"/>
  <c r="I56" i="1"/>
  <c r="J56" i="1"/>
  <c r="I57" i="1"/>
  <c r="J57" i="1"/>
  <c r="I58" i="1"/>
  <c r="J58" i="1"/>
  <c r="I59" i="1"/>
  <c r="J59" i="1"/>
  <c r="I60" i="1"/>
  <c r="J60" i="1"/>
  <c r="I61" i="1"/>
  <c r="J61" i="1"/>
  <c r="I62" i="1"/>
  <c r="J62" i="1"/>
  <c r="I63" i="1"/>
  <c r="J63" i="1"/>
  <c r="I64" i="1"/>
  <c r="J64" i="1"/>
  <c r="I65" i="1"/>
  <c r="J65" i="1"/>
  <c r="I66" i="1"/>
  <c r="J66" i="1"/>
  <c r="I67" i="1"/>
  <c r="J67" i="1"/>
  <c r="I68" i="1"/>
  <c r="J68" i="1"/>
  <c r="I69" i="1"/>
  <c r="J69" i="1"/>
  <c r="I70" i="1"/>
  <c r="J70" i="1"/>
  <c r="I71" i="1"/>
  <c r="J71" i="1"/>
  <c r="I72" i="1"/>
  <c r="J72" i="1"/>
  <c r="I73" i="1"/>
  <c r="J73" i="1"/>
  <c r="I74" i="1"/>
  <c r="J74" i="1"/>
  <c r="I75" i="1"/>
  <c r="J75" i="1"/>
  <c r="I76" i="1"/>
  <c r="J76" i="1"/>
  <c r="I77" i="1"/>
  <c r="J77" i="1"/>
  <c r="I78" i="1"/>
  <c r="J78" i="1"/>
  <c r="I79" i="1"/>
  <c r="J79" i="1"/>
  <c r="I80" i="1"/>
  <c r="J80" i="1"/>
  <c r="I81" i="1"/>
  <c r="J81" i="1"/>
  <c r="I82" i="1"/>
  <c r="J82" i="1"/>
  <c r="I83" i="1"/>
  <c r="J83" i="1"/>
  <c r="I84" i="1"/>
  <c r="J84" i="1"/>
  <c r="I85" i="1"/>
  <c r="J85" i="1"/>
  <c r="I86" i="1"/>
  <c r="J86" i="1"/>
  <c r="I87" i="1"/>
  <c r="J87" i="1"/>
  <c r="I88" i="1"/>
  <c r="J88" i="1"/>
  <c r="I89" i="1"/>
  <c r="J89" i="1"/>
  <c r="I90" i="1"/>
  <c r="J90" i="1"/>
  <c r="I91" i="1"/>
  <c r="J91" i="1"/>
  <c r="I92" i="1"/>
  <c r="J92" i="1"/>
  <c r="I93" i="1"/>
  <c r="J93" i="1"/>
  <c r="I94" i="1"/>
  <c r="J94" i="1"/>
  <c r="I95" i="1"/>
  <c r="J95" i="1"/>
  <c r="I96" i="1"/>
  <c r="J96" i="1"/>
  <c r="I97" i="1"/>
  <c r="J97" i="1"/>
  <c r="I98" i="1"/>
  <c r="J98" i="1"/>
  <c r="I99" i="1"/>
  <c r="J99" i="1"/>
  <c r="I100" i="1"/>
  <c r="J100" i="1"/>
  <c r="I101" i="1"/>
  <c r="J101" i="1"/>
  <c r="I102" i="1"/>
  <c r="J102" i="1"/>
  <c r="I103" i="1"/>
  <c r="J103" i="1"/>
  <c r="I104" i="1"/>
  <c r="J104" i="1"/>
  <c r="I105" i="1"/>
  <c r="J105" i="1"/>
  <c r="I106" i="1"/>
  <c r="J106" i="1"/>
  <c r="I107" i="1"/>
  <c r="J107" i="1"/>
  <c r="I108" i="1"/>
  <c r="J108" i="1"/>
  <c r="I109" i="1"/>
  <c r="J109" i="1"/>
  <c r="I110" i="1"/>
  <c r="J110" i="1"/>
  <c r="I111" i="1"/>
  <c r="J111" i="1"/>
  <c r="I112" i="1"/>
  <c r="J112" i="1"/>
  <c r="I113" i="1"/>
  <c r="J113" i="1"/>
  <c r="I114" i="1"/>
  <c r="J114" i="1"/>
  <c r="I115" i="1"/>
  <c r="J115" i="1"/>
  <c r="I116" i="1"/>
  <c r="J116" i="1"/>
  <c r="I117" i="1"/>
  <c r="J117" i="1"/>
  <c r="I118" i="1"/>
  <c r="J118" i="1"/>
  <c r="I119" i="1"/>
  <c r="J119" i="1"/>
  <c r="I120" i="1"/>
  <c r="J120" i="1"/>
  <c r="I121" i="1"/>
  <c r="J121" i="1"/>
  <c r="I122" i="1"/>
  <c r="J122" i="1"/>
  <c r="I123" i="1"/>
  <c r="J123" i="1"/>
  <c r="I124" i="1"/>
  <c r="J124" i="1"/>
  <c r="I125" i="1"/>
  <c r="J125" i="1"/>
  <c r="I126" i="1"/>
  <c r="J126" i="1"/>
  <c r="I127" i="1"/>
  <c r="J127" i="1"/>
  <c r="I128" i="1"/>
  <c r="J128" i="1"/>
  <c r="I129" i="1"/>
  <c r="J129" i="1"/>
  <c r="I130" i="1"/>
  <c r="J130" i="1"/>
  <c r="I131" i="1"/>
  <c r="J131" i="1"/>
  <c r="I132" i="1"/>
  <c r="J132" i="1"/>
  <c r="I133" i="1"/>
  <c r="J133" i="1"/>
  <c r="I134" i="1"/>
  <c r="J134" i="1"/>
  <c r="I135" i="1"/>
  <c r="J135" i="1"/>
  <c r="I136" i="1"/>
  <c r="J136" i="1"/>
  <c r="I137" i="1"/>
  <c r="J137" i="1"/>
  <c r="I138" i="1"/>
  <c r="J138" i="1"/>
  <c r="I139" i="1"/>
  <c r="J139" i="1"/>
  <c r="I140" i="1"/>
  <c r="J140" i="1"/>
  <c r="I141" i="1"/>
  <c r="J141" i="1"/>
  <c r="I142" i="1"/>
  <c r="J142" i="1"/>
  <c r="I143" i="1"/>
  <c r="J143" i="1"/>
  <c r="I144" i="1"/>
  <c r="J144" i="1"/>
  <c r="I145" i="1"/>
  <c r="J145" i="1"/>
  <c r="I146" i="1"/>
  <c r="J146" i="1"/>
  <c r="I147" i="1"/>
  <c r="J147" i="1"/>
  <c r="I148" i="1"/>
  <c r="J148" i="1"/>
  <c r="I149" i="1"/>
  <c r="J149" i="1"/>
  <c r="I150" i="1"/>
  <c r="J150" i="1"/>
  <c r="I151" i="1"/>
  <c r="J151" i="1"/>
  <c r="I152" i="1"/>
  <c r="J152" i="1"/>
  <c r="I153" i="1"/>
  <c r="J153" i="1"/>
  <c r="I154" i="1"/>
  <c r="J154" i="1"/>
  <c r="I155" i="1"/>
  <c r="J155" i="1"/>
  <c r="I156" i="1"/>
  <c r="J156" i="1"/>
  <c r="I157" i="1"/>
  <c r="J157" i="1"/>
  <c r="I158" i="1"/>
  <c r="J158" i="1"/>
  <c r="I159" i="1"/>
  <c r="J159" i="1"/>
  <c r="I160" i="1"/>
  <c r="J160" i="1"/>
  <c r="I161" i="1"/>
  <c r="J161" i="1"/>
  <c r="I162" i="1"/>
  <c r="J162" i="1"/>
  <c r="I163" i="1"/>
  <c r="J163" i="1"/>
  <c r="I164" i="1"/>
  <c r="J164" i="1"/>
  <c r="I165" i="1"/>
  <c r="J165" i="1"/>
  <c r="I166" i="1"/>
  <c r="J166" i="1"/>
  <c r="I167" i="1"/>
  <c r="J167" i="1"/>
  <c r="I168" i="1"/>
  <c r="J168" i="1"/>
  <c r="I169" i="1"/>
  <c r="J169" i="1"/>
  <c r="I170" i="1"/>
  <c r="J170" i="1"/>
  <c r="I171" i="1"/>
  <c r="J171" i="1"/>
  <c r="I172" i="1"/>
  <c r="J172" i="1"/>
  <c r="I173" i="1"/>
  <c r="J173" i="1"/>
  <c r="I174" i="1"/>
  <c r="J174" i="1"/>
  <c r="I175" i="1"/>
  <c r="J175" i="1"/>
  <c r="I176" i="1"/>
  <c r="J176" i="1"/>
  <c r="I177" i="1"/>
  <c r="J177" i="1"/>
  <c r="I178" i="1"/>
  <c r="J178" i="1"/>
  <c r="I179" i="1"/>
  <c r="J179" i="1"/>
  <c r="I180" i="1"/>
  <c r="J180" i="1"/>
  <c r="I181" i="1"/>
  <c r="J181" i="1"/>
  <c r="I182" i="1"/>
  <c r="J182" i="1"/>
  <c r="I183" i="1"/>
  <c r="J183" i="1"/>
  <c r="I184" i="1"/>
  <c r="J184" i="1"/>
  <c r="I185" i="1"/>
  <c r="J185" i="1"/>
  <c r="I186" i="1"/>
  <c r="J186" i="1"/>
  <c r="I187" i="1"/>
  <c r="J187" i="1"/>
  <c r="I188" i="1"/>
  <c r="J188" i="1"/>
  <c r="I189" i="1"/>
  <c r="J189" i="1"/>
  <c r="I190" i="1"/>
  <c r="J190" i="1"/>
  <c r="I191" i="1"/>
  <c r="J191" i="1"/>
  <c r="I192" i="1"/>
  <c r="J192" i="1"/>
  <c r="I193" i="1"/>
  <c r="J193" i="1"/>
  <c r="I194" i="1"/>
  <c r="J194" i="1"/>
  <c r="I195" i="1"/>
  <c r="J195" i="1"/>
  <c r="I196" i="1"/>
  <c r="J196" i="1"/>
  <c r="I197" i="1"/>
  <c r="J197" i="1"/>
  <c r="I198" i="1"/>
  <c r="J198" i="1"/>
  <c r="I199" i="1"/>
  <c r="J199" i="1"/>
  <c r="I200" i="1"/>
  <c r="J200" i="1"/>
  <c r="I201" i="1"/>
  <c r="J201" i="1"/>
  <c r="I202" i="1"/>
  <c r="J202" i="1"/>
  <c r="I203" i="1"/>
  <c r="J203" i="1"/>
  <c r="I204" i="1"/>
  <c r="J204" i="1"/>
  <c r="I205" i="1"/>
  <c r="J205" i="1"/>
  <c r="I206" i="1"/>
  <c r="J206" i="1"/>
  <c r="I207" i="1"/>
  <c r="J207" i="1"/>
  <c r="I208" i="1"/>
  <c r="J208" i="1"/>
  <c r="I209" i="1"/>
  <c r="J209" i="1"/>
  <c r="I210" i="1"/>
  <c r="J210" i="1"/>
  <c r="I211" i="1"/>
  <c r="J211" i="1"/>
  <c r="I212" i="1"/>
  <c r="J212" i="1"/>
  <c r="I213" i="1"/>
  <c r="J213" i="1"/>
  <c r="I214" i="1"/>
  <c r="J214" i="1"/>
  <c r="I215" i="1"/>
  <c r="J215" i="1"/>
  <c r="I216" i="1"/>
  <c r="J216" i="1"/>
  <c r="I217" i="1"/>
  <c r="J217" i="1"/>
  <c r="I218" i="1"/>
  <c r="J218" i="1"/>
  <c r="I219" i="1"/>
  <c r="J219" i="1"/>
  <c r="I220" i="1"/>
  <c r="J220" i="1"/>
  <c r="I221" i="1"/>
  <c r="J221" i="1"/>
  <c r="I222" i="1"/>
  <c r="J222" i="1"/>
  <c r="I223" i="1"/>
  <c r="J223" i="1"/>
  <c r="I224" i="1"/>
  <c r="J224" i="1"/>
  <c r="I225" i="1"/>
  <c r="J225" i="1"/>
  <c r="I226" i="1"/>
  <c r="J226" i="1"/>
  <c r="I227" i="1"/>
  <c r="J227" i="1"/>
  <c r="I228" i="1"/>
  <c r="J228" i="1"/>
  <c r="I229" i="1"/>
  <c r="J229" i="1"/>
  <c r="I230" i="1"/>
  <c r="J230" i="1"/>
  <c r="I231" i="1"/>
  <c r="J231" i="1"/>
  <c r="I232" i="1"/>
  <c r="J232" i="1"/>
  <c r="I233" i="1"/>
  <c r="J233" i="1"/>
  <c r="I234" i="1"/>
  <c r="J234" i="1"/>
  <c r="I235" i="1"/>
  <c r="J235" i="1"/>
  <c r="I236" i="1"/>
  <c r="J236" i="1"/>
  <c r="I237" i="1"/>
  <c r="J237" i="1"/>
  <c r="I238" i="1"/>
  <c r="J238" i="1"/>
  <c r="I239" i="1"/>
  <c r="J239" i="1"/>
  <c r="I240" i="1"/>
  <c r="J240" i="1"/>
  <c r="I241" i="1"/>
  <c r="J241" i="1"/>
  <c r="I242" i="1"/>
  <c r="J242" i="1"/>
  <c r="I243" i="1"/>
  <c r="J243" i="1"/>
  <c r="I244" i="1"/>
  <c r="J244" i="1"/>
  <c r="I245" i="1"/>
  <c r="J245" i="1"/>
  <c r="I246" i="1"/>
  <c r="J246" i="1"/>
  <c r="I247" i="1"/>
  <c r="J247" i="1"/>
  <c r="I248" i="1"/>
  <c r="J248" i="1"/>
  <c r="I249" i="1"/>
  <c r="J249" i="1"/>
  <c r="I250" i="1"/>
  <c r="J250" i="1"/>
  <c r="I251" i="1"/>
  <c r="J251" i="1"/>
  <c r="I252" i="1"/>
  <c r="J252" i="1"/>
  <c r="I253" i="1"/>
  <c r="J253" i="1"/>
  <c r="I254" i="1"/>
  <c r="J254" i="1"/>
  <c r="I255" i="1"/>
  <c r="J255" i="1"/>
  <c r="I256" i="1"/>
  <c r="J256" i="1"/>
  <c r="I257" i="1"/>
  <c r="J257" i="1"/>
  <c r="I258" i="1"/>
  <c r="J258" i="1"/>
  <c r="I259" i="1"/>
  <c r="J259" i="1"/>
  <c r="I260" i="1"/>
  <c r="J260" i="1"/>
  <c r="I261" i="1"/>
  <c r="J261" i="1"/>
  <c r="I262" i="1"/>
  <c r="J262" i="1"/>
  <c r="I263" i="1"/>
  <c r="J263" i="1"/>
  <c r="I264" i="1"/>
  <c r="J264" i="1"/>
  <c r="I265" i="1"/>
  <c r="J265" i="1"/>
  <c r="I266" i="1"/>
  <c r="J266" i="1"/>
  <c r="I267" i="1"/>
  <c r="J267" i="1"/>
  <c r="I268" i="1"/>
  <c r="J268" i="1"/>
  <c r="I269" i="1"/>
  <c r="J269" i="1"/>
  <c r="I270" i="1"/>
  <c r="J270" i="1"/>
  <c r="I271" i="1"/>
  <c r="J271" i="1"/>
  <c r="I272" i="1"/>
  <c r="J272" i="1"/>
  <c r="I273" i="1"/>
  <c r="J273" i="1"/>
  <c r="I274" i="1"/>
  <c r="J274" i="1"/>
  <c r="I275" i="1"/>
  <c r="J275" i="1"/>
  <c r="I276" i="1"/>
  <c r="J276" i="1"/>
  <c r="I277" i="1"/>
  <c r="J277" i="1"/>
  <c r="I278" i="1"/>
  <c r="J278" i="1"/>
  <c r="I279" i="1"/>
  <c r="J279" i="1"/>
  <c r="I280" i="1"/>
  <c r="J280" i="1"/>
  <c r="I281" i="1"/>
  <c r="J281" i="1"/>
  <c r="I282" i="1"/>
  <c r="J282" i="1"/>
  <c r="I283" i="1"/>
  <c r="J283" i="1"/>
  <c r="I284" i="1"/>
  <c r="J284" i="1"/>
  <c r="I285" i="1"/>
  <c r="J285" i="1"/>
  <c r="I286" i="1"/>
  <c r="J286" i="1"/>
  <c r="I287" i="1"/>
  <c r="J287" i="1"/>
  <c r="I288" i="1"/>
  <c r="J288" i="1"/>
  <c r="I289" i="1"/>
  <c r="J289" i="1"/>
  <c r="I290" i="1"/>
  <c r="J290" i="1"/>
  <c r="I291" i="1"/>
  <c r="J291" i="1"/>
  <c r="I292" i="1"/>
  <c r="J292" i="1"/>
  <c r="I293" i="1"/>
  <c r="J293" i="1"/>
  <c r="I294" i="1"/>
  <c r="J294" i="1"/>
  <c r="I295" i="1"/>
  <c r="J295" i="1"/>
  <c r="I296" i="1"/>
  <c r="J296" i="1"/>
  <c r="I297" i="1"/>
  <c r="J297" i="1"/>
  <c r="I298" i="1"/>
  <c r="J298" i="1"/>
  <c r="I299" i="1"/>
  <c r="J299" i="1"/>
  <c r="I300" i="1"/>
  <c r="J300" i="1"/>
  <c r="I301" i="1"/>
  <c r="J301" i="1"/>
  <c r="I302" i="1"/>
  <c r="J302" i="1"/>
  <c r="I303" i="1"/>
  <c r="J303" i="1"/>
  <c r="I304" i="1"/>
  <c r="J304" i="1"/>
  <c r="I305" i="1"/>
  <c r="J305" i="1"/>
  <c r="I306" i="1"/>
  <c r="J306" i="1"/>
  <c r="I307" i="1"/>
  <c r="J307" i="1"/>
  <c r="I308" i="1"/>
  <c r="J308" i="1"/>
  <c r="I309" i="1"/>
  <c r="J309" i="1"/>
  <c r="I310" i="1"/>
  <c r="J310" i="1"/>
  <c r="I311" i="1"/>
  <c r="J311" i="1"/>
  <c r="I312" i="1"/>
  <c r="J312" i="1"/>
  <c r="I313" i="1"/>
  <c r="J313" i="1"/>
  <c r="I314" i="1"/>
  <c r="J314" i="1"/>
  <c r="I315" i="1"/>
  <c r="J315" i="1"/>
  <c r="I316" i="1"/>
  <c r="J316" i="1"/>
  <c r="I317" i="1"/>
  <c r="J317" i="1"/>
  <c r="I318" i="1"/>
  <c r="J318" i="1"/>
  <c r="I319" i="1"/>
  <c r="J319" i="1"/>
  <c r="I320" i="1"/>
  <c r="J320" i="1"/>
  <c r="I321" i="1"/>
  <c r="J321" i="1"/>
  <c r="I322" i="1"/>
  <c r="J322" i="1"/>
  <c r="I323" i="1"/>
  <c r="J323" i="1"/>
  <c r="I324" i="1"/>
  <c r="J324" i="1"/>
  <c r="I325" i="1"/>
  <c r="J325" i="1"/>
  <c r="I326" i="1"/>
  <c r="J326" i="1"/>
  <c r="I327" i="1"/>
  <c r="J327" i="1"/>
  <c r="I328" i="1"/>
  <c r="J328" i="1"/>
  <c r="I329" i="1"/>
  <c r="J329" i="1"/>
  <c r="I330" i="1"/>
  <c r="J330" i="1"/>
  <c r="I331" i="1"/>
  <c r="J331" i="1"/>
  <c r="I332" i="1"/>
  <c r="J332" i="1"/>
  <c r="I333" i="1"/>
  <c r="J333" i="1"/>
  <c r="I334" i="1"/>
  <c r="J334" i="1"/>
  <c r="I335" i="1"/>
  <c r="J335" i="1"/>
  <c r="I336" i="1"/>
  <c r="J336" i="1"/>
  <c r="I337" i="1"/>
  <c r="J337" i="1"/>
  <c r="I338" i="1"/>
  <c r="J338" i="1"/>
  <c r="I339" i="1"/>
  <c r="J339" i="1"/>
  <c r="I340" i="1"/>
  <c r="J340" i="1"/>
  <c r="I341" i="1"/>
  <c r="J341" i="1"/>
  <c r="I342" i="1"/>
  <c r="J342" i="1"/>
  <c r="I343" i="1"/>
  <c r="J343" i="1"/>
  <c r="I344" i="1"/>
  <c r="J344" i="1"/>
  <c r="I345" i="1"/>
  <c r="J345" i="1"/>
  <c r="I346" i="1"/>
  <c r="J346" i="1"/>
  <c r="I347" i="1"/>
  <c r="J347" i="1"/>
  <c r="I348" i="1"/>
  <c r="J348" i="1"/>
  <c r="I349" i="1"/>
  <c r="J349" i="1"/>
  <c r="I350" i="1"/>
  <c r="J350" i="1"/>
  <c r="I351" i="1"/>
  <c r="J351" i="1"/>
  <c r="I352" i="1"/>
  <c r="J352" i="1"/>
  <c r="I353" i="1"/>
  <c r="J353" i="1"/>
  <c r="I354" i="1"/>
  <c r="J354" i="1"/>
  <c r="I355" i="1"/>
  <c r="J355" i="1"/>
  <c r="I356" i="1"/>
  <c r="J356" i="1"/>
  <c r="I357" i="1"/>
  <c r="J357" i="1"/>
  <c r="I358" i="1"/>
  <c r="J358" i="1"/>
  <c r="I359" i="1"/>
  <c r="J359" i="1"/>
  <c r="I360" i="1"/>
  <c r="J360" i="1"/>
  <c r="I361" i="1"/>
  <c r="J361" i="1"/>
  <c r="I362" i="1"/>
  <c r="J362" i="1"/>
  <c r="I363" i="1"/>
  <c r="J363" i="1"/>
  <c r="I364" i="1"/>
  <c r="J364" i="1"/>
  <c r="I365" i="1"/>
  <c r="J365" i="1"/>
  <c r="I366" i="1"/>
  <c r="J366" i="1"/>
  <c r="I367" i="1"/>
  <c r="J367" i="1"/>
  <c r="I368" i="1"/>
  <c r="J368" i="1"/>
  <c r="I369" i="1"/>
  <c r="J369" i="1"/>
  <c r="I370" i="1"/>
  <c r="J370" i="1"/>
  <c r="I371" i="1"/>
  <c r="J371" i="1"/>
  <c r="I372" i="1"/>
  <c r="J372" i="1"/>
  <c r="I373" i="1"/>
  <c r="J373" i="1"/>
  <c r="I374" i="1"/>
  <c r="J374" i="1"/>
  <c r="I375" i="1"/>
  <c r="J375" i="1"/>
  <c r="I376" i="1"/>
  <c r="J376" i="1"/>
  <c r="I377" i="1"/>
  <c r="J377" i="1"/>
  <c r="I378" i="1"/>
  <c r="J378" i="1"/>
  <c r="I379" i="1"/>
  <c r="J379" i="1"/>
  <c r="I380" i="1"/>
  <c r="J380" i="1"/>
  <c r="I381" i="1"/>
  <c r="J381" i="1"/>
  <c r="I382" i="1"/>
  <c r="J382" i="1"/>
  <c r="I383" i="1"/>
  <c r="J383" i="1"/>
  <c r="I384" i="1"/>
  <c r="J384" i="1"/>
  <c r="I385" i="1"/>
  <c r="J385" i="1"/>
  <c r="I386" i="1"/>
  <c r="J386" i="1"/>
  <c r="I387" i="1"/>
  <c r="J387" i="1"/>
  <c r="I388" i="1"/>
  <c r="J388" i="1"/>
  <c r="I389" i="1"/>
  <c r="J389" i="1"/>
  <c r="I390" i="1"/>
  <c r="J390" i="1"/>
  <c r="I391" i="1"/>
  <c r="J391" i="1"/>
  <c r="I392" i="1"/>
  <c r="J392" i="1"/>
  <c r="I393" i="1"/>
  <c r="J393" i="1"/>
  <c r="I394" i="1"/>
  <c r="J394" i="1"/>
  <c r="I395" i="1"/>
  <c r="J395" i="1"/>
  <c r="I396" i="1"/>
  <c r="J396" i="1"/>
  <c r="I397" i="1"/>
  <c r="J397" i="1"/>
  <c r="I398" i="1"/>
  <c r="J398" i="1"/>
  <c r="I399" i="1"/>
  <c r="J399" i="1"/>
  <c r="I400" i="1"/>
  <c r="J400" i="1"/>
  <c r="I401" i="1"/>
  <c r="J401" i="1"/>
  <c r="I402" i="1"/>
  <c r="J402" i="1"/>
  <c r="I403" i="1"/>
  <c r="J403" i="1"/>
  <c r="I404" i="1"/>
  <c r="J404" i="1"/>
  <c r="I405" i="1"/>
  <c r="J405" i="1"/>
  <c r="I406" i="1"/>
  <c r="J406" i="1"/>
  <c r="I407" i="1"/>
  <c r="J407" i="1"/>
  <c r="I408" i="1"/>
  <c r="J408" i="1"/>
  <c r="I409" i="1"/>
  <c r="J409" i="1"/>
  <c r="I410" i="1"/>
  <c r="J410" i="1"/>
  <c r="I411" i="1"/>
  <c r="J411" i="1"/>
  <c r="I412" i="1"/>
  <c r="J412" i="1"/>
  <c r="I413" i="1"/>
  <c r="J413" i="1"/>
  <c r="I414" i="1"/>
  <c r="J414" i="1"/>
  <c r="I415" i="1"/>
  <c r="J415" i="1"/>
  <c r="I416" i="1"/>
  <c r="J416" i="1"/>
  <c r="I417" i="1"/>
  <c r="J417" i="1"/>
  <c r="I418" i="1"/>
  <c r="J418" i="1"/>
  <c r="I419" i="1"/>
  <c r="J419" i="1"/>
  <c r="I420" i="1"/>
  <c r="J420" i="1"/>
  <c r="I421" i="1"/>
  <c r="J421" i="1"/>
  <c r="I422" i="1"/>
  <c r="J422" i="1"/>
  <c r="I423" i="1"/>
  <c r="J423" i="1"/>
  <c r="I424" i="1"/>
  <c r="J424" i="1"/>
  <c r="I425" i="1"/>
  <c r="J425" i="1"/>
  <c r="I426" i="1"/>
  <c r="J426" i="1"/>
  <c r="I427" i="1"/>
  <c r="J427" i="1"/>
  <c r="I428" i="1"/>
  <c r="J428" i="1"/>
  <c r="I429" i="1"/>
  <c r="J429" i="1"/>
  <c r="I430" i="1"/>
  <c r="J430" i="1"/>
  <c r="I431" i="1"/>
  <c r="J431" i="1"/>
  <c r="I432" i="1"/>
  <c r="J432" i="1"/>
  <c r="I433" i="1"/>
  <c r="J433" i="1"/>
  <c r="I434" i="1"/>
  <c r="J434" i="1"/>
  <c r="I435" i="1"/>
  <c r="J435" i="1"/>
  <c r="I436" i="1"/>
  <c r="J436" i="1"/>
  <c r="I437" i="1"/>
  <c r="J437" i="1"/>
  <c r="I438" i="1"/>
  <c r="J438" i="1"/>
  <c r="I439" i="1"/>
  <c r="J439" i="1"/>
  <c r="I440" i="1"/>
  <c r="J440" i="1"/>
  <c r="I441" i="1"/>
  <c r="J441" i="1"/>
  <c r="I442" i="1"/>
  <c r="J442" i="1"/>
  <c r="I443" i="1"/>
  <c r="J443" i="1"/>
  <c r="I444" i="1"/>
  <c r="J444" i="1"/>
  <c r="I445" i="1"/>
  <c r="J445" i="1"/>
  <c r="I446" i="1"/>
  <c r="J446" i="1"/>
  <c r="I447" i="1"/>
  <c r="J447" i="1"/>
  <c r="I448" i="1"/>
  <c r="J448" i="1"/>
  <c r="I449" i="1"/>
  <c r="J449" i="1"/>
  <c r="I450" i="1"/>
  <c r="J450" i="1"/>
  <c r="I451" i="1"/>
  <c r="J451" i="1"/>
  <c r="I452" i="1"/>
  <c r="J452" i="1"/>
  <c r="I453" i="1"/>
  <c r="J453" i="1"/>
  <c r="I454" i="1"/>
  <c r="J454" i="1"/>
  <c r="I455" i="1"/>
  <c r="J455" i="1"/>
  <c r="I456" i="1"/>
  <c r="J456" i="1"/>
  <c r="I457" i="1"/>
  <c r="J457" i="1"/>
  <c r="I458" i="1"/>
  <c r="J458" i="1"/>
  <c r="I459" i="1"/>
  <c r="J459" i="1"/>
  <c r="I460" i="1"/>
  <c r="J460" i="1"/>
  <c r="I461" i="1"/>
  <c r="J461" i="1"/>
  <c r="I462" i="1"/>
  <c r="J462" i="1"/>
  <c r="I463" i="1"/>
  <c r="J463" i="1"/>
  <c r="I464" i="1"/>
  <c r="J464" i="1"/>
  <c r="I465" i="1"/>
  <c r="J465" i="1"/>
  <c r="I466" i="1"/>
  <c r="J466" i="1"/>
  <c r="I467" i="1"/>
  <c r="J467" i="1"/>
  <c r="I468" i="1"/>
  <c r="J468" i="1"/>
  <c r="I469" i="1"/>
  <c r="J469" i="1"/>
  <c r="I470" i="1"/>
  <c r="J470" i="1"/>
  <c r="I471" i="1"/>
  <c r="J471" i="1"/>
  <c r="I472" i="1"/>
  <c r="J472" i="1"/>
  <c r="I473" i="1"/>
  <c r="J473" i="1"/>
  <c r="I474" i="1"/>
  <c r="J474" i="1"/>
  <c r="I475" i="1"/>
  <c r="J475" i="1"/>
  <c r="I476" i="1"/>
  <c r="J476" i="1"/>
  <c r="I477" i="1"/>
  <c r="J477" i="1"/>
  <c r="I478" i="1"/>
  <c r="J478" i="1"/>
  <c r="I479" i="1"/>
  <c r="J479" i="1"/>
  <c r="I480" i="1"/>
  <c r="J480" i="1"/>
  <c r="I481" i="1"/>
  <c r="J481" i="1"/>
  <c r="I482" i="1"/>
  <c r="J482" i="1"/>
  <c r="I483" i="1"/>
  <c r="J483" i="1"/>
  <c r="I484" i="1"/>
  <c r="J484" i="1"/>
  <c r="I485" i="1"/>
  <c r="J485" i="1"/>
  <c r="I486" i="1"/>
  <c r="J486" i="1"/>
  <c r="I487" i="1"/>
  <c r="J487" i="1"/>
  <c r="I488" i="1"/>
  <c r="J488" i="1"/>
  <c r="I489" i="1"/>
  <c r="J489" i="1"/>
  <c r="I490" i="1"/>
  <c r="J490" i="1"/>
  <c r="I491" i="1"/>
  <c r="J491" i="1"/>
  <c r="I492" i="1"/>
  <c r="J492" i="1"/>
  <c r="I493" i="1"/>
  <c r="J493" i="1"/>
  <c r="I494" i="1"/>
  <c r="J494" i="1"/>
  <c r="I495" i="1"/>
  <c r="J495" i="1"/>
  <c r="I496" i="1"/>
  <c r="J496" i="1"/>
  <c r="I497" i="1"/>
  <c r="J497" i="1"/>
  <c r="I498" i="1"/>
  <c r="J498" i="1"/>
  <c r="I499" i="1"/>
  <c r="J499" i="1"/>
  <c r="I500" i="1"/>
  <c r="J500" i="1"/>
  <c r="I501" i="1"/>
  <c r="J501" i="1"/>
  <c r="I502" i="1"/>
  <c r="J502" i="1"/>
  <c r="I503" i="1"/>
  <c r="J503" i="1"/>
  <c r="I504" i="1"/>
  <c r="J504" i="1"/>
  <c r="I505" i="1"/>
  <c r="J505" i="1"/>
  <c r="I506" i="1"/>
  <c r="J506" i="1"/>
  <c r="I507" i="1"/>
  <c r="J507" i="1"/>
  <c r="I508" i="1"/>
  <c r="J508" i="1"/>
  <c r="I509" i="1"/>
  <c r="J509" i="1"/>
  <c r="I510" i="1"/>
  <c r="J510" i="1"/>
  <c r="I511" i="1"/>
  <c r="J511" i="1"/>
  <c r="I512" i="1"/>
  <c r="J512" i="1"/>
  <c r="I513" i="1"/>
  <c r="J513" i="1"/>
  <c r="I514" i="1"/>
  <c r="J514" i="1"/>
  <c r="I515" i="1"/>
  <c r="J515" i="1"/>
  <c r="I516" i="1"/>
  <c r="J516" i="1"/>
  <c r="I517" i="1"/>
  <c r="J517" i="1"/>
  <c r="I518" i="1"/>
  <c r="J518" i="1"/>
  <c r="I519" i="1"/>
  <c r="J519" i="1"/>
  <c r="I520" i="1"/>
  <c r="J520" i="1"/>
  <c r="I521" i="1"/>
  <c r="J521" i="1"/>
  <c r="I522" i="1"/>
  <c r="J522" i="1"/>
  <c r="I523" i="1"/>
  <c r="J523" i="1"/>
  <c r="I524" i="1"/>
  <c r="J524" i="1"/>
  <c r="I525" i="1"/>
  <c r="J525" i="1"/>
  <c r="I526" i="1"/>
  <c r="J526" i="1"/>
  <c r="I527" i="1"/>
  <c r="J527" i="1"/>
  <c r="I528" i="1"/>
  <c r="J528" i="1"/>
  <c r="I529" i="1"/>
  <c r="J529" i="1"/>
  <c r="I530" i="1"/>
  <c r="J530" i="1"/>
  <c r="I531" i="1"/>
  <c r="J531" i="1"/>
  <c r="I532" i="1"/>
  <c r="J532" i="1"/>
  <c r="I533" i="1"/>
  <c r="J533" i="1"/>
  <c r="I534" i="1"/>
  <c r="J534" i="1"/>
  <c r="I535" i="1"/>
  <c r="J535" i="1"/>
  <c r="I536" i="1"/>
  <c r="J536" i="1"/>
  <c r="I537" i="1"/>
  <c r="J537" i="1"/>
  <c r="I538" i="1"/>
  <c r="J538" i="1"/>
  <c r="I539" i="1"/>
  <c r="J539" i="1"/>
  <c r="I540" i="1"/>
  <c r="J540" i="1"/>
  <c r="I541" i="1"/>
  <c r="J541" i="1"/>
  <c r="I542" i="1"/>
  <c r="J542" i="1"/>
  <c r="I543" i="1"/>
  <c r="J543" i="1"/>
  <c r="I544" i="1"/>
  <c r="J544" i="1"/>
  <c r="I545" i="1"/>
  <c r="J545" i="1"/>
  <c r="I546" i="1"/>
  <c r="J546" i="1"/>
  <c r="I547" i="1"/>
  <c r="J547" i="1"/>
  <c r="I548" i="1"/>
  <c r="J548" i="1"/>
  <c r="I549" i="1"/>
  <c r="J549" i="1"/>
  <c r="I550" i="1"/>
  <c r="J550" i="1"/>
  <c r="I551" i="1"/>
  <c r="J551" i="1"/>
  <c r="I552" i="1"/>
  <c r="J552" i="1"/>
  <c r="I553" i="1"/>
  <c r="J553" i="1"/>
  <c r="I554" i="1"/>
  <c r="J554" i="1"/>
  <c r="I555" i="1"/>
  <c r="J555" i="1"/>
  <c r="I556" i="1"/>
  <c r="J556" i="1"/>
  <c r="I557" i="1"/>
  <c r="J557" i="1"/>
  <c r="I558" i="1"/>
  <c r="J558" i="1"/>
  <c r="I559" i="1"/>
  <c r="J559" i="1"/>
  <c r="I560" i="1"/>
  <c r="J560" i="1"/>
  <c r="I561" i="1"/>
  <c r="J561" i="1"/>
  <c r="I562" i="1"/>
  <c r="J562" i="1"/>
  <c r="I563" i="1"/>
  <c r="J563" i="1"/>
  <c r="I564" i="1"/>
  <c r="J564" i="1"/>
  <c r="I565" i="1"/>
  <c r="J565" i="1"/>
  <c r="I566" i="1"/>
  <c r="J566" i="1"/>
  <c r="I567" i="1"/>
  <c r="J567" i="1"/>
  <c r="I568" i="1"/>
  <c r="J568" i="1"/>
  <c r="I569" i="1"/>
  <c r="J569" i="1"/>
  <c r="I570" i="1"/>
  <c r="J570" i="1"/>
  <c r="I571" i="1"/>
  <c r="J571" i="1"/>
  <c r="I572" i="1"/>
  <c r="J572" i="1"/>
  <c r="I573" i="1"/>
  <c r="J573" i="1"/>
  <c r="I574" i="1"/>
  <c r="J574" i="1"/>
  <c r="I575" i="1"/>
  <c r="J575" i="1"/>
  <c r="I576" i="1"/>
  <c r="J576" i="1"/>
  <c r="I577" i="1"/>
  <c r="J577" i="1"/>
  <c r="I578" i="1"/>
  <c r="J578" i="1"/>
  <c r="I579" i="1"/>
  <c r="J579" i="1"/>
  <c r="I580" i="1"/>
  <c r="J580" i="1"/>
  <c r="I581" i="1"/>
  <c r="J581" i="1"/>
  <c r="I582" i="1"/>
  <c r="J582" i="1"/>
  <c r="I583" i="1"/>
  <c r="J583" i="1"/>
  <c r="I584" i="1"/>
  <c r="J584" i="1"/>
  <c r="I585" i="1"/>
  <c r="J585" i="1"/>
  <c r="I586" i="1"/>
  <c r="J586" i="1"/>
  <c r="I587" i="1"/>
  <c r="J587" i="1"/>
  <c r="I588" i="1"/>
  <c r="J588" i="1"/>
  <c r="I589" i="1"/>
  <c r="J589" i="1"/>
  <c r="I590" i="1"/>
  <c r="J590" i="1"/>
  <c r="I591" i="1"/>
  <c r="J591" i="1"/>
  <c r="I592" i="1"/>
  <c r="J592" i="1"/>
  <c r="I593" i="1"/>
  <c r="J593" i="1"/>
  <c r="I594" i="1"/>
  <c r="J594" i="1"/>
  <c r="I595" i="1"/>
  <c r="J595" i="1"/>
  <c r="I596" i="1"/>
  <c r="J596" i="1"/>
  <c r="I597" i="1"/>
  <c r="J597" i="1"/>
  <c r="I598" i="1"/>
  <c r="J598" i="1"/>
  <c r="I599" i="1"/>
  <c r="J599" i="1"/>
  <c r="I600" i="1"/>
  <c r="J600" i="1"/>
  <c r="I601" i="1"/>
  <c r="J601" i="1"/>
  <c r="I602" i="1"/>
  <c r="J602" i="1"/>
  <c r="I603" i="1"/>
  <c r="J603" i="1"/>
  <c r="I604" i="1"/>
  <c r="J604" i="1"/>
  <c r="I605" i="1"/>
  <c r="J605" i="1"/>
  <c r="I606" i="1"/>
  <c r="J606" i="1"/>
  <c r="I607" i="1"/>
  <c r="J607" i="1"/>
  <c r="I608" i="1"/>
  <c r="J608" i="1"/>
  <c r="I609" i="1"/>
  <c r="J609" i="1"/>
  <c r="I610" i="1"/>
  <c r="J610" i="1"/>
  <c r="I611" i="1"/>
  <c r="J611" i="1"/>
  <c r="I612" i="1"/>
  <c r="J612" i="1"/>
  <c r="I613" i="1"/>
  <c r="J613" i="1"/>
  <c r="I614" i="1"/>
  <c r="J614" i="1"/>
  <c r="I615" i="1"/>
  <c r="J615" i="1"/>
  <c r="I616" i="1"/>
  <c r="J616" i="1"/>
  <c r="I617" i="1"/>
  <c r="J617" i="1"/>
  <c r="I618" i="1"/>
  <c r="J618" i="1"/>
  <c r="I619" i="1"/>
  <c r="J619" i="1"/>
  <c r="I620" i="1"/>
  <c r="J620" i="1"/>
  <c r="I621" i="1"/>
  <c r="J621" i="1"/>
  <c r="I622" i="1"/>
  <c r="J622" i="1"/>
  <c r="I623" i="1"/>
  <c r="J623" i="1"/>
  <c r="I624" i="1"/>
  <c r="J624" i="1"/>
  <c r="I625" i="1"/>
  <c r="J625" i="1"/>
  <c r="I626" i="1"/>
  <c r="J626" i="1"/>
  <c r="I627" i="1"/>
  <c r="J627" i="1"/>
  <c r="I628" i="1"/>
  <c r="J628" i="1"/>
  <c r="I629" i="1"/>
  <c r="J629" i="1"/>
  <c r="I630" i="1"/>
  <c r="J630" i="1"/>
  <c r="I631" i="1"/>
  <c r="J631" i="1"/>
  <c r="I632" i="1"/>
  <c r="J632" i="1"/>
  <c r="I633" i="1"/>
  <c r="J633" i="1"/>
  <c r="I634" i="1"/>
  <c r="J634" i="1"/>
  <c r="I635" i="1"/>
  <c r="J635" i="1"/>
  <c r="I636" i="1"/>
  <c r="J636" i="1"/>
  <c r="I637" i="1"/>
  <c r="J637" i="1"/>
  <c r="I638" i="1"/>
  <c r="J638" i="1"/>
  <c r="I639" i="1"/>
  <c r="J639" i="1"/>
  <c r="I640" i="1"/>
  <c r="J640" i="1"/>
  <c r="I641" i="1"/>
  <c r="J641" i="1"/>
  <c r="I642" i="1"/>
  <c r="J642" i="1"/>
  <c r="I643" i="1"/>
  <c r="J643" i="1"/>
  <c r="I644" i="1"/>
  <c r="J644" i="1"/>
  <c r="I645" i="1"/>
  <c r="J645" i="1"/>
  <c r="I646" i="1"/>
  <c r="J646" i="1"/>
  <c r="I647" i="1"/>
  <c r="J647" i="1"/>
  <c r="I648" i="1"/>
  <c r="J648" i="1"/>
  <c r="I649" i="1"/>
  <c r="J649" i="1"/>
  <c r="I650" i="1"/>
  <c r="J650" i="1"/>
  <c r="I651" i="1"/>
  <c r="J651" i="1"/>
  <c r="I652" i="1"/>
  <c r="J652" i="1"/>
  <c r="I653" i="1"/>
  <c r="J653" i="1"/>
  <c r="I654" i="1"/>
  <c r="J654" i="1"/>
  <c r="I655" i="1"/>
  <c r="J655" i="1"/>
  <c r="I656" i="1"/>
  <c r="J656" i="1"/>
  <c r="I657" i="1"/>
  <c r="J657" i="1"/>
  <c r="I658" i="1"/>
  <c r="J658" i="1"/>
  <c r="I659" i="1"/>
  <c r="J659" i="1"/>
  <c r="I660" i="1"/>
  <c r="J660" i="1"/>
  <c r="I661" i="1"/>
  <c r="J661" i="1"/>
  <c r="I662" i="1"/>
  <c r="J662" i="1"/>
  <c r="I663" i="1"/>
  <c r="J663" i="1"/>
  <c r="I664" i="1"/>
  <c r="J664" i="1"/>
  <c r="I665" i="1"/>
  <c r="J665" i="1"/>
  <c r="I666" i="1"/>
  <c r="J666" i="1"/>
  <c r="I667" i="1"/>
  <c r="J667" i="1"/>
  <c r="I668" i="1"/>
  <c r="J668" i="1"/>
  <c r="I669" i="1"/>
  <c r="J669" i="1"/>
  <c r="I670" i="1"/>
  <c r="J670" i="1"/>
  <c r="I671" i="1"/>
  <c r="J671" i="1"/>
  <c r="I672" i="1"/>
  <c r="J672" i="1"/>
  <c r="I673" i="1"/>
  <c r="J673" i="1"/>
  <c r="I674" i="1"/>
  <c r="J674" i="1"/>
  <c r="I675" i="1"/>
  <c r="J675" i="1"/>
  <c r="I676" i="1"/>
  <c r="J676" i="1"/>
  <c r="I677" i="1"/>
  <c r="J677" i="1"/>
  <c r="I678" i="1"/>
  <c r="J678" i="1"/>
  <c r="I679" i="1"/>
  <c r="J679" i="1"/>
  <c r="I680" i="1"/>
  <c r="J680" i="1"/>
  <c r="I681" i="1"/>
  <c r="J681" i="1"/>
  <c r="I682" i="1"/>
  <c r="J682" i="1"/>
  <c r="I683" i="1"/>
  <c r="J683" i="1"/>
  <c r="I684" i="1"/>
  <c r="J684" i="1"/>
  <c r="I685" i="1"/>
  <c r="J685" i="1"/>
  <c r="I686" i="1"/>
  <c r="J686" i="1"/>
  <c r="I687" i="1"/>
  <c r="J687" i="1"/>
  <c r="I688" i="1"/>
  <c r="J688" i="1"/>
  <c r="I689" i="1"/>
  <c r="J689" i="1"/>
  <c r="I690" i="1"/>
  <c r="J690" i="1"/>
  <c r="I691" i="1"/>
  <c r="J691" i="1"/>
  <c r="I692" i="1"/>
  <c r="J692" i="1"/>
  <c r="I693" i="1"/>
  <c r="J693" i="1"/>
  <c r="I694" i="1"/>
  <c r="J694" i="1"/>
  <c r="I695" i="1"/>
  <c r="J695" i="1"/>
  <c r="I696" i="1"/>
  <c r="J696" i="1"/>
  <c r="I697" i="1"/>
  <c r="J697" i="1"/>
  <c r="I698" i="1"/>
  <c r="J698" i="1"/>
  <c r="I699" i="1"/>
  <c r="J699" i="1"/>
  <c r="I700" i="1"/>
  <c r="J700" i="1"/>
  <c r="I701" i="1"/>
  <c r="J701" i="1"/>
  <c r="I702" i="1"/>
  <c r="J702" i="1"/>
  <c r="I703" i="1"/>
  <c r="J703" i="1"/>
  <c r="I704" i="1"/>
  <c r="J704" i="1"/>
  <c r="I705" i="1"/>
  <c r="J705" i="1"/>
  <c r="I706" i="1"/>
  <c r="J706" i="1"/>
  <c r="I707" i="1"/>
  <c r="J707" i="1"/>
  <c r="I708" i="1"/>
  <c r="J708" i="1"/>
  <c r="I709" i="1"/>
  <c r="J709" i="1"/>
  <c r="I710" i="1"/>
  <c r="J710" i="1"/>
  <c r="I711" i="1"/>
  <c r="J711" i="1"/>
  <c r="I712" i="1"/>
  <c r="J712" i="1"/>
  <c r="I713" i="1"/>
  <c r="J713" i="1"/>
  <c r="I714" i="1"/>
  <c r="J714" i="1"/>
  <c r="I715" i="1"/>
  <c r="J715" i="1"/>
  <c r="I716" i="1"/>
  <c r="J716" i="1"/>
  <c r="I717" i="1"/>
  <c r="J717" i="1"/>
  <c r="I718" i="1"/>
  <c r="J718" i="1"/>
  <c r="I719" i="1"/>
  <c r="J719" i="1"/>
  <c r="I720" i="1"/>
  <c r="J720" i="1"/>
  <c r="I721" i="1"/>
  <c r="J721" i="1"/>
  <c r="I722" i="1"/>
  <c r="J722" i="1"/>
  <c r="I723" i="1"/>
  <c r="J723" i="1"/>
  <c r="I724" i="1"/>
  <c r="J724" i="1"/>
  <c r="I725" i="1"/>
  <c r="J725" i="1"/>
  <c r="I726" i="1"/>
  <c r="J726" i="1"/>
  <c r="I727" i="1"/>
  <c r="J727" i="1"/>
  <c r="I728" i="1"/>
  <c r="J728" i="1"/>
  <c r="I729" i="1"/>
  <c r="J729" i="1"/>
  <c r="I730" i="1"/>
  <c r="J730" i="1"/>
  <c r="I731" i="1"/>
  <c r="J731" i="1"/>
  <c r="I732" i="1"/>
  <c r="J732" i="1"/>
  <c r="I733" i="1"/>
  <c r="J733" i="1"/>
  <c r="I734" i="1"/>
  <c r="J734" i="1"/>
  <c r="I735" i="1"/>
  <c r="J735" i="1"/>
  <c r="I736" i="1"/>
  <c r="J736" i="1"/>
  <c r="I737" i="1"/>
  <c r="J737" i="1"/>
  <c r="I738" i="1"/>
  <c r="J738" i="1"/>
  <c r="I739" i="1"/>
  <c r="J739" i="1"/>
  <c r="I740" i="1"/>
  <c r="J740" i="1"/>
  <c r="I741" i="1"/>
  <c r="J741" i="1"/>
  <c r="I742" i="1"/>
  <c r="J742" i="1"/>
  <c r="I743" i="1"/>
  <c r="J743" i="1"/>
  <c r="I744" i="1"/>
  <c r="J744" i="1"/>
  <c r="I745" i="1"/>
  <c r="J745" i="1"/>
  <c r="I746" i="1"/>
  <c r="J746" i="1"/>
  <c r="I747" i="1"/>
  <c r="J747" i="1"/>
  <c r="I748" i="1"/>
  <c r="J748" i="1"/>
  <c r="I749" i="1"/>
  <c r="J749" i="1"/>
  <c r="I750" i="1"/>
  <c r="J750" i="1"/>
  <c r="I751" i="1"/>
  <c r="J751" i="1"/>
  <c r="I752" i="1"/>
  <c r="J752" i="1"/>
  <c r="I753" i="1"/>
  <c r="J753" i="1"/>
  <c r="I754" i="1"/>
  <c r="J754" i="1"/>
  <c r="I755" i="1"/>
  <c r="J755" i="1"/>
  <c r="I756" i="1"/>
  <c r="J756" i="1"/>
  <c r="I757" i="1"/>
  <c r="J757" i="1"/>
  <c r="I758" i="1"/>
  <c r="J758" i="1"/>
  <c r="I759" i="1"/>
  <c r="J759" i="1"/>
  <c r="I760" i="1"/>
  <c r="J760" i="1"/>
  <c r="I761" i="1"/>
  <c r="J761" i="1"/>
  <c r="I762" i="1"/>
  <c r="J762" i="1"/>
  <c r="I763" i="1"/>
  <c r="J763" i="1"/>
  <c r="I764" i="1"/>
  <c r="J764" i="1"/>
  <c r="I765" i="1"/>
  <c r="J765" i="1"/>
  <c r="I766" i="1"/>
  <c r="J766" i="1"/>
  <c r="I767" i="1"/>
  <c r="J767" i="1"/>
  <c r="I768" i="1"/>
  <c r="J768" i="1"/>
  <c r="I769" i="1"/>
  <c r="J769" i="1"/>
  <c r="I770" i="1"/>
  <c r="J770" i="1"/>
  <c r="I771" i="1"/>
  <c r="J771" i="1"/>
  <c r="I772" i="1"/>
  <c r="J772" i="1"/>
  <c r="I773" i="1"/>
  <c r="J773" i="1"/>
  <c r="I774" i="1"/>
  <c r="J774" i="1"/>
  <c r="I775" i="1"/>
  <c r="J775" i="1"/>
  <c r="I776" i="1"/>
  <c r="J776" i="1"/>
  <c r="I777" i="1"/>
  <c r="J777" i="1"/>
  <c r="I778" i="1"/>
  <c r="J778" i="1"/>
  <c r="I779" i="1"/>
  <c r="J779" i="1"/>
  <c r="I780" i="1"/>
  <c r="J780" i="1"/>
  <c r="I781" i="1"/>
  <c r="J781" i="1"/>
  <c r="I782" i="1"/>
  <c r="J782" i="1"/>
  <c r="I783" i="1"/>
  <c r="J783" i="1"/>
  <c r="I784" i="1"/>
  <c r="J784" i="1"/>
  <c r="I785" i="1"/>
  <c r="J785" i="1"/>
  <c r="I786" i="1"/>
  <c r="J786" i="1"/>
  <c r="I787" i="1"/>
  <c r="J787" i="1"/>
  <c r="I788" i="1"/>
  <c r="J788" i="1"/>
  <c r="I789" i="1"/>
  <c r="J789" i="1"/>
  <c r="I790" i="1"/>
  <c r="J790" i="1"/>
  <c r="I791" i="1"/>
  <c r="J791" i="1"/>
  <c r="I792" i="1"/>
  <c r="J792" i="1"/>
  <c r="I793" i="1"/>
  <c r="J793" i="1"/>
  <c r="I794" i="1"/>
  <c r="J794" i="1"/>
  <c r="I795" i="1"/>
  <c r="J795" i="1"/>
  <c r="I796" i="1"/>
  <c r="J796" i="1"/>
  <c r="I797" i="1"/>
  <c r="J797" i="1"/>
  <c r="I798" i="1"/>
  <c r="J798" i="1"/>
  <c r="I799" i="1"/>
  <c r="J799" i="1"/>
  <c r="I800" i="1"/>
  <c r="J800" i="1"/>
  <c r="I801" i="1"/>
  <c r="J801" i="1"/>
  <c r="I802" i="1"/>
  <c r="J802" i="1"/>
  <c r="I803" i="1"/>
  <c r="J803" i="1"/>
  <c r="I804" i="1"/>
  <c r="J804" i="1"/>
  <c r="I805" i="1"/>
  <c r="J805" i="1"/>
  <c r="I806" i="1"/>
  <c r="J806" i="1"/>
  <c r="I807" i="1"/>
  <c r="J807" i="1"/>
  <c r="I808" i="1"/>
  <c r="J808" i="1"/>
  <c r="I809" i="1"/>
  <c r="J809" i="1"/>
  <c r="I810" i="1"/>
  <c r="J810" i="1"/>
  <c r="I811" i="1"/>
  <c r="J811" i="1"/>
  <c r="I812" i="1"/>
  <c r="J812" i="1"/>
  <c r="I813" i="1"/>
  <c r="J813" i="1"/>
  <c r="I814" i="1"/>
  <c r="J814" i="1"/>
  <c r="I815" i="1"/>
  <c r="J815" i="1"/>
  <c r="I816" i="1"/>
  <c r="J816" i="1"/>
  <c r="I817" i="1"/>
  <c r="J817" i="1"/>
  <c r="I818" i="1"/>
  <c r="J818" i="1"/>
  <c r="I819" i="1"/>
  <c r="J819" i="1"/>
  <c r="I820" i="1"/>
  <c r="J820" i="1"/>
  <c r="I821" i="1"/>
  <c r="J821" i="1"/>
  <c r="I822" i="1"/>
  <c r="J822" i="1"/>
  <c r="I823" i="1"/>
  <c r="J823" i="1"/>
  <c r="I824" i="1"/>
  <c r="J824" i="1"/>
  <c r="I825" i="1"/>
  <c r="J825" i="1"/>
  <c r="I826" i="1"/>
  <c r="J826" i="1"/>
  <c r="I827" i="1"/>
  <c r="J827" i="1"/>
  <c r="I828" i="1"/>
  <c r="J828" i="1"/>
  <c r="I829" i="1"/>
  <c r="J829" i="1"/>
  <c r="I830" i="1"/>
  <c r="J830" i="1"/>
  <c r="I831" i="1"/>
  <c r="J831" i="1"/>
  <c r="I832" i="1"/>
  <c r="J832" i="1"/>
  <c r="I833" i="1"/>
  <c r="J833" i="1"/>
  <c r="I834" i="1"/>
  <c r="J834" i="1"/>
  <c r="I835" i="1"/>
  <c r="J835" i="1"/>
  <c r="I836" i="1"/>
  <c r="J836" i="1"/>
  <c r="I837" i="1"/>
  <c r="J837" i="1"/>
  <c r="I838" i="1"/>
  <c r="J838" i="1"/>
  <c r="I839" i="1"/>
  <c r="J839" i="1"/>
  <c r="I840" i="1"/>
  <c r="J840" i="1"/>
  <c r="I841" i="1"/>
  <c r="J841" i="1"/>
  <c r="I842" i="1"/>
  <c r="J842" i="1"/>
  <c r="I843" i="1"/>
  <c r="J843" i="1"/>
  <c r="I844" i="1"/>
  <c r="J844" i="1"/>
  <c r="I845" i="1"/>
  <c r="J845" i="1"/>
  <c r="I846" i="1"/>
  <c r="J846" i="1"/>
  <c r="I847" i="1"/>
  <c r="J847" i="1"/>
  <c r="I848" i="1"/>
  <c r="J848" i="1"/>
  <c r="I849" i="1"/>
  <c r="J849" i="1"/>
  <c r="I850" i="1"/>
  <c r="J850" i="1"/>
  <c r="I851" i="1"/>
  <c r="J851" i="1"/>
  <c r="I852" i="1"/>
  <c r="J852" i="1"/>
  <c r="I853" i="1"/>
  <c r="J853" i="1"/>
  <c r="I854" i="1"/>
  <c r="J854" i="1"/>
  <c r="I855" i="1"/>
  <c r="J855" i="1"/>
  <c r="I856" i="1"/>
  <c r="J856" i="1"/>
  <c r="I857" i="1"/>
  <c r="J857" i="1"/>
  <c r="I858" i="1"/>
  <c r="J858" i="1"/>
  <c r="I859" i="1"/>
  <c r="J859" i="1"/>
  <c r="I860" i="1"/>
  <c r="J860" i="1"/>
  <c r="I861" i="1"/>
  <c r="J861" i="1"/>
  <c r="I862" i="1"/>
  <c r="J862" i="1"/>
  <c r="I863" i="1"/>
  <c r="J863" i="1"/>
  <c r="I864" i="1"/>
  <c r="J864" i="1"/>
  <c r="I865" i="1"/>
  <c r="J865" i="1"/>
  <c r="I866" i="1"/>
  <c r="J866" i="1"/>
  <c r="I867" i="1"/>
  <c r="J867" i="1"/>
  <c r="I868" i="1"/>
  <c r="J868" i="1"/>
  <c r="I869" i="1"/>
  <c r="J869" i="1"/>
  <c r="I870" i="1"/>
  <c r="J870" i="1"/>
  <c r="I871" i="1"/>
  <c r="J871" i="1"/>
  <c r="I872" i="1"/>
  <c r="J872" i="1"/>
  <c r="I873" i="1"/>
  <c r="J873" i="1"/>
  <c r="I874" i="1"/>
  <c r="J874" i="1"/>
  <c r="I875" i="1"/>
  <c r="J875" i="1"/>
  <c r="I876" i="1"/>
  <c r="J876" i="1"/>
  <c r="I877" i="1"/>
  <c r="J877" i="1"/>
  <c r="I878" i="1"/>
  <c r="J878" i="1"/>
  <c r="I879" i="1"/>
  <c r="J879" i="1"/>
  <c r="I880" i="1"/>
  <c r="J880" i="1"/>
  <c r="I881" i="1"/>
  <c r="J881" i="1"/>
  <c r="I882" i="1"/>
  <c r="J882" i="1"/>
  <c r="I883" i="1"/>
  <c r="J883" i="1"/>
  <c r="I884" i="1"/>
  <c r="J884" i="1"/>
  <c r="I885" i="1"/>
  <c r="J885" i="1"/>
  <c r="I886" i="1"/>
  <c r="J886" i="1"/>
  <c r="I887" i="1"/>
  <c r="J887" i="1"/>
  <c r="I888" i="1"/>
  <c r="J888" i="1"/>
  <c r="I889" i="1"/>
  <c r="J889" i="1"/>
  <c r="I890" i="1"/>
  <c r="J890" i="1"/>
  <c r="I891" i="1"/>
  <c r="J891" i="1"/>
  <c r="I892" i="1"/>
  <c r="J892" i="1"/>
  <c r="I893" i="1"/>
  <c r="J893" i="1"/>
  <c r="I894" i="1"/>
  <c r="J894" i="1"/>
  <c r="I895" i="1"/>
  <c r="J895" i="1"/>
  <c r="I896" i="1"/>
  <c r="J896" i="1"/>
  <c r="I897" i="1"/>
  <c r="J897" i="1"/>
  <c r="I898" i="1"/>
  <c r="J898" i="1"/>
  <c r="I899" i="1"/>
  <c r="J899" i="1"/>
  <c r="I900" i="1"/>
  <c r="J900" i="1"/>
  <c r="I901" i="1"/>
  <c r="J901" i="1"/>
  <c r="I902" i="1"/>
  <c r="J902" i="1"/>
  <c r="I903" i="1"/>
  <c r="J903" i="1"/>
  <c r="I904" i="1"/>
  <c r="J904" i="1"/>
  <c r="I905" i="1"/>
  <c r="J905" i="1"/>
  <c r="I906" i="1"/>
  <c r="J906" i="1"/>
  <c r="I907" i="1"/>
  <c r="J907" i="1"/>
  <c r="I908" i="1"/>
  <c r="J908" i="1"/>
  <c r="I909" i="1"/>
  <c r="J909" i="1"/>
  <c r="I910" i="1"/>
  <c r="J910" i="1"/>
  <c r="I911" i="1"/>
  <c r="J911" i="1"/>
  <c r="I912" i="1"/>
  <c r="J912" i="1"/>
  <c r="I913" i="1"/>
  <c r="J913" i="1"/>
  <c r="I914" i="1"/>
  <c r="J914" i="1"/>
  <c r="I915" i="1"/>
  <c r="J915" i="1"/>
  <c r="I916" i="1"/>
  <c r="J916" i="1"/>
  <c r="I917" i="1"/>
  <c r="J917" i="1"/>
  <c r="I918" i="1"/>
  <c r="J918" i="1"/>
  <c r="I919" i="1"/>
  <c r="J919" i="1"/>
  <c r="I920" i="1"/>
  <c r="J920" i="1"/>
  <c r="I921" i="1"/>
  <c r="J921" i="1"/>
  <c r="I922" i="1"/>
  <c r="J922" i="1"/>
  <c r="I923" i="1"/>
  <c r="J923" i="1"/>
  <c r="I924" i="1"/>
  <c r="J924" i="1"/>
  <c r="I925" i="1"/>
  <c r="J925" i="1"/>
  <c r="I926" i="1"/>
  <c r="J926" i="1"/>
  <c r="I927" i="1"/>
  <c r="J927" i="1"/>
  <c r="I928" i="1"/>
  <c r="J928" i="1"/>
  <c r="I929" i="1"/>
  <c r="J929" i="1"/>
  <c r="I930" i="1"/>
  <c r="J930" i="1"/>
  <c r="I931" i="1"/>
  <c r="J931" i="1"/>
  <c r="I932" i="1"/>
  <c r="J932" i="1"/>
  <c r="I933" i="1"/>
  <c r="J933" i="1"/>
  <c r="I934" i="1"/>
  <c r="J934" i="1"/>
  <c r="I935" i="1"/>
  <c r="J935" i="1"/>
  <c r="I936" i="1"/>
  <c r="J936" i="1"/>
  <c r="I937" i="1"/>
  <c r="J937" i="1"/>
  <c r="I938" i="1"/>
  <c r="J938" i="1"/>
  <c r="I939" i="1"/>
  <c r="J939" i="1"/>
  <c r="I940" i="1"/>
  <c r="J940" i="1"/>
  <c r="I941" i="1"/>
  <c r="J941" i="1"/>
  <c r="I942" i="1"/>
  <c r="J942" i="1"/>
  <c r="I943" i="1"/>
  <c r="J943" i="1"/>
  <c r="I944" i="1"/>
  <c r="J944" i="1"/>
  <c r="I945" i="1"/>
  <c r="J945" i="1"/>
  <c r="I946" i="1"/>
  <c r="J946" i="1"/>
  <c r="I947" i="1"/>
  <c r="J947" i="1"/>
  <c r="I948" i="1"/>
  <c r="J948" i="1"/>
  <c r="I949" i="1"/>
  <c r="J949" i="1"/>
  <c r="I950" i="1"/>
  <c r="J950" i="1"/>
  <c r="I951" i="1"/>
  <c r="J951" i="1"/>
  <c r="I952" i="1"/>
  <c r="J952" i="1"/>
  <c r="I953" i="1"/>
  <c r="J953" i="1"/>
  <c r="I954" i="1"/>
  <c r="J954" i="1"/>
  <c r="I955" i="1"/>
  <c r="J955" i="1"/>
  <c r="I956" i="1"/>
  <c r="J956" i="1"/>
  <c r="I957" i="1"/>
  <c r="J957" i="1"/>
  <c r="I958" i="1"/>
  <c r="J958" i="1"/>
  <c r="I959" i="1"/>
  <c r="J959" i="1"/>
  <c r="I960" i="1"/>
  <c r="J960" i="1"/>
  <c r="I961" i="1"/>
  <c r="J961" i="1"/>
  <c r="I962" i="1"/>
  <c r="J962" i="1"/>
  <c r="I963" i="1"/>
  <c r="J963" i="1"/>
  <c r="I964" i="1"/>
  <c r="J964" i="1"/>
  <c r="I965" i="1"/>
  <c r="J965" i="1"/>
  <c r="I966" i="1"/>
  <c r="J966" i="1"/>
  <c r="I967" i="1"/>
  <c r="J967" i="1"/>
  <c r="I968" i="1"/>
  <c r="J968" i="1"/>
  <c r="I969" i="1"/>
  <c r="J969" i="1"/>
  <c r="I970" i="1"/>
  <c r="J970" i="1"/>
  <c r="I971" i="1"/>
  <c r="J971" i="1"/>
  <c r="I972" i="1"/>
  <c r="J972" i="1"/>
  <c r="I973" i="1"/>
  <c r="J973" i="1"/>
  <c r="I974" i="1"/>
  <c r="J974" i="1"/>
  <c r="I975" i="1"/>
  <c r="J975" i="1"/>
  <c r="I976" i="1"/>
  <c r="J976" i="1"/>
  <c r="I977" i="1"/>
  <c r="J977" i="1"/>
  <c r="I978" i="1"/>
  <c r="J978" i="1"/>
  <c r="I979" i="1"/>
  <c r="J979" i="1"/>
  <c r="I980" i="1"/>
  <c r="J980" i="1"/>
  <c r="I981" i="1"/>
  <c r="J981" i="1"/>
  <c r="I982" i="1"/>
  <c r="J982" i="1"/>
  <c r="I983" i="1"/>
  <c r="J983" i="1"/>
  <c r="I984" i="1"/>
  <c r="J984" i="1"/>
  <c r="I985" i="1"/>
  <c r="J985" i="1"/>
  <c r="I986" i="1"/>
  <c r="J986" i="1"/>
  <c r="I987" i="1"/>
  <c r="J987" i="1"/>
  <c r="I988" i="1"/>
  <c r="J988" i="1"/>
  <c r="I989" i="1"/>
  <c r="J989" i="1"/>
  <c r="I990" i="1"/>
  <c r="J990" i="1"/>
  <c r="I991" i="1"/>
  <c r="J991" i="1"/>
  <c r="I992" i="1"/>
  <c r="J992" i="1"/>
  <c r="I993" i="1"/>
  <c r="J993" i="1"/>
  <c r="I994" i="1"/>
  <c r="J994" i="1"/>
  <c r="I995" i="1"/>
  <c r="J995" i="1"/>
  <c r="I996" i="1"/>
  <c r="J996" i="1"/>
  <c r="I997" i="1"/>
  <c r="J997" i="1"/>
  <c r="I998" i="1"/>
  <c r="J998" i="1"/>
  <c r="I999" i="1"/>
  <c r="J999" i="1"/>
  <c r="I1000" i="1"/>
  <c r="J1000" i="1"/>
  <c r="I1001" i="1"/>
  <c r="J1001" i="1"/>
  <c r="I1002" i="1"/>
  <c r="J1002" i="1"/>
  <c r="I1003" i="1"/>
  <c r="J1003" i="1"/>
  <c r="I1004" i="1"/>
  <c r="J1004" i="1"/>
  <c r="I1005" i="1"/>
  <c r="J1005" i="1"/>
  <c r="I1006" i="1"/>
  <c r="J1006" i="1"/>
  <c r="I1007" i="1"/>
  <c r="J1007" i="1"/>
  <c r="I1008" i="1"/>
  <c r="J1008" i="1"/>
  <c r="I1009" i="1"/>
  <c r="J1009" i="1"/>
  <c r="I1010" i="1"/>
  <c r="J1010" i="1"/>
  <c r="I1011" i="1"/>
  <c r="J1011" i="1"/>
  <c r="I1012" i="1"/>
  <c r="J1012" i="1"/>
  <c r="I1013" i="1"/>
  <c r="J1013" i="1"/>
  <c r="I1014" i="1"/>
  <c r="J1014" i="1"/>
  <c r="I1015" i="1"/>
  <c r="J1015" i="1"/>
  <c r="I1016" i="1"/>
  <c r="J1016" i="1"/>
  <c r="I1017" i="1"/>
  <c r="J1017" i="1"/>
  <c r="I1018" i="1"/>
  <c r="J1018" i="1"/>
  <c r="I1019" i="1"/>
  <c r="J1019" i="1"/>
  <c r="I1020" i="1"/>
  <c r="J1020" i="1"/>
  <c r="I1021" i="1"/>
  <c r="J1021" i="1"/>
  <c r="I1022" i="1"/>
  <c r="J1022" i="1"/>
  <c r="I1023" i="1"/>
  <c r="J1023" i="1"/>
  <c r="I1024" i="1"/>
  <c r="J1024" i="1"/>
  <c r="I1025" i="1"/>
  <c r="J1025" i="1"/>
  <c r="I1026" i="1"/>
  <c r="J1026" i="1"/>
  <c r="I1027" i="1"/>
  <c r="J1027" i="1"/>
  <c r="I1028" i="1"/>
  <c r="J1028" i="1"/>
  <c r="I1029" i="1"/>
  <c r="J1029" i="1"/>
  <c r="I1030" i="1"/>
  <c r="J1030" i="1"/>
  <c r="I1031" i="1"/>
  <c r="J1031" i="1"/>
  <c r="I1032" i="1"/>
  <c r="J1032" i="1"/>
  <c r="I1033" i="1"/>
  <c r="J1033" i="1"/>
  <c r="I1034" i="1"/>
  <c r="J1034" i="1"/>
  <c r="I1035" i="1"/>
  <c r="J1035" i="1"/>
  <c r="I1036" i="1"/>
  <c r="J1036" i="1"/>
  <c r="I1037" i="1"/>
  <c r="J1037" i="1"/>
  <c r="I1038" i="1"/>
  <c r="J1038" i="1"/>
  <c r="I1039" i="1"/>
  <c r="J1039" i="1"/>
  <c r="I1040" i="1"/>
  <c r="J1040" i="1"/>
  <c r="I1041" i="1"/>
  <c r="J1041" i="1"/>
  <c r="I1042" i="1"/>
  <c r="J1042" i="1"/>
  <c r="I1043" i="1"/>
  <c r="J1043" i="1"/>
  <c r="I1044" i="1"/>
  <c r="J1044" i="1"/>
  <c r="I1045" i="1"/>
  <c r="J1045" i="1"/>
  <c r="I1046" i="1"/>
  <c r="J1046" i="1"/>
  <c r="I1047" i="1"/>
  <c r="J1047" i="1"/>
  <c r="I1048" i="1"/>
  <c r="J1048" i="1"/>
  <c r="I1049" i="1"/>
  <c r="J1049" i="1"/>
  <c r="I1050" i="1"/>
  <c r="J1050" i="1"/>
  <c r="I1051" i="1"/>
  <c r="J1051" i="1"/>
  <c r="I1052" i="1"/>
  <c r="J1052" i="1"/>
  <c r="I1053" i="1"/>
  <c r="J1053" i="1"/>
  <c r="I1054" i="1"/>
  <c r="J1054" i="1"/>
  <c r="I1055" i="1"/>
  <c r="J1055" i="1"/>
  <c r="I1056" i="1"/>
  <c r="J1056" i="1"/>
  <c r="I1057" i="1"/>
  <c r="J1057" i="1"/>
  <c r="I1058" i="1"/>
  <c r="J1058" i="1"/>
  <c r="I1059" i="1"/>
  <c r="J1059" i="1"/>
  <c r="I1060" i="1"/>
  <c r="J1060" i="1"/>
  <c r="I1061" i="1"/>
  <c r="J1061" i="1"/>
  <c r="I1062" i="1"/>
  <c r="J1062" i="1"/>
  <c r="I1063" i="1"/>
  <c r="J1063" i="1"/>
  <c r="I1064" i="1"/>
  <c r="J1064" i="1"/>
  <c r="I1065" i="1"/>
  <c r="J1065" i="1"/>
  <c r="I1066" i="1"/>
  <c r="J1066" i="1"/>
  <c r="I1067" i="1"/>
  <c r="J1067" i="1"/>
  <c r="I1068" i="1"/>
  <c r="J1068" i="1"/>
  <c r="I1069" i="1"/>
  <c r="J1069" i="1"/>
  <c r="I1070" i="1"/>
  <c r="J1070" i="1"/>
  <c r="I1071" i="1"/>
  <c r="J1071" i="1"/>
  <c r="I1072" i="1"/>
  <c r="J1072" i="1"/>
  <c r="I1073" i="1"/>
  <c r="J1073" i="1"/>
  <c r="I1074" i="1"/>
  <c r="J1074" i="1"/>
  <c r="I1075" i="1"/>
  <c r="J1075" i="1"/>
  <c r="I1076" i="1"/>
  <c r="J1076" i="1"/>
  <c r="I1077" i="1"/>
  <c r="J1077" i="1"/>
  <c r="I1078" i="1"/>
  <c r="J1078" i="1"/>
  <c r="I1079" i="1"/>
  <c r="J1079" i="1"/>
  <c r="I1080" i="1"/>
  <c r="J1080" i="1"/>
  <c r="I1081" i="1"/>
  <c r="J1081" i="1"/>
  <c r="I1082" i="1"/>
  <c r="J1082" i="1"/>
  <c r="I1083" i="1"/>
  <c r="J1083" i="1"/>
  <c r="I1084" i="1"/>
  <c r="J1084" i="1"/>
  <c r="I1085" i="1"/>
  <c r="J1085" i="1"/>
  <c r="I1086" i="1"/>
  <c r="J1086" i="1"/>
  <c r="I1087" i="1"/>
  <c r="J1087" i="1"/>
  <c r="I1088" i="1"/>
  <c r="J1088" i="1"/>
  <c r="I1089" i="1"/>
  <c r="J1089" i="1"/>
  <c r="I1090" i="1"/>
  <c r="J1090" i="1"/>
  <c r="I1091" i="1"/>
  <c r="J1091" i="1"/>
  <c r="I1092" i="1"/>
  <c r="J1092" i="1"/>
  <c r="I1093" i="1"/>
  <c r="J1093" i="1"/>
  <c r="I1094" i="1"/>
  <c r="J1094" i="1"/>
  <c r="I1095" i="1"/>
  <c r="J1095" i="1"/>
  <c r="I1096" i="1"/>
  <c r="J1096" i="1"/>
  <c r="I1097" i="1"/>
  <c r="J1097" i="1"/>
  <c r="I1098" i="1"/>
  <c r="J1098" i="1"/>
  <c r="I1099" i="1"/>
  <c r="J1099" i="1"/>
  <c r="I1100" i="1"/>
  <c r="J1100" i="1"/>
  <c r="I1101" i="1"/>
  <c r="J1101" i="1"/>
  <c r="I1102" i="1"/>
  <c r="J1102" i="1"/>
  <c r="I1103" i="1"/>
  <c r="J1103" i="1"/>
  <c r="I1104" i="1"/>
  <c r="J1104" i="1"/>
  <c r="I1105" i="1"/>
  <c r="J1105" i="1"/>
  <c r="I1106" i="1"/>
  <c r="J1106" i="1"/>
  <c r="I1107" i="1"/>
  <c r="J1107" i="1"/>
  <c r="I1108" i="1"/>
  <c r="J1108" i="1"/>
  <c r="I1109" i="1"/>
  <c r="J1109" i="1"/>
  <c r="I1110" i="1"/>
  <c r="J1110" i="1"/>
  <c r="I1111" i="1"/>
  <c r="J1111" i="1"/>
  <c r="I1112" i="1"/>
  <c r="J1112" i="1"/>
  <c r="I1113" i="1"/>
  <c r="J1113" i="1"/>
  <c r="I1114" i="1"/>
  <c r="J1114" i="1"/>
  <c r="I1115" i="1"/>
  <c r="J1115" i="1"/>
  <c r="I1116" i="1"/>
  <c r="J1116" i="1"/>
  <c r="I1117" i="1"/>
  <c r="J1117" i="1"/>
  <c r="I1118" i="1"/>
  <c r="J1118" i="1"/>
  <c r="I1119" i="1"/>
  <c r="J1119" i="1"/>
  <c r="I1120" i="1"/>
  <c r="J1120" i="1"/>
  <c r="I1121" i="1"/>
  <c r="J1121" i="1"/>
  <c r="I1122" i="1"/>
  <c r="J1122" i="1"/>
  <c r="I1123" i="1"/>
  <c r="J1123" i="1"/>
  <c r="I1124" i="1"/>
  <c r="J1124" i="1"/>
  <c r="I1125" i="1"/>
  <c r="J1125" i="1"/>
  <c r="I1126" i="1"/>
  <c r="J1126" i="1"/>
  <c r="I1127" i="1"/>
  <c r="J1127" i="1"/>
  <c r="I1128" i="1"/>
  <c r="J1128" i="1"/>
  <c r="I1129" i="1"/>
  <c r="J1129" i="1"/>
  <c r="I1130" i="1"/>
  <c r="J1130" i="1"/>
  <c r="I1131" i="1"/>
  <c r="J1131" i="1"/>
  <c r="I1132" i="1"/>
  <c r="J1132" i="1"/>
  <c r="I1133" i="1"/>
  <c r="J1133" i="1"/>
  <c r="I1134" i="1"/>
  <c r="J1134" i="1"/>
  <c r="I1135" i="1"/>
  <c r="J1135" i="1"/>
  <c r="I1136" i="1"/>
  <c r="J1136" i="1"/>
  <c r="I1137" i="1"/>
  <c r="J1137" i="1"/>
  <c r="I1138" i="1"/>
  <c r="J1138" i="1"/>
  <c r="I1139" i="1"/>
  <c r="J1139" i="1"/>
  <c r="I1140" i="1"/>
  <c r="J1140" i="1"/>
  <c r="I1141" i="1"/>
  <c r="J1141" i="1"/>
  <c r="I1142" i="1"/>
  <c r="J1142" i="1"/>
  <c r="I1143" i="1"/>
  <c r="J1143" i="1"/>
  <c r="I1144" i="1"/>
  <c r="J1144" i="1"/>
  <c r="I1145" i="1"/>
  <c r="J1145" i="1"/>
  <c r="I1146" i="1"/>
  <c r="J1146" i="1"/>
  <c r="I1147" i="1"/>
  <c r="J1147" i="1"/>
  <c r="I1148" i="1"/>
  <c r="J1148" i="1"/>
  <c r="I1149" i="1"/>
  <c r="J1149" i="1"/>
  <c r="I1150" i="1"/>
  <c r="J1150" i="1"/>
  <c r="I1151" i="1"/>
  <c r="J1151" i="1"/>
  <c r="I1152" i="1"/>
  <c r="J1152" i="1"/>
  <c r="I1153" i="1"/>
  <c r="J1153" i="1"/>
  <c r="I1154" i="1"/>
  <c r="J1154" i="1"/>
  <c r="I1155" i="1"/>
  <c r="J1155" i="1"/>
  <c r="I1156" i="1"/>
  <c r="J1156" i="1"/>
  <c r="I1157" i="1"/>
  <c r="J1157" i="1"/>
  <c r="I1158" i="1"/>
  <c r="J1158" i="1"/>
  <c r="I1159" i="1"/>
  <c r="J1159" i="1"/>
  <c r="I1160" i="1"/>
  <c r="J1160" i="1"/>
  <c r="I1161" i="1"/>
  <c r="J1161" i="1"/>
  <c r="I1162" i="1"/>
  <c r="J1162" i="1"/>
  <c r="I1163" i="1"/>
  <c r="J1163" i="1"/>
  <c r="I1164" i="1"/>
  <c r="J1164" i="1"/>
  <c r="I1165" i="1"/>
  <c r="J1165" i="1"/>
  <c r="I1166" i="1"/>
  <c r="J1166" i="1"/>
  <c r="I1167" i="1"/>
  <c r="J1167" i="1"/>
  <c r="I1168" i="1"/>
  <c r="J1168" i="1"/>
  <c r="I1169" i="1"/>
  <c r="J1169" i="1"/>
  <c r="I1170" i="1"/>
  <c r="J1170" i="1"/>
  <c r="I1171" i="1"/>
  <c r="J1171" i="1"/>
  <c r="I1172" i="1"/>
  <c r="J1172" i="1"/>
  <c r="I1173" i="1"/>
  <c r="J1173" i="1"/>
  <c r="I1174" i="1"/>
  <c r="J1174" i="1"/>
  <c r="I1175" i="1"/>
  <c r="J1175" i="1"/>
  <c r="I1176" i="1"/>
  <c r="J1176" i="1"/>
  <c r="I1177" i="1"/>
  <c r="J1177" i="1"/>
  <c r="I1178" i="1"/>
  <c r="J1178" i="1"/>
  <c r="I1179" i="1"/>
  <c r="J1179" i="1"/>
  <c r="I1180" i="1"/>
  <c r="J1180" i="1"/>
  <c r="I1181" i="1"/>
  <c r="J1181" i="1"/>
  <c r="I1182" i="1"/>
  <c r="J1182" i="1"/>
  <c r="I1183" i="1"/>
  <c r="J1183" i="1"/>
  <c r="I1184" i="1"/>
  <c r="J1184" i="1"/>
  <c r="I1185" i="1"/>
  <c r="J1185" i="1"/>
  <c r="I1186" i="1"/>
  <c r="J1186" i="1"/>
  <c r="I1187" i="1"/>
  <c r="J1187" i="1"/>
  <c r="I1188" i="1"/>
  <c r="J1188" i="1"/>
  <c r="I1189" i="1"/>
  <c r="J1189" i="1"/>
  <c r="I1190" i="1"/>
  <c r="J1190" i="1"/>
  <c r="I1191" i="1"/>
  <c r="J1191" i="1"/>
  <c r="I1192" i="1"/>
  <c r="J1192" i="1"/>
  <c r="I1193" i="1"/>
  <c r="J1193" i="1"/>
  <c r="I1194" i="1"/>
  <c r="J1194" i="1"/>
  <c r="I1195" i="1"/>
  <c r="J1195" i="1"/>
  <c r="I1196" i="1"/>
  <c r="J1196" i="1"/>
  <c r="I1197" i="1"/>
  <c r="J1197" i="1"/>
  <c r="I1198" i="1"/>
  <c r="J1198" i="1"/>
  <c r="I1199" i="1"/>
  <c r="J1199" i="1"/>
  <c r="I1200" i="1"/>
  <c r="J1200" i="1"/>
  <c r="I1201" i="1"/>
  <c r="J1201" i="1"/>
  <c r="I1202" i="1"/>
  <c r="J1202" i="1"/>
  <c r="I1203" i="1"/>
  <c r="J1203" i="1"/>
  <c r="I1204" i="1"/>
  <c r="J1204" i="1"/>
  <c r="I1205" i="1"/>
  <c r="J1205" i="1"/>
  <c r="I1206" i="1"/>
  <c r="J1206" i="1"/>
  <c r="I1207" i="1"/>
  <c r="J1207" i="1"/>
  <c r="I1208" i="1"/>
  <c r="J1208" i="1"/>
  <c r="I1209" i="1"/>
  <c r="J1209" i="1"/>
  <c r="I1210" i="1"/>
  <c r="J1210" i="1"/>
  <c r="I1211" i="1"/>
  <c r="J1211" i="1"/>
  <c r="I1212" i="1"/>
  <c r="J1212" i="1"/>
  <c r="I1213" i="1"/>
  <c r="J1213" i="1"/>
  <c r="I1214" i="1"/>
  <c r="J1214" i="1"/>
  <c r="I1215" i="1"/>
  <c r="J1215" i="1"/>
  <c r="I1216" i="1"/>
  <c r="J1216" i="1"/>
  <c r="I1217" i="1"/>
  <c r="J1217" i="1"/>
  <c r="I1218" i="1"/>
  <c r="J1218" i="1"/>
  <c r="I1219" i="1"/>
  <c r="J1219" i="1"/>
  <c r="I1220" i="1"/>
  <c r="J1220" i="1"/>
  <c r="I1221" i="1"/>
  <c r="J1221" i="1"/>
  <c r="I1222" i="1"/>
  <c r="J1222" i="1"/>
  <c r="I1223" i="1"/>
  <c r="J1223" i="1"/>
  <c r="I1224" i="1"/>
  <c r="J1224" i="1"/>
  <c r="I1225" i="1"/>
  <c r="J1225" i="1"/>
  <c r="I1226" i="1"/>
  <c r="J1226" i="1"/>
  <c r="I1227" i="1"/>
  <c r="J1227" i="1"/>
  <c r="I1228" i="1"/>
  <c r="J1228" i="1"/>
  <c r="I1229" i="1"/>
  <c r="J1229" i="1"/>
  <c r="I1230" i="1"/>
  <c r="J1230" i="1"/>
  <c r="I1231" i="1"/>
  <c r="J1231" i="1"/>
  <c r="I1232" i="1"/>
  <c r="J1232" i="1"/>
  <c r="I1233" i="1"/>
  <c r="J1233" i="1"/>
  <c r="I1234" i="1"/>
  <c r="J1234" i="1"/>
  <c r="I1235" i="1"/>
  <c r="J1235" i="1"/>
  <c r="I1236" i="1"/>
  <c r="J1236" i="1"/>
  <c r="I1237" i="1"/>
  <c r="J1237" i="1"/>
  <c r="I1238" i="1"/>
  <c r="J1238" i="1"/>
  <c r="I1239" i="1"/>
  <c r="J1239" i="1"/>
  <c r="I1240" i="1"/>
  <c r="J1240" i="1"/>
  <c r="I1241" i="1"/>
  <c r="J1241" i="1"/>
  <c r="I1242" i="1"/>
  <c r="J1242" i="1"/>
  <c r="I1243" i="1"/>
  <c r="J1243" i="1"/>
  <c r="I1244" i="1"/>
  <c r="J1244" i="1"/>
  <c r="I1245" i="1"/>
  <c r="J1245" i="1"/>
  <c r="I1246" i="1"/>
  <c r="J1246" i="1"/>
  <c r="I1247" i="1"/>
  <c r="J1247" i="1"/>
  <c r="I1248" i="1"/>
  <c r="J1248" i="1"/>
  <c r="I1249" i="1"/>
  <c r="J1249" i="1"/>
  <c r="I1250" i="1"/>
  <c r="J1250" i="1"/>
  <c r="I1251" i="1"/>
  <c r="J1251" i="1"/>
  <c r="I1252" i="1"/>
  <c r="J1252" i="1"/>
  <c r="I1253" i="1"/>
  <c r="J1253" i="1"/>
  <c r="I1254" i="1"/>
  <c r="J1254" i="1"/>
  <c r="I1255" i="1"/>
  <c r="J1255" i="1"/>
  <c r="I1256" i="1"/>
  <c r="J1256" i="1"/>
  <c r="I1257" i="1"/>
  <c r="J1257" i="1"/>
  <c r="I1258" i="1"/>
  <c r="J1258" i="1"/>
  <c r="I1259" i="1"/>
  <c r="J1259" i="1"/>
  <c r="I1260" i="1"/>
  <c r="J1260" i="1"/>
  <c r="I1261" i="1"/>
  <c r="J1261" i="1"/>
  <c r="I1262" i="1"/>
  <c r="J1262" i="1"/>
  <c r="I1263" i="1"/>
  <c r="J1263" i="1"/>
  <c r="I1264" i="1"/>
  <c r="J1264" i="1"/>
  <c r="I1265" i="1"/>
  <c r="J1265" i="1"/>
  <c r="I1266" i="1"/>
  <c r="J1266" i="1"/>
  <c r="I1267" i="1"/>
  <c r="J1267" i="1"/>
  <c r="I1268" i="1"/>
  <c r="J1268" i="1"/>
  <c r="I1269" i="1"/>
  <c r="J1269" i="1"/>
  <c r="I1270" i="1"/>
  <c r="J1270" i="1"/>
  <c r="I1271" i="1"/>
  <c r="J1271" i="1"/>
  <c r="I1272" i="1"/>
  <c r="J1272" i="1"/>
  <c r="I1273" i="1"/>
  <c r="J1273" i="1"/>
  <c r="I1274" i="1"/>
  <c r="J1274" i="1"/>
  <c r="I1275" i="1"/>
  <c r="J1275" i="1"/>
  <c r="I1276" i="1"/>
  <c r="J1276" i="1"/>
  <c r="I1277" i="1"/>
  <c r="J1277" i="1"/>
  <c r="I1278" i="1"/>
  <c r="J1278" i="1"/>
  <c r="I1279" i="1"/>
  <c r="J1279" i="1"/>
  <c r="I1280" i="1"/>
  <c r="J1280" i="1"/>
  <c r="I1281" i="1"/>
  <c r="J1281" i="1"/>
  <c r="I1282" i="1"/>
  <c r="J1282" i="1"/>
  <c r="I1283" i="1"/>
  <c r="J1283" i="1"/>
  <c r="I1284" i="1"/>
  <c r="J1284" i="1"/>
  <c r="I1285" i="1"/>
  <c r="J1285" i="1"/>
  <c r="I1286" i="1"/>
  <c r="J1286" i="1"/>
  <c r="I1287" i="1"/>
  <c r="J1287" i="1"/>
  <c r="I1288" i="1"/>
  <c r="J1288" i="1"/>
  <c r="I1289" i="1"/>
  <c r="J1289" i="1"/>
  <c r="I1290" i="1"/>
  <c r="J1290" i="1"/>
  <c r="I1291" i="1"/>
  <c r="J1291" i="1"/>
  <c r="I1292" i="1"/>
  <c r="J1292" i="1"/>
  <c r="I1293" i="1"/>
  <c r="J1293" i="1"/>
  <c r="I1294" i="1"/>
  <c r="J1294" i="1"/>
  <c r="I1295" i="1"/>
  <c r="J1295" i="1"/>
  <c r="I1296" i="1"/>
  <c r="J1296" i="1"/>
  <c r="I1297" i="1"/>
  <c r="J1297" i="1"/>
  <c r="I1298" i="1"/>
  <c r="J1298" i="1"/>
  <c r="I1299" i="1"/>
  <c r="J1299" i="1"/>
  <c r="I1300" i="1"/>
  <c r="J1300" i="1"/>
  <c r="I1301" i="1"/>
  <c r="J1301" i="1"/>
  <c r="I1302" i="1"/>
  <c r="J1302" i="1"/>
  <c r="I1303" i="1"/>
  <c r="J1303" i="1"/>
  <c r="I1304" i="1"/>
  <c r="J1304" i="1"/>
  <c r="I1305" i="1"/>
  <c r="J1305" i="1"/>
  <c r="I1306" i="1"/>
  <c r="J1306" i="1"/>
  <c r="I1307" i="1"/>
  <c r="J1307" i="1"/>
  <c r="I1308" i="1"/>
  <c r="J1308" i="1"/>
  <c r="I1309" i="1"/>
  <c r="J1309" i="1"/>
  <c r="I1310" i="1"/>
  <c r="J1310" i="1"/>
  <c r="I1311" i="1"/>
  <c r="J1311" i="1"/>
  <c r="I1312" i="1"/>
  <c r="J1312" i="1"/>
  <c r="I1313" i="1"/>
  <c r="J1313" i="1"/>
  <c r="I1314" i="1"/>
  <c r="J1314" i="1"/>
  <c r="I1315" i="1"/>
  <c r="J1315" i="1"/>
  <c r="I1316" i="1"/>
  <c r="J1316" i="1"/>
  <c r="I1317" i="1"/>
  <c r="J1317" i="1"/>
  <c r="I1318" i="1"/>
  <c r="J1318" i="1"/>
  <c r="I1319" i="1"/>
  <c r="J1319" i="1"/>
  <c r="I1320" i="1"/>
  <c r="J1320" i="1"/>
  <c r="I1321" i="1"/>
  <c r="J1321" i="1"/>
  <c r="I1322" i="1"/>
  <c r="J1322" i="1"/>
  <c r="I1323" i="1"/>
  <c r="J1323" i="1"/>
  <c r="I1324" i="1"/>
  <c r="J1324" i="1"/>
  <c r="I1325" i="1"/>
  <c r="J1325" i="1"/>
  <c r="I1326" i="1"/>
  <c r="J1326" i="1"/>
  <c r="I1327" i="1"/>
  <c r="J1327" i="1"/>
  <c r="I1328" i="1"/>
  <c r="J1328" i="1"/>
  <c r="I1329" i="1"/>
  <c r="J1329" i="1"/>
  <c r="I1330" i="1"/>
  <c r="J1330" i="1"/>
  <c r="I1331" i="1"/>
  <c r="J1331" i="1"/>
  <c r="I1332" i="1"/>
  <c r="J1332" i="1"/>
  <c r="I1333" i="1"/>
  <c r="J1333" i="1"/>
  <c r="I1334" i="1"/>
  <c r="J1334" i="1"/>
  <c r="I1335" i="1"/>
  <c r="J1335" i="1"/>
  <c r="I1336" i="1"/>
  <c r="J1336" i="1"/>
  <c r="I1337" i="1"/>
  <c r="J1337" i="1"/>
  <c r="I1338" i="1"/>
  <c r="J1338" i="1"/>
  <c r="I1339" i="1"/>
  <c r="J1339" i="1"/>
  <c r="I1340" i="1"/>
  <c r="J1340" i="1"/>
  <c r="I1341" i="1"/>
  <c r="J1341" i="1"/>
  <c r="I1342" i="1"/>
  <c r="J1342" i="1"/>
  <c r="I1343" i="1"/>
  <c r="J1343" i="1"/>
  <c r="I1344" i="1"/>
  <c r="J1344" i="1"/>
  <c r="I1345" i="1"/>
  <c r="J1345" i="1"/>
  <c r="I1346" i="1"/>
  <c r="J1346" i="1"/>
  <c r="I1347" i="1"/>
  <c r="J1347" i="1"/>
  <c r="I1348" i="1"/>
  <c r="J1348" i="1"/>
  <c r="I1349" i="1"/>
  <c r="J1349" i="1"/>
  <c r="I1350" i="1"/>
  <c r="J1350" i="1"/>
  <c r="I1351" i="1"/>
  <c r="J1351" i="1"/>
  <c r="I1352" i="1"/>
  <c r="J1352" i="1"/>
  <c r="I1353" i="1"/>
  <c r="J1353" i="1"/>
  <c r="I1354" i="1"/>
  <c r="J1354" i="1"/>
  <c r="I1355" i="1"/>
  <c r="J1355" i="1"/>
  <c r="I1356" i="1"/>
  <c r="J1356" i="1"/>
  <c r="I1357" i="1"/>
  <c r="J1357" i="1"/>
  <c r="I1358" i="1"/>
  <c r="J1358" i="1"/>
  <c r="I1359" i="1"/>
  <c r="J1359" i="1"/>
  <c r="I1360" i="1"/>
  <c r="J1360" i="1"/>
  <c r="I1361" i="1"/>
  <c r="J1361" i="1"/>
  <c r="I1362" i="1"/>
  <c r="J1362" i="1"/>
  <c r="I1363" i="1"/>
  <c r="J1363" i="1"/>
  <c r="I1364" i="1"/>
  <c r="J1364" i="1"/>
  <c r="I1365" i="1"/>
  <c r="J1365" i="1"/>
  <c r="I1366" i="1"/>
  <c r="J1366" i="1"/>
  <c r="I1367" i="1"/>
  <c r="J1367" i="1"/>
  <c r="I1368" i="1"/>
  <c r="J1368" i="1"/>
  <c r="I1369" i="1"/>
  <c r="J1369" i="1"/>
  <c r="I1370" i="1"/>
  <c r="J1370" i="1"/>
  <c r="I1371" i="1"/>
  <c r="J1371" i="1"/>
  <c r="I1372" i="1"/>
  <c r="J1372" i="1"/>
  <c r="I1373" i="1"/>
  <c r="J1373" i="1"/>
  <c r="I1374" i="1"/>
  <c r="J1374" i="1"/>
  <c r="I1375" i="1"/>
  <c r="J1375" i="1"/>
  <c r="I1376" i="1"/>
  <c r="J1376" i="1"/>
  <c r="I1377" i="1"/>
  <c r="J1377" i="1"/>
  <c r="I1378" i="1"/>
  <c r="J1378" i="1"/>
  <c r="I1379" i="1"/>
  <c r="J1379" i="1"/>
  <c r="I1380" i="1"/>
  <c r="J1380" i="1"/>
  <c r="I1381" i="1"/>
  <c r="J1381" i="1"/>
  <c r="I1382" i="1"/>
  <c r="J1382" i="1"/>
  <c r="I1383" i="1"/>
  <c r="J1383" i="1"/>
  <c r="I1384" i="1"/>
  <c r="J1384" i="1"/>
  <c r="I1385" i="1"/>
  <c r="J1385" i="1"/>
  <c r="I1386" i="1"/>
  <c r="J1386" i="1"/>
  <c r="I1387" i="1"/>
  <c r="J1387" i="1"/>
  <c r="I1388" i="1"/>
  <c r="J1388" i="1"/>
  <c r="I1389" i="1"/>
  <c r="J1389" i="1"/>
  <c r="I1390" i="1"/>
  <c r="J1390" i="1"/>
  <c r="I1391" i="1"/>
  <c r="J1391" i="1"/>
  <c r="I1392" i="1"/>
  <c r="J1392" i="1"/>
  <c r="I1393" i="1"/>
  <c r="J1393" i="1"/>
  <c r="I1394" i="1"/>
  <c r="J1394" i="1"/>
  <c r="I1395" i="1"/>
  <c r="J1395" i="1"/>
  <c r="I1396" i="1"/>
  <c r="J1396" i="1"/>
  <c r="I1397" i="1"/>
  <c r="J1397" i="1"/>
  <c r="I1398" i="1"/>
  <c r="J1398" i="1"/>
  <c r="I1399" i="1"/>
  <c r="J1399" i="1"/>
  <c r="I1400" i="1"/>
  <c r="J1400" i="1"/>
  <c r="I1401" i="1"/>
  <c r="J1401" i="1"/>
  <c r="I1402" i="1"/>
  <c r="J1402" i="1"/>
  <c r="I1403" i="1"/>
  <c r="J1403" i="1"/>
  <c r="I1404" i="1"/>
  <c r="J1404" i="1"/>
  <c r="I1405" i="1"/>
  <c r="J1405" i="1"/>
  <c r="I1406" i="1"/>
  <c r="J1406" i="1"/>
  <c r="I1407" i="1"/>
  <c r="J1407" i="1"/>
  <c r="I1408" i="1"/>
  <c r="J1408" i="1"/>
  <c r="I1409" i="1"/>
  <c r="J1409" i="1"/>
  <c r="I1410" i="1"/>
  <c r="J1410" i="1"/>
  <c r="I1411" i="1"/>
  <c r="J1411" i="1"/>
  <c r="I1412" i="1"/>
  <c r="J1412" i="1"/>
  <c r="I1413" i="1"/>
  <c r="J1413" i="1"/>
  <c r="I1414" i="1"/>
  <c r="J1414" i="1"/>
  <c r="I1415" i="1"/>
  <c r="J1415" i="1"/>
  <c r="I1416" i="1"/>
  <c r="J1416" i="1"/>
  <c r="I1417" i="1"/>
  <c r="J1417" i="1"/>
  <c r="I1418" i="1"/>
  <c r="J1418" i="1"/>
  <c r="I1419" i="1"/>
  <c r="J1419" i="1"/>
  <c r="I1420" i="1"/>
  <c r="J1420" i="1"/>
  <c r="I1421" i="1"/>
  <c r="J1421" i="1"/>
  <c r="I1422" i="1"/>
  <c r="J1422" i="1"/>
  <c r="I1423" i="1"/>
  <c r="J1423" i="1"/>
  <c r="I1424" i="1"/>
  <c r="J1424" i="1"/>
  <c r="I1425" i="1"/>
  <c r="J1425" i="1"/>
  <c r="I1426" i="1"/>
  <c r="J1426" i="1"/>
  <c r="I1427" i="1"/>
  <c r="J1427" i="1"/>
  <c r="I1428" i="1"/>
  <c r="J1428" i="1"/>
  <c r="I1429" i="1"/>
  <c r="J1429" i="1"/>
  <c r="I1430" i="1"/>
  <c r="J1430" i="1"/>
  <c r="I1431" i="1"/>
  <c r="J1431" i="1"/>
  <c r="I1432" i="1"/>
  <c r="J1432" i="1"/>
  <c r="I1433" i="1"/>
  <c r="J1433" i="1"/>
  <c r="I1434" i="1"/>
  <c r="J1434" i="1"/>
  <c r="I1435" i="1"/>
  <c r="J1435" i="1"/>
  <c r="I1436" i="1"/>
  <c r="J1436" i="1"/>
  <c r="I1437" i="1"/>
  <c r="J1437" i="1"/>
  <c r="I1438" i="1"/>
  <c r="J1438" i="1"/>
  <c r="I1439" i="1"/>
  <c r="J1439" i="1"/>
  <c r="I1440" i="1"/>
  <c r="J1440" i="1"/>
  <c r="I1441" i="1"/>
  <c r="J1441" i="1"/>
  <c r="I1442" i="1"/>
  <c r="J1442" i="1"/>
  <c r="I1443" i="1"/>
  <c r="J1443" i="1"/>
  <c r="I1444" i="1"/>
  <c r="J1444" i="1"/>
  <c r="I1445" i="1"/>
  <c r="J1445" i="1"/>
  <c r="I1446" i="1"/>
  <c r="J1446" i="1"/>
  <c r="I1447" i="1"/>
  <c r="J1447" i="1"/>
  <c r="I1448" i="1"/>
  <c r="J1448" i="1"/>
  <c r="I1449" i="1"/>
  <c r="J1449" i="1"/>
  <c r="I1450" i="1"/>
  <c r="J1450" i="1"/>
  <c r="I1451" i="1"/>
  <c r="J1451" i="1"/>
  <c r="I1452" i="1"/>
  <c r="J1452" i="1"/>
  <c r="I1453" i="1"/>
  <c r="J1453" i="1"/>
  <c r="I1454" i="1"/>
  <c r="J1454" i="1"/>
  <c r="I1455" i="1"/>
  <c r="J1455" i="1"/>
  <c r="I1456" i="1"/>
  <c r="J1456" i="1"/>
  <c r="I1457" i="1"/>
  <c r="J1457" i="1"/>
  <c r="I1458" i="1"/>
  <c r="J1458" i="1"/>
  <c r="I1459" i="1"/>
  <c r="J1459" i="1"/>
  <c r="I1460" i="1"/>
  <c r="J1460" i="1"/>
  <c r="I1461" i="1"/>
  <c r="J1461" i="1"/>
  <c r="I1462" i="1"/>
  <c r="J1462" i="1"/>
  <c r="I1463" i="1"/>
  <c r="J1463" i="1"/>
  <c r="I1464" i="1"/>
  <c r="J1464" i="1"/>
  <c r="I1465" i="1"/>
  <c r="J1465" i="1"/>
  <c r="I1466" i="1"/>
  <c r="J1466" i="1"/>
  <c r="I1467" i="1"/>
  <c r="J1467" i="1"/>
  <c r="I1468" i="1"/>
  <c r="J1468" i="1"/>
  <c r="I1469" i="1"/>
  <c r="J1469" i="1"/>
  <c r="I1470" i="1"/>
  <c r="J1470" i="1"/>
  <c r="I1471" i="1"/>
  <c r="J1471" i="1"/>
  <c r="I1472" i="1"/>
  <c r="J1472" i="1"/>
  <c r="I1473" i="1"/>
  <c r="J1473" i="1"/>
  <c r="I1474" i="1"/>
  <c r="J1474" i="1"/>
  <c r="I1475" i="1"/>
  <c r="J1475" i="1"/>
  <c r="I1476" i="1"/>
  <c r="J1476" i="1"/>
  <c r="I1477" i="1"/>
  <c r="J1477" i="1"/>
  <c r="I1478" i="1"/>
  <c r="J1478" i="1"/>
  <c r="I1479" i="1"/>
  <c r="J1479" i="1"/>
  <c r="I1480" i="1"/>
  <c r="J1480" i="1"/>
  <c r="I1481" i="1"/>
  <c r="J1481" i="1"/>
  <c r="I1482" i="1"/>
  <c r="J1482" i="1"/>
  <c r="I1483" i="1"/>
  <c r="J1483" i="1"/>
  <c r="I1484" i="1"/>
  <c r="J1484" i="1"/>
  <c r="I1485" i="1"/>
  <c r="J1485" i="1"/>
  <c r="I1486" i="1"/>
  <c r="J1486" i="1"/>
  <c r="I1487" i="1"/>
  <c r="J1487" i="1"/>
  <c r="I1488" i="1"/>
  <c r="J1488" i="1"/>
  <c r="I1489" i="1"/>
  <c r="J1489" i="1"/>
  <c r="I1490" i="1"/>
  <c r="J1490" i="1"/>
  <c r="I1491" i="1"/>
  <c r="J1491" i="1"/>
  <c r="I1492" i="1"/>
  <c r="J1492" i="1"/>
  <c r="I1493" i="1"/>
  <c r="J1493" i="1"/>
  <c r="I1494" i="1"/>
  <c r="J1494" i="1"/>
  <c r="I1495" i="1"/>
  <c r="J1495" i="1"/>
  <c r="I1496" i="1"/>
  <c r="J1496" i="1"/>
  <c r="I1497" i="1"/>
  <c r="J1497" i="1"/>
  <c r="I1498" i="1"/>
  <c r="J1498" i="1"/>
  <c r="I1499" i="1"/>
  <c r="J1499" i="1"/>
  <c r="I1500" i="1"/>
  <c r="J1500" i="1"/>
  <c r="I1501" i="1"/>
  <c r="J1501" i="1"/>
  <c r="I1502" i="1"/>
  <c r="J1502" i="1"/>
  <c r="I1503" i="1"/>
  <c r="J1503" i="1"/>
  <c r="I1504" i="1"/>
  <c r="J1504" i="1"/>
  <c r="I1505" i="1"/>
  <c r="J1505" i="1"/>
  <c r="I1506" i="1"/>
  <c r="J1506" i="1"/>
  <c r="I1507" i="1"/>
  <c r="J1507" i="1"/>
  <c r="I1508" i="1"/>
  <c r="J1508" i="1"/>
  <c r="I1509" i="1"/>
  <c r="J1509" i="1"/>
  <c r="I1510" i="1"/>
  <c r="J1510" i="1"/>
  <c r="I1511" i="1"/>
  <c r="J1511" i="1"/>
  <c r="I1512" i="1"/>
  <c r="J1512" i="1"/>
  <c r="I1513" i="1"/>
  <c r="J1513" i="1"/>
  <c r="I1514" i="1"/>
  <c r="J1514" i="1"/>
  <c r="I1515" i="1"/>
  <c r="J1515" i="1"/>
  <c r="I1516" i="1"/>
  <c r="J1516" i="1"/>
  <c r="I1517" i="1"/>
  <c r="J1517" i="1"/>
  <c r="I1518" i="1"/>
  <c r="J1518" i="1"/>
  <c r="I1519" i="1"/>
  <c r="J1519" i="1"/>
  <c r="I1520" i="1"/>
  <c r="J1520" i="1"/>
  <c r="I1521" i="1"/>
  <c r="J1521" i="1"/>
  <c r="I1522" i="1"/>
  <c r="J1522" i="1"/>
  <c r="I1523" i="1"/>
  <c r="J1523" i="1"/>
  <c r="I1524" i="1"/>
  <c r="J1524" i="1"/>
  <c r="I1525" i="1"/>
  <c r="J1525" i="1"/>
  <c r="I1526" i="1"/>
  <c r="J1526" i="1"/>
  <c r="I1527" i="1"/>
  <c r="J1527" i="1"/>
  <c r="I1528" i="1"/>
  <c r="J1528" i="1"/>
  <c r="I1529" i="1"/>
  <c r="J1529" i="1"/>
  <c r="I1530" i="1"/>
  <c r="J1530" i="1"/>
  <c r="I1531" i="1"/>
  <c r="J1531" i="1"/>
  <c r="I1532" i="1"/>
  <c r="J1532" i="1"/>
  <c r="I1533" i="1"/>
  <c r="J1533" i="1"/>
  <c r="I1534" i="1"/>
  <c r="J1534" i="1"/>
  <c r="I1535" i="1"/>
  <c r="J1535" i="1"/>
  <c r="I1536" i="1"/>
  <c r="J1536" i="1"/>
  <c r="I1537" i="1"/>
  <c r="J1537" i="1"/>
  <c r="I1538" i="1"/>
  <c r="J1538" i="1"/>
  <c r="I1539" i="1"/>
  <c r="J1539" i="1"/>
  <c r="I1540" i="1"/>
  <c r="J1540" i="1"/>
  <c r="I1541" i="1"/>
  <c r="J1541" i="1"/>
  <c r="I1542" i="1"/>
  <c r="J1542" i="1"/>
  <c r="I1543" i="1"/>
  <c r="J1543" i="1"/>
  <c r="I1544" i="1"/>
  <c r="J1544" i="1"/>
  <c r="I1545" i="1"/>
  <c r="J1545" i="1"/>
  <c r="I1546" i="1"/>
  <c r="J1546" i="1"/>
  <c r="I1547" i="1"/>
  <c r="J1547" i="1"/>
  <c r="I1548" i="1"/>
  <c r="J1548" i="1"/>
  <c r="I1549" i="1"/>
  <c r="J1549" i="1"/>
  <c r="I1550" i="1"/>
  <c r="J1550" i="1"/>
  <c r="I1551" i="1"/>
  <c r="J1551" i="1"/>
  <c r="I1552" i="1"/>
  <c r="J1552" i="1"/>
  <c r="I1553" i="1"/>
  <c r="J1553" i="1"/>
  <c r="I1554" i="1"/>
  <c r="J1554" i="1"/>
  <c r="I1555" i="1"/>
  <c r="J1555" i="1"/>
  <c r="I1556" i="1"/>
  <c r="J1556" i="1"/>
  <c r="I1557" i="1"/>
  <c r="J1557" i="1"/>
  <c r="I1558" i="1"/>
  <c r="J1558" i="1"/>
  <c r="I1559" i="1"/>
  <c r="J1559" i="1"/>
  <c r="I1560" i="1"/>
  <c r="J1560" i="1"/>
  <c r="I1561" i="1"/>
  <c r="J1561" i="1"/>
  <c r="I1562" i="1"/>
  <c r="J1562" i="1"/>
  <c r="I1563" i="1"/>
  <c r="J1563" i="1"/>
  <c r="I1564" i="1"/>
  <c r="J1564" i="1"/>
  <c r="I1565" i="1"/>
  <c r="J1565" i="1"/>
  <c r="I1566" i="1"/>
  <c r="J1566" i="1"/>
  <c r="I1567" i="1"/>
  <c r="J1567" i="1"/>
  <c r="I1568" i="1"/>
  <c r="J1568" i="1"/>
  <c r="I1569" i="1"/>
  <c r="J1569" i="1"/>
  <c r="I1570" i="1"/>
  <c r="J1570" i="1"/>
  <c r="I1571" i="1"/>
  <c r="J1571" i="1"/>
  <c r="I1572" i="1"/>
  <c r="J1572" i="1"/>
  <c r="I1573" i="1"/>
  <c r="J1573" i="1"/>
  <c r="I1574" i="1"/>
  <c r="J1574" i="1"/>
  <c r="I1575" i="1"/>
  <c r="J1575" i="1"/>
  <c r="I1576" i="1"/>
  <c r="J1576" i="1"/>
  <c r="I1577" i="1"/>
  <c r="J1577" i="1"/>
  <c r="I1578" i="1"/>
  <c r="J1578" i="1"/>
  <c r="I1579" i="1"/>
  <c r="J1579" i="1"/>
  <c r="I1580" i="1"/>
  <c r="J1580" i="1"/>
  <c r="I1581" i="1"/>
  <c r="J1581" i="1"/>
  <c r="I1582" i="1"/>
  <c r="J1582" i="1"/>
  <c r="I1583" i="1"/>
  <c r="J1583" i="1"/>
  <c r="I1584" i="1"/>
  <c r="J1584" i="1"/>
  <c r="I1585" i="1"/>
  <c r="J1585" i="1"/>
  <c r="I1586" i="1"/>
  <c r="J1586" i="1"/>
  <c r="I1587" i="1"/>
  <c r="J1587" i="1"/>
  <c r="I1588" i="1"/>
  <c r="J1588" i="1"/>
  <c r="I1589" i="1"/>
  <c r="J1589" i="1"/>
  <c r="I1590" i="1"/>
  <c r="J1590" i="1"/>
  <c r="I1591" i="1"/>
  <c r="J1591" i="1"/>
  <c r="I1592" i="1"/>
  <c r="J1592" i="1"/>
  <c r="I1593" i="1"/>
  <c r="J1593" i="1"/>
  <c r="I1594" i="1"/>
  <c r="J1594" i="1"/>
  <c r="I1595" i="1"/>
  <c r="J1595" i="1"/>
  <c r="I1596" i="1"/>
  <c r="J1596" i="1"/>
  <c r="I1597" i="1"/>
  <c r="J1597" i="1"/>
  <c r="I1598" i="1"/>
  <c r="J1598" i="1"/>
  <c r="I1599" i="1"/>
  <c r="J1599" i="1"/>
  <c r="I1600" i="1"/>
  <c r="J1600" i="1"/>
  <c r="I1601" i="1"/>
  <c r="J1601" i="1"/>
  <c r="I1602" i="1"/>
  <c r="J1602" i="1"/>
  <c r="I1603" i="1"/>
  <c r="J1603" i="1"/>
  <c r="I1604" i="1"/>
  <c r="J1604" i="1"/>
  <c r="I1605" i="1"/>
  <c r="J1605" i="1"/>
  <c r="I1606" i="1"/>
  <c r="J1606" i="1"/>
  <c r="I1607" i="1"/>
  <c r="J1607" i="1"/>
  <c r="I1608" i="1"/>
  <c r="J1608" i="1"/>
  <c r="I1609" i="1"/>
  <c r="J1609" i="1"/>
  <c r="I1610" i="1"/>
  <c r="J1610" i="1"/>
  <c r="I1611" i="1"/>
  <c r="J1611" i="1"/>
  <c r="I1612" i="1"/>
  <c r="J1612" i="1"/>
  <c r="I1613" i="1"/>
  <c r="J1613" i="1"/>
  <c r="I1614" i="1"/>
  <c r="J1614" i="1"/>
  <c r="I1615" i="1"/>
  <c r="J1615" i="1"/>
  <c r="I1616" i="1"/>
  <c r="J1616" i="1"/>
  <c r="I1617" i="1"/>
  <c r="J1617" i="1"/>
  <c r="I1618" i="1"/>
  <c r="J1618" i="1"/>
  <c r="I1619" i="1"/>
  <c r="J1619" i="1"/>
  <c r="I1620" i="1"/>
  <c r="J1620" i="1"/>
  <c r="I1621" i="1"/>
  <c r="J1621" i="1"/>
  <c r="I1622" i="1"/>
  <c r="J1622" i="1"/>
  <c r="I1623" i="1"/>
  <c r="J1623" i="1"/>
  <c r="I1624" i="1"/>
  <c r="J1624" i="1"/>
  <c r="I1625" i="1"/>
  <c r="J1625" i="1"/>
  <c r="I1626" i="1"/>
  <c r="J1626" i="1"/>
  <c r="I1627" i="1"/>
  <c r="J1627" i="1"/>
  <c r="I1628" i="1"/>
  <c r="J1628" i="1"/>
  <c r="I1629" i="1"/>
  <c r="J1629" i="1"/>
  <c r="I1630" i="1"/>
  <c r="J1630" i="1"/>
  <c r="I1631" i="1"/>
  <c r="J1631" i="1"/>
  <c r="I1632" i="1"/>
  <c r="J1632" i="1"/>
  <c r="I1633" i="1"/>
  <c r="J1633" i="1"/>
  <c r="I1634" i="1"/>
  <c r="J1634" i="1"/>
  <c r="I1635" i="1"/>
  <c r="J1635" i="1"/>
  <c r="I1636" i="1"/>
  <c r="J1636" i="1"/>
  <c r="I1637" i="1"/>
  <c r="J1637" i="1"/>
  <c r="I1638" i="1"/>
  <c r="J1638" i="1"/>
  <c r="I1639" i="1"/>
  <c r="J1639" i="1"/>
  <c r="I1640" i="1"/>
  <c r="J1640" i="1"/>
  <c r="I1641" i="1"/>
  <c r="J1641" i="1"/>
  <c r="I1642" i="1"/>
  <c r="J1642" i="1"/>
  <c r="I1643" i="1"/>
  <c r="J1643" i="1"/>
  <c r="I1644" i="1"/>
  <c r="J1644" i="1"/>
  <c r="I1645" i="1"/>
  <c r="J1645" i="1"/>
  <c r="I1646" i="1"/>
  <c r="J1646" i="1"/>
  <c r="I1647" i="1"/>
  <c r="J1647" i="1"/>
  <c r="I1648" i="1"/>
  <c r="J1648" i="1"/>
  <c r="I1649" i="1"/>
  <c r="J1649" i="1"/>
  <c r="I1650" i="1"/>
  <c r="J1650" i="1"/>
  <c r="I1651" i="1"/>
  <c r="J1651" i="1"/>
  <c r="I1652" i="1"/>
  <c r="J1652" i="1"/>
  <c r="I1653" i="1"/>
  <c r="J1653" i="1"/>
  <c r="I1654" i="1"/>
  <c r="J1654" i="1"/>
  <c r="I1655" i="1"/>
  <c r="J1655" i="1"/>
  <c r="I1656" i="1"/>
  <c r="J1656" i="1"/>
  <c r="I1657" i="1"/>
  <c r="J1657" i="1"/>
  <c r="I1658" i="1"/>
  <c r="J1658" i="1"/>
  <c r="I1659" i="1"/>
  <c r="J1659" i="1"/>
  <c r="I1660" i="1"/>
  <c r="J1660" i="1"/>
  <c r="I1661" i="1"/>
  <c r="J1661" i="1"/>
  <c r="I1662" i="1"/>
  <c r="J1662" i="1"/>
  <c r="I1663" i="1"/>
  <c r="J1663" i="1"/>
  <c r="I1664" i="1"/>
  <c r="J1664" i="1"/>
  <c r="I1665" i="1"/>
  <c r="J1665" i="1"/>
  <c r="I1666" i="1"/>
  <c r="J1666" i="1"/>
  <c r="I1667" i="1"/>
  <c r="J1667" i="1"/>
  <c r="I1668" i="1"/>
  <c r="J1668" i="1"/>
  <c r="I1669" i="1"/>
  <c r="J1669" i="1"/>
  <c r="I1670" i="1"/>
  <c r="J1670" i="1"/>
  <c r="I1671" i="1"/>
  <c r="J1671" i="1"/>
  <c r="I1672" i="1"/>
  <c r="J1672" i="1"/>
  <c r="I1673" i="1"/>
  <c r="J1673" i="1"/>
  <c r="I1674" i="1"/>
  <c r="J1674" i="1"/>
  <c r="I1675" i="1"/>
  <c r="J1675" i="1"/>
  <c r="I1676" i="1"/>
  <c r="J1676" i="1"/>
  <c r="I1677" i="1"/>
  <c r="J1677" i="1"/>
  <c r="I1678" i="1"/>
  <c r="J1678" i="1"/>
  <c r="I1679" i="1"/>
  <c r="J1679" i="1"/>
  <c r="I1680" i="1"/>
  <c r="J1680" i="1"/>
  <c r="I1681" i="1"/>
  <c r="J1681" i="1"/>
  <c r="I1682" i="1"/>
  <c r="J1682" i="1"/>
  <c r="I1683" i="1"/>
  <c r="J1683" i="1"/>
  <c r="I1684" i="1"/>
  <c r="J1684" i="1"/>
  <c r="I1685" i="1"/>
  <c r="J1685" i="1"/>
  <c r="I1686" i="1"/>
  <c r="J1686" i="1"/>
  <c r="I1687" i="1"/>
  <c r="J1687" i="1"/>
  <c r="I1688" i="1"/>
  <c r="J1688" i="1"/>
  <c r="I1689" i="1"/>
  <c r="J1689" i="1"/>
  <c r="I1690" i="1"/>
  <c r="J1690" i="1"/>
  <c r="I1691" i="1"/>
  <c r="J1691" i="1"/>
  <c r="I1692" i="1"/>
  <c r="J1692" i="1"/>
  <c r="I1693" i="1"/>
  <c r="J1693" i="1"/>
  <c r="I1694" i="1"/>
  <c r="J1694" i="1"/>
  <c r="I1695" i="1"/>
  <c r="J1695" i="1"/>
  <c r="I1696" i="1"/>
  <c r="J1696" i="1"/>
  <c r="I1697" i="1"/>
  <c r="J1697" i="1"/>
  <c r="I1698" i="1"/>
  <c r="J1698" i="1"/>
  <c r="I1699" i="1"/>
  <c r="J1699" i="1"/>
  <c r="I1700" i="1"/>
  <c r="J1700" i="1"/>
  <c r="I1701" i="1"/>
  <c r="J1701" i="1"/>
  <c r="I1702" i="1"/>
  <c r="J1702" i="1"/>
  <c r="I1703" i="1"/>
  <c r="J1703" i="1"/>
  <c r="I1704" i="1"/>
  <c r="J1704" i="1"/>
  <c r="I1705" i="1"/>
  <c r="J1705" i="1"/>
  <c r="I1706" i="1"/>
  <c r="J1706" i="1"/>
  <c r="I1707" i="1"/>
  <c r="J1707" i="1"/>
  <c r="I1708" i="1"/>
  <c r="J1708" i="1"/>
  <c r="I1709" i="1"/>
  <c r="J1709" i="1"/>
  <c r="I1710" i="1"/>
  <c r="J1710" i="1"/>
  <c r="I1711" i="1"/>
  <c r="J1711" i="1"/>
  <c r="I1712" i="1"/>
  <c r="J1712" i="1"/>
  <c r="I1713" i="1"/>
  <c r="J1713" i="1"/>
  <c r="I1714" i="1"/>
  <c r="J1714" i="1"/>
  <c r="I1715" i="1"/>
  <c r="J1715" i="1"/>
  <c r="I1716" i="1"/>
  <c r="J1716" i="1"/>
  <c r="I1717" i="1"/>
  <c r="J1717" i="1"/>
  <c r="I1718" i="1"/>
  <c r="J1718" i="1"/>
  <c r="I1719" i="1"/>
  <c r="J1719" i="1"/>
  <c r="I1720" i="1"/>
  <c r="J1720" i="1"/>
  <c r="I1721" i="1"/>
  <c r="J1721" i="1"/>
  <c r="I1722" i="1"/>
  <c r="J1722" i="1"/>
  <c r="I1723" i="1"/>
  <c r="J1723" i="1"/>
  <c r="I1724" i="1"/>
  <c r="J1724" i="1"/>
  <c r="I1725" i="1"/>
  <c r="J1725" i="1"/>
  <c r="I1726" i="1"/>
  <c r="J1726" i="1"/>
  <c r="I1727" i="1"/>
  <c r="J1727" i="1"/>
  <c r="I1728" i="1"/>
  <c r="J1728" i="1"/>
  <c r="I1729" i="1"/>
  <c r="J1729" i="1"/>
  <c r="I1730" i="1"/>
  <c r="J1730" i="1"/>
  <c r="I1731" i="1"/>
  <c r="J1731" i="1"/>
  <c r="I1732" i="1"/>
  <c r="J1732" i="1"/>
  <c r="I1733" i="1"/>
  <c r="J1733" i="1"/>
  <c r="I1734" i="1"/>
  <c r="J1734" i="1"/>
  <c r="I1735" i="1"/>
  <c r="J1735" i="1"/>
  <c r="I1736" i="1"/>
  <c r="J1736" i="1"/>
  <c r="I1737" i="1"/>
  <c r="J1737" i="1"/>
  <c r="I1738" i="1"/>
  <c r="J1738" i="1"/>
  <c r="I1739" i="1"/>
  <c r="J1739" i="1"/>
  <c r="I1740" i="1"/>
  <c r="J1740" i="1"/>
  <c r="I1741" i="1"/>
  <c r="J1741" i="1"/>
  <c r="I1742" i="1"/>
  <c r="J1742" i="1"/>
  <c r="I1743" i="1"/>
  <c r="J1743" i="1"/>
  <c r="I1744" i="1"/>
  <c r="J1744" i="1"/>
  <c r="I1745" i="1"/>
  <c r="J1745" i="1"/>
  <c r="I1746" i="1"/>
  <c r="J1746" i="1"/>
  <c r="I1747" i="1"/>
  <c r="J1747" i="1"/>
  <c r="I1748" i="1"/>
  <c r="J1748" i="1"/>
  <c r="I1749" i="1"/>
  <c r="J1749" i="1"/>
  <c r="I1750" i="1"/>
  <c r="J1750" i="1"/>
  <c r="I1751" i="1"/>
  <c r="J1751" i="1"/>
  <c r="I1752" i="1"/>
  <c r="J1752" i="1"/>
  <c r="I1753" i="1"/>
  <c r="J1753" i="1"/>
  <c r="I1754" i="1"/>
  <c r="J1754" i="1"/>
  <c r="I1755" i="1"/>
  <c r="J1755" i="1"/>
  <c r="I1756" i="1"/>
  <c r="J1756" i="1"/>
  <c r="I1757" i="1"/>
  <c r="J1757" i="1"/>
  <c r="I1758" i="1"/>
  <c r="J1758" i="1"/>
  <c r="I1759" i="1"/>
  <c r="J1759" i="1"/>
  <c r="I1760" i="1"/>
  <c r="J1760" i="1"/>
  <c r="I1761" i="1"/>
  <c r="J1761" i="1"/>
  <c r="I1762" i="1"/>
  <c r="J1762" i="1"/>
  <c r="I1763" i="1"/>
  <c r="J1763" i="1"/>
  <c r="I1764" i="1"/>
  <c r="J1764" i="1"/>
  <c r="I1765" i="1"/>
  <c r="J1765" i="1"/>
  <c r="I1766" i="1"/>
  <c r="J1766" i="1"/>
  <c r="I1767" i="1"/>
  <c r="J1767" i="1"/>
  <c r="I1768" i="1"/>
  <c r="J1768" i="1"/>
  <c r="I1769" i="1"/>
  <c r="J1769" i="1"/>
  <c r="I1770" i="1"/>
  <c r="J1770" i="1"/>
  <c r="I1771" i="1"/>
  <c r="J1771" i="1"/>
  <c r="I1772" i="1"/>
  <c r="J1772" i="1"/>
  <c r="I1773" i="1"/>
  <c r="J1773" i="1"/>
  <c r="I1774" i="1"/>
  <c r="J1774" i="1"/>
  <c r="I1775" i="1"/>
  <c r="J1775" i="1"/>
  <c r="I1776" i="1"/>
  <c r="J1776" i="1"/>
  <c r="I1777" i="1"/>
  <c r="J1777" i="1"/>
  <c r="I1778" i="1"/>
  <c r="J1778" i="1"/>
  <c r="I1779" i="1"/>
  <c r="J1779" i="1"/>
  <c r="I1780" i="1"/>
  <c r="J1780" i="1"/>
  <c r="I1781" i="1"/>
  <c r="J1781" i="1"/>
  <c r="I1782" i="1"/>
  <c r="J1782" i="1"/>
  <c r="I1783" i="1"/>
  <c r="J1783" i="1"/>
  <c r="I1784" i="1"/>
  <c r="J1784" i="1"/>
  <c r="I1785" i="1"/>
  <c r="J1785" i="1"/>
  <c r="I1786" i="1"/>
  <c r="J1786" i="1"/>
  <c r="I1787" i="1"/>
  <c r="J1787" i="1"/>
  <c r="I1788" i="1"/>
  <c r="J1788" i="1"/>
  <c r="I1789" i="1"/>
  <c r="J1789" i="1"/>
  <c r="I1790" i="1"/>
  <c r="J1790" i="1"/>
  <c r="I1791" i="1"/>
  <c r="J1791" i="1"/>
  <c r="I1792" i="1"/>
  <c r="J1792" i="1"/>
  <c r="I1793" i="1"/>
  <c r="J1793" i="1"/>
  <c r="I1794" i="1"/>
  <c r="J1794" i="1"/>
  <c r="I1795" i="1"/>
  <c r="J1795" i="1"/>
  <c r="I1796" i="1"/>
  <c r="J1796" i="1"/>
  <c r="I1797" i="1"/>
  <c r="J1797" i="1"/>
  <c r="I1798" i="1"/>
  <c r="J1798" i="1"/>
  <c r="I1799" i="1"/>
  <c r="J1799" i="1"/>
  <c r="I1800" i="1"/>
  <c r="J1800" i="1"/>
  <c r="I1801" i="1"/>
  <c r="J1801" i="1"/>
  <c r="J2" i="1"/>
  <c r="I2" i="1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2" i="2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G1644" i="1"/>
  <c r="G1645" i="1"/>
  <c r="G1646" i="1"/>
  <c r="G1647" i="1"/>
  <c r="G1648" i="1"/>
  <c r="G1649" i="1"/>
  <c r="G1650" i="1"/>
  <c r="G1651" i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G1673" i="1"/>
  <c r="G1674" i="1"/>
  <c r="G1675" i="1"/>
  <c r="G1676" i="1"/>
  <c r="G1677" i="1"/>
  <c r="G1678" i="1"/>
  <c r="G1679" i="1"/>
  <c r="G1680" i="1"/>
  <c r="G1681" i="1"/>
  <c r="G1682" i="1"/>
  <c r="G1683" i="1"/>
  <c r="G1684" i="1"/>
  <c r="G1685" i="1"/>
  <c r="G1686" i="1"/>
  <c r="G1687" i="1"/>
  <c r="G1688" i="1"/>
  <c r="G1689" i="1"/>
  <c r="G1690" i="1"/>
  <c r="G1691" i="1"/>
  <c r="G1692" i="1"/>
  <c r="G1693" i="1"/>
  <c r="G1694" i="1"/>
  <c r="G1695" i="1"/>
  <c r="G1696" i="1"/>
  <c r="G1697" i="1"/>
  <c r="G1698" i="1"/>
  <c r="G1699" i="1"/>
  <c r="G1700" i="1"/>
  <c r="G1701" i="1"/>
  <c r="G1702" i="1"/>
  <c r="G1703" i="1"/>
  <c r="G1704" i="1"/>
  <c r="G1705" i="1"/>
  <c r="G1706" i="1"/>
  <c r="G1707" i="1"/>
  <c r="G1708" i="1"/>
  <c r="G1709" i="1"/>
  <c r="G1710" i="1"/>
  <c r="G1711" i="1"/>
  <c r="G1712" i="1"/>
  <c r="G1713" i="1"/>
  <c r="G1714" i="1"/>
  <c r="G1715" i="1"/>
  <c r="G1716" i="1"/>
  <c r="G1717" i="1"/>
  <c r="G1718" i="1"/>
  <c r="G1719" i="1"/>
  <c r="G1720" i="1"/>
  <c r="G1721" i="1"/>
  <c r="G1722" i="1"/>
  <c r="G1723" i="1"/>
  <c r="G1724" i="1"/>
  <c r="G1725" i="1"/>
  <c r="G1726" i="1"/>
  <c r="G1727" i="1"/>
  <c r="G1728" i="1"/>
  <c r="G1729" i="1"/>
  <c r="G1730" i="1"/>
  <c r="G1731" i="1"/>
  <c r="G1732" i="1"/>
  <c r="G1733" i="1"/>
  <c r="G1734" i="1"/>
  <c r="G1735" i="1"/>
  <c r="G1736" i="1"/>
  <c r="G1737" i="1"/>
  <c r="G1738" i="1"/>
  <c r="G1739" i="1"/>
  <c r="G1740" i="1"/>
  <c r="G1741" i="1"/>
  <c r="G1742" i="1"/>
  <c r="G1743" i="1"/>
  <c r="G1744" i="1"/>
  <c r="G1745" i="1"/>
  <c r="G1746" i="1"/>
  <c r="G1747" i="1"/>
  <c r="G1748" i="1"/>
  <c r="G1749" i="1"/>
  <c r="G1750" i="1"/>
  <c r="G1751" i="1"/>
  <c r="G1752" i="1"/>
  <c r="G1753" i="1"/>
  <c r="G1754" i="1"/>
  <c r="G1755" i="1"/>
  <c r="G1756" i="1"/>
  <c r="G1757" i="1"/>
  <c r="G1758" i="1"/>
  <c r="G1759" i="1"/>
  <c r="G1760" i="1"/>
  <c r="G1761" i="1"/>
  <c r="G1762" i="1"/>
  <c r="G1763" i="1"/>
  <c r="G1764" i="1"/>
  <c r="G1765" i="1"/>
  <c r="G1766" i="1"/>
  <c r="G1767" i="1"/>
  <c r="G1768" i="1"/>
  <c r="G1769" i="1"/>
  <c r="G1770" i="1"/>
  <c r="G1771" i="1"/>
  <c r="G1772" i="1"/>
  <c r="G1773" i="1"/>
  <c r="G1774" i="1"/>
  <c r="G1775" i="1"/>
  <c r="G1776" i="1"/>
  <c r="G1777" i="1"/>
  <c r="G1778" i="1"/>
  <c r="G1779" i="1"/>
  <c r="G1780" i="1"/>
  <c r="G1781" i="1"/>
  <c r="G1782" i="1"/>
  <c r="G1783" i="1"/>
  <c r="G1784" i="1"/>
  <c r="G1785" i="1"/>
  <c r="G1786" i="1"/>
  <c r="G1787" i="1"/>
  <c r="G1788" i="1"/>
  <c r="G1789" i="1"/>
  <c r="G1790" i="1"/>
  <c r="G1791" i="1"/>
  <c r="G1792" i="1"/>
  <c r="G1793" i="1"/>
  <c r="G1794" i="1"/>
  <c r="G1795" i="1"/>
  <c r="G1796" i="1"/>
  <c r="G1797" i="1"/>
  <c r="G1798" i="1"/>
  <c r="G1799" i="1"/>
  <c r="G1800" i="1"/>
  <c r="G1801" i="1"/>
  <c r="G2" i="1"/>
  <c r="D5" i="2"/>
  <c r="D8" i="2"/>
  <c r="D9" i="2"/>
  <c r="D10" i="2"/>
  <c r="D11" i="2"/>
  <c r="D12" i="2"/>
  <c r="D13" i="2"/>
  <c r="D14" i="2"/>
  <c r="D17" i="2"/>
  <c r="D19" i="2"/>
  <c r="D20" i="2"/>
  <c r="D21" i="2"/>
  <c r="D23" i="2"/>
  <c r="D26" i="2"/>
  <c r="D29" i="2"/>
  <c r="D30" i="2"/>
  <c r="D31" i="2"/>
  <c r="D32" i="2"/>
  <c r="D35" i="2"/>
  <c r="D38" i="2"/>
  <c r="D39" i="2"/>
  <c r="D40" i="2"/>
  <c r="D41" i="2"/>
  <c r="D42" i="2"/>
  <c r="D43" i="2"/>
  <c r="D44" i="2"/>
  <c r="D47" i="2"/>
  <c r="D49" i="2"/>
  <c r="D50" i="2"/>
  <c r="D51" i="2"/>
  <c r="D53" i="2"/>
  <c r="D56" i="2"/>
  <c r="D59" i="2"/>
  <c r="D60" i="2"/>
  <c r="D61" i="2"/>
  <c r="D62" i="2"/>
  <c r="D65" i="2"/>
  <c r="D68" i="2"/>
  <c r="D69" i="2"/>
  <c r="D70" i="2"/>
  <c r="D71" i="2"/>
  <c r="D72" i="2"/>
  <c r="D73" i="2"/>
  <c r="D74" i="2"/>
  <c r="D77" i="2"/>
  <c r="D79" i="2"/>
  <c r="D80" i="2"/>
  <c r="D81" i="2"/>
  <c r="D83" i="2"/>
  <c r="D86" i="2"/>
  <c r="D89" i="2"/>
  <c r="D90" i="2"/>
  <c r="D91" i="2"/>
  <c r="D92" i="2"/>
  <c r="D95" i="2"/>
  <c r="D98" i="2"/>
  <c r="D99" i="2"/>
  <c r="D100" i="2"/>
  <c r="D101" i="2"/>
  <c r="D102" i="2"/>
  <c r="D103" i="2"/>
  <c r="D104" i="2"/>
  <c r="D107" i="2"/>
  <c r="D109" i="2"/>
  <c r="D110" i="2"/>
  <c r="D111" i="2"/>
  <c r="D113" i="2"/>
  <c r="D116" i="2"/>
  <c r="D119" i="2"/>
  <c r="D120" i="2"/>
  <c r="D121" i="2"/>
  <c r="D122" i="2"/>
  <c r="D123" i="2"/>
  <c r="D125" i="2"/>
  <c r="D128" i="2"/>
  <c r="D129" i="2"/>
  <c r="D130" i="2"/>
  <c r="D131" i="2"/>
  <c r="D132" i="2"/>
  <c r="D133" i="2"/>
  <c r="D134" i="2"/>
  <c r="D137" i="2"/>
  <c r="D139" i="2"/>
  <c r="D140" i="2"/>
  <c r="D141" i="2"/>
  <c r="D143" i="2"/>
  <c r="D146" i="2"/>
  <c r="D149" i="2"/>
  <c r="D150" i="2"/>
  <c r="D151" i="2"/>
  <c r="D152" i="2"/>
  <c r="D153" i="2"/>
  <c r="D155" i="2"/>
  <c r="D158" i="2"/>
  <c r="D159" i="2"/>
  <c r="D160" i="2"/>
  <c r="D161" i="2"/>
  <c r="D162" i="2"/>
  <c r="D163" i="2"/>
  <c r="D164" i="2"/>
  <c r="D167" i="2"/>
  <c r="D169" i="2"/>
  <c r="D170" i="2"/>
  <c r="D171" i="2"/>
  <c r="D173" i="2"/>
  <c r="D176" i="2"/>
  <c r="D2" i="2"/>
  <c r="A177" i="2"/>
  <c r="A178" i="2" s="1"/>
  <c r="D178" i="2" s="1"/>
  <c r="A174" i="2"/>
  <c r="A175" i="2" s="1"/>
  <c r="D175" i="2" s="1"/>
  <c r="A171" i="2"/>
  <c r="A172" i="2" s="1"/>
  <c r="D172" i="2" s="1"/>
  <c r="A168" i="2"/>
  <c r="A169" i="2" s="1"/>
  <c r="A165" i="2"/>
  <c r="A166" i="2" s="1"/>
  <c r="D166" i="2" s="1"/>
  <c r="A162" i="2"/>
  <c r="A163" i="2" s="1"/>
  <c r="A159" i="2"/>
  <c r="A160" i="2" s="1"/>
  <c r="A156" i="2"/>
  <c r="A157" i="2" s="1"/>
  <c r="D157" i="2" s="1"/>
  <c r="A153" i="2"/>
  <c r="A154" i="2" s="1"/>
  <c r="D154" i="2" s="1"/>
  <c r="A150" i="2"/>
  <c r="A151" i="2" s="1"/>
  <c r="A147" i="2"/>
  <c r="A148" i="2" s="1"/>
  <c r="D148" i="2" s="1"/>
  <c r="A144" i="2"/>
  <c r="A145" i="2" s="1"/>
  <c r="D145" i="2" s="1"/>
  <c r="A141" i="2"/>
  <c r="A142" i="2" s="1"/>
  <c r="D142" i="2" s="1"/>
  <c r="A138" i="2"/>
  <c r="A139" i="2" s="1"/>
  <c r="A135" i="2"/>
  <c r="A136" i="2" s="1"/>
  <c r="D136" i="2" s="1"/>
  <c r="A132" i="2"/>
  <c r="A133" i="2" s="1"/>
  <c r="A129" i="2"/>
  <c r="A130" i="2" s="1"/>
  <c r="A126" i="2"/>
  <c r="A127" i="2" s="1"/>
  <c r="D127" i="2" s="1"/>
  <c r="A123" i="2"/>
  <c r="A124" i="2" s="1"/>
  <c r="D124" i="2" s="1"/>
  <c r="A120" i="2"/>
  <c r="A121" i="2" s="1"/>
  <c r="A117" i="2"/>
  <c r="A118" i="2" s="1"/>
  <c r="D118" i="2" s="1"/>
  <c r="A114" i="2"/>
  <c r="A115" i="2" s="1"/>
  <c r="D115" i="2" s="1"/>
  <c r="A111" i="2"/>
  <c r="A112" i="2" s="1"/>
  <c r="D112" i="2" s="1"/>
  <c r="A108" i="2"/>
  <c r="A109" i="2" s="1"/>
  <c r="A105" i="2"/>
  <c r="A106" i="2" s="1"/>
  <c r="D106" i="2" s="1"/>
  <c r="A102" i="2"/>
  <c r="A103" i="2" s="1"/>
  <c r="A99" i="2"/>
  <c r="A100" i="2" s="1"/>
  <c r="A96" i="2"/>
  <c r="A97" i="2" s="1"/>
  <c r="D97" i="2" s="1"/>
  <c r="A93" i="2"/>
  <c r="A94" i="2" s="1"/>
  <c r="D94" i="2" s="1"/>
  <c r="A90" i="2"/>
  <c r="A91" i="2" s="1"/>
  <c r="A87" i="2"/>
  <c r="A88" i="2" s="1"/>
  <c r="D88" i="2" s="1"/>
  <c r="A84" i="2"/>
  <c r="A85" i="2" s="1"/>
  <c r="D85" i="2" s="1"/>
  <c r="A81" i="2"/>
  <c r="A82" i="2" s="1"/>
  <c r="D82" i="2" s="1"/>
  <c r="A78" i="2"/>
  <c r="A79" i="2" s="1"/>
  <c r="A75" i="2"/>
  <c r="A76" i="2" s="1"/>
  <c r="D76" i="2" s="1"/>
  <c r="A72" i="2"/>
  <c r="A73" i="2" s="1"/>
  <c r="A69" i="2"/>
  <c r="A70" i="2" s="1"/>
  <c r="A66" i="2"/>
  <c r="A67" i="2" s="1"/>
  <c r="D67" i="2" s="1"/>
  <c r="A63" i="2"/>
  <c r="A64" i="2" s="1"/>
  <c r="D64" i="2" s="1"/>
  <c r="A60" i="2"/>
  <c r="A61" i="2" s="1"/>
  <c r="A57" i="2"/>
  <c r="A58" i="2" s="1"/>
  <c r="D58" i="2" s="1"/>
  <c r="A54" i="2"/>
  <c r="A55" i="2" s="1"/>
  <c r="D55" i="2" s="1"/>
  <c r="A51" i="2"/>
  <c r="A52" i="2" s="1"/>
  <c r="D52" i="2" s="1"/>
  <c r="A48" i="2"/>
  <c r="A49" i="2" s="1"/>
  <c r="A45" i="2"/>
  <c r="A46" i="2" s="1"/>
  <c r="D46" i="2" s="1"/>
  <c r="A42" i="2"/>
  <c r="A43" i="2" s="1"/>
  <c r="A39" i="2"/>
  <c r="A40" i="2" s="1"/>
  <c r="A36" i="2"/>
  <c r="A37" i="2" s="1"/>
  <c r="D37" i="2" s="1"/>
  <c r="A33" i="2"/>
  <c r="A34" i="2" s="1"/>
  <c r="D34" i="2" s="1"/>
  <c r="A30" i="2"/>
  <c r="A31" i="2" s="1"/>
  <c r="A27" i="2"/>
  <c r="A28" i="2" s="1"/>
  <c r="D28" i="2" s="1"/>
  <c r="A24" i="2"/>
  <c r="A25" i="2" s="1"/>
  <c r="D25" i="2" s="1"/>
  <c r="A21" i="2"/>
  <c r="A22" i="2" s="1"/>
  <c r="D22" i="2" s="1"/>
  <c r="A18" i="2"/>
  <c r="A19" i="2" s="1"/>
  <c r="A15" i="2"/>
  <c r="A16" i="2" s="1"/>
  <c r="D16" i="2" s="1"/>
  <c r="A12" i="2"/>
  <c r="A13" i="2" s="1"/>
  <c r="A9" i="2"/>
  <c r="A10" i="2" s="1"/>
  <c r="A6" i="2"/>
  <c r="A7" i="2" s="1"/>
  <c r="D7" i="2" s="1"/>
  <c r="A3" i="2"/>
  <c r="A4" i="2" s="1"/>
  <c r="D4" i="2" s="1"/>
  <c r="D168" i="2" l="1"/>
  <c r="D138" i="2"/>
  <c r="D174" i="2"/>
  <c r="D144" i="2"/>
  <c r="D114" i="2"/>
  <c r="D84" i="2"/>
  <c r="D54" i="2"/>
  <c r="D24" i="2"/>
  <c r="D93" i="2"/>
  <c r="D63" i="2"/>
  <c r="D33" i="2"/>
  <c r="D3" i="2"/>
  <c r="H2" i="1"/>
  <c r="H6" i="1"/>
  <c r="H16" i="1"/>
  <c r="H7" i="1"/>
  <c r="H17" i="1"/>
  <c r="H27" i="1"/>
  <c r="H37" i="1"/>
  <c r="H67" i="1"/>
  <c r="H8" i="1"/>
  <c r="H18" i="1"/>
  <c r="H28" i="1"/>
  <c r="H68" i="1"/>
  <c r="H9" i="1"/>
  <c r="H19" i="1"/>
  <c r="H29" i="1"/>
  <c r="H69" i="1"/>
  <c r="H10" i="1"/>
  <c r="H20" i="1"/>
  <c r="H30" i="1"/>
  <c r="H70" i="1"/>
  <c r="H11" i="1"/>
  <c r="H21" i="1"/>
  <c r="H31" i="1"/>
  <c r="H71" i="1"/>
  <c r="H12" i="1"/>
  <c r="H22" i="1"/>
  <c r="H32" i="1"/>
  <c r="H62" i="1"/>
  <c r="H72" i="1"/>
  <c r="H13" i="1"/>
  <c r="H14" i="1"/>
  <c r="H24" i="1"/>
  <c r="H34" i="1"/>
  <c r="H64" i="1"/>
  <c r="H15" i="1"/>
  <c r="H25" i="1"/>
  <c r="H35" i="1"/>
  <c r="H65" i="1"/>
  <c r="H23" i="1"/>
  <c r="H73" i="1"/>
  <c r="H26" i="1"/>
  <c r="H33" i="1"/>
  <c r="H36" i="1"/>
  <c r="H63" i="1"/>
  <c r="H66" i="1"/>
  <c r="D108" i="2"/>
  <c r="D78" i="2"/>
  <c r="D48" i="2"/>
  <c r="D18" i="2"/>
  <c r="D126" i="2"/>
  <c r="D96" i="2"/>
  <c r="D66" i="2"/>
  <c r="D36" i="2"/>
  <c r="D6" i="2"/>
  <c r="D177" i="2"/>
  <c r="D147" i="2"/>
  <c r="D117" i="2"/>
  <c r="D87" i="2"/>
  <c r="D57" i="2"/>
  <c r="D27" i="2"/>
  <c r="D156" i="2"/>
  <c r="D165" i="2"/>
  <c r="D135" i="2"/>
  <c r="H1389" i="1" s="1"/>
  <c r="D105" i="2"/>
  <c r="H1598" i="1" s="1"/>
  <c r="D75" i="2"/>
  <c r="H1479" i="1" s="1"/>
  <c r="D45" i="2"/>
  <c r="H1778" i="1" s="1"/>
  <c r="D15" i="2"/>
  <c r="H1748" i="1"/>
  <c r="H1738" i="1"/>
  <c r="H1658" i="1"/>
  <c r="H1648" i="1"/>
  <c r="H1638" i="1"/>
  <c r="H1628" i="1"/>
  <c r="H1618" i="1"/>
  <c r="H1608" i="1"/>
  <c r="H1578" i="1"/>
  <c r="H1568" i="1"/>
  <c r="H1558" i="1"/>
  <c r="H1548" i="1"/>
  <c r="H1538" i="1"/>
  <c r="H1528" i="1"/>
  <c r="H1518" i="1"/>
  <c r="H1508" i="1"/>
  <c r="H1498" i="1"/>
  <c r="H1478" i="1"/>
  <c r="H1468" i="1"/>
  <c r="H1458" i="1"/>
  <c r="H1448" i="1"/>
  <c r="H1438" i="1"/>
  <c r="H1428" i="1"/>
  <c r="H1418" i="1"/>
  <c r="H1408" i="1"/>
  <c r="H1398" i="1"/>
  <c r="H1375" i="1"/>
  <c r="H1708" i="1" l="1"/>
  <c r="H1739" i="1"/>
  <c r="H1639" i="1"/>
  <c r="H1539" i="1"/>
  <c r="H1729" i="1"/>
  <c r="H1629" i="1"/>
  <c r="H1529" i="1"/>
  <c r="H1719" i="1"/>
  <c r="H1619" i="1"/>
  <c r="H1519" i="1"/>
  <c r="H1709" i="1"/>
  <c r="H1609" i="1"/>
  <c r="H1799" i="1"/>
  <c r="H1699" i="1"/>
  <c r="H1599" i="1"/>
  <c r="H1510" i="1"/>
  <c r="H1410" i="1"/>
  <c r="H1789" i="1"/>
  <c r="H1500" i="1"/>
  <c r="H1400" i="1"/>
  <c r="H1779" i="1"/>
  <c r="H1490" i="1"/>
  <c r="H1390" i="1"/>
  <c r="H1769" i="1"/>
  <c r="H1377" i="1"/>
  <c r="H1759" i="1"/>
  <c r="H1659" i="1"/>
  <c r="H1749" i="1"/>
  <c r="H1649" i="1"/>
  <c r="H1549" i="1"/>
  <c r="H1449" i="1"/>
  <c r="H1589" i="1"/>
  <c r="H1718" i="1"/>
  <c r="H1459" i="1"/>
  <c r="H1669" i="1"/>
  <c r="H1728" i="1"/>
  <c r="H1469" i="1"/>
  <c r="H1679" i="1"/>
  <c r="H1376" i="1"/>
  <c r="H1689" i="1"/>
  <c r="H1489" i="1"/>
  <c r="H1383" i="1"/>
  <c r="H1758" i="1"/>
  <c r="H1399" i="1"/>
  <c r="H1499" i="1"/>
  <c r="H1668" i="1"/>
  <c r="H1768" i="1"/>
  <c r="H1409" i="1"/>
  <c r="H1509" i="1"/>
  <c r="H1678" i="1"/>
  <c r="H1419" i="1"/>
  <c r="H1559" i="1"/>
  <c r="H1388" i="1"/>
  <c r="H1488" i="1"/>
  <c r="H1588" i="1"/>
  <c r="H1688" i="1"/>
  <c r="H1788" i="1"/>
  <c r="H1429" i="1"/>
  <c r="H1569" i="1"/>
  <c r="H1698" i="1"/>
  <c r="H1798" i="1"/>
  <c r="H1439" i="1"/>
  <c r="H1579" i="1"/>
  <c r="H1470" i="1"/>
  <c r="H1570" i="1"/>
  <c r="H1670" i="1"/>
  <c r="H1770" i="1"/>
  <c r="H1451" i="1"/>
  <c r="H1551" i="1"/>
  <c r="H1651" i="1"/>
  <c r="H1751" i="1"/>
  <c r="H1362" i="1"/>
  <c r="H1262" i="1"/>
  <c r="H1162" i="1"/>
  <c r="H1062" i="1"/>
  <c r="H962" i="1"/>
  <c r="H862" i="1"/>
  <c r="H674" i="1"/>
  <c r="H453" i="1"/>
  <c r="H116" i="1"/>
  <c r="H1291" i="1"/>
  <c r="H1191" i="1"/>
  <c r="H1091" i="1"/>
  <c r="H991" i="1"/>
  <c r="H891" i="1"/>
  <c r="H733" i="1"/>
  <c r="H524" i="1"/>
  <c r="H263" i="1"/>
  <c r="H1330" i="1"/>
  <c r="H1230" i="1"/>
  <c r="H1130" i="1"/>
  <c r="H1030" i="1"/>
  <c r="H930" i="1"/>
  <c r="H812" i="1"/>
  <c r="H612" i="1"/>
  <c r="H373" i="1"/>
  <c r="H1359" i="1"/>
  <c r="H1259" i="1"/>
  <c r="H1159" i="1"/>
  <c r="H1059" i="1"/>
  <c r="H959" i="1"/>
  <c r="H859" i="1"/>
  <c r="H669" i="1"/>
  <c r="H444" i="1"/>
  <c r="H103" i="1"/>
  <c r="H1288" i="1"/>
  <c r="H1188" i="1"/>
  <c r="H1088" i="1"/>
  <c r="H988" i="1"/>
  <c r="H888" i="1"/>
  <c r="H726" i="1"/>
  <c r="H516" i="1"/>
  <c r="H246" i="1"/>
  <c r="H1317" i="1"/>
  <c r="H1217" i="1"/>
  <c r="H1117" i="1"/>
  <c r="H1017" i="1"/>
  <c r="H917" i="1"/>
  <c r="H784" i="1"/>
  <c r="H584" i="1"/>
  <c r="H342" i="1"/>
  <c r="H1346" i="1"/>
  <c r="H1246" i="1"/>
  <c r="H1146" i="1"/>
  <c r="H1046" i="1"/>
  <c r="H946" i="1"/>
  <c r="H843" i="1"/>
  <c r="H643" i="1"/>
  <c r="H413" i="1"/>
  <c r="H1275" i="1"/>
  <c r="H1175" i="1"/>
  <c r="H1075" i="1"/>
  <c r="H975" i="1"/>
  <c r="H875" i="1"/>
  <c r="H702" i="1"/>
  <c r="H484" i="1"/>
  <c r="H183" i="1"/>
  <c r="H1324" i="1"/>
  <c r="H1224" i="1"/>
  <c r="H1124" i="1"/>
  <c r="H1024" i="1"/>
  <c r="H924" i="1"/>
  <c r="H799" i="1"/>
  <c r="H599" i="1"/>
  <c r="H356" i="1"/>
  <c r="H1480" i="1"/>
  <c r="H1580" i="1"/>
  <c r="H1680" i="1"/>
  <c r="H1780" i="1"/>
  <c r="H1461" i="1"/>
  <c r="H1561" i="1"/>
  <c r="H1661" i="1"/>
  <c r="H1761" i="1"/>
  <c r="H1352" i="1"/>
  <c r="H1252" i="1"/>
  <c r="H1152" i="1"/>
  <c r="H1052" i="1"/>
  <c r="H952" i="1"/>
  <c r="H852" i="1"/>
  <c r="H654" i="1"/>
  <c r="H426" i="1"/>
  <c r="H1281" i="1"/>
  <c r="H1181" i="1"/>
  <c r="H1081" i="1"/>
  <c r="H981" i="1"/>
  <c r="H881" i="1"/>
  <c r="H713" i="1"/>
  <c r="H502" i="1"/>
  <c r="H213" i="1"/>
  <c r="H1320" i="1"/>
  <c r="H1220" i="1"/>
  <c r="H1120" i="1"/>
  <c r="H1020" i="1"/>
  <c r="H920" i="1"/>
  <c r="H792" i="1"/>
  <c r="H592" i="1"/>
  <c r="H346" i="1"/>
  <c r="H1349" i="1"/>
  <c r="H1249" i="1"/>
  <c r="H1149" i="1"/>
  <c r="H1049" i="1"/>
  <c r="H949" i="1"/>
  <c r="H849" i="1"/>
  <c r="H649" i="1"/>
  <c r="H422" i="1"/>
  <c r="H53" i="1"/>
  <c r="H1278" i="1"/>
  <c r="H1178" i="1"/>
  <c r="H1078" i="1"/>
  <c r="H978" i="1"/>
  <c r="H878" i="1"/>
  <c r="H706" i="1"/>
  <c r="H493" i="1"/>
  <c r="H196" i="1"/>
  <c r="H1307" i="1"/>
  <c r="H1207" i="1"/>
  <c r="H1107" i="1"/>
  <c r="H1007" i="1"/>
  <c r="H907" i="1"/>
  <c r="H764" i="1"/>
  <c r="H564" i="1"/>
  <c r="H314" i="1"/>
  <c r="H1336" i="1"/>
  <c r="H1236" i="1"/>
  <c r="H1136" i="1"/>
  <c r="H1036" i="1"/>
  <c r="H936" i="1"/>
  <c r="H823" i="1"/>
  <c r="H623" i="1"/>
  <c r="H386" i="1"/>
  <c r="H1365" i="1"/>
  <c r="H1265" i="1"/>
  <c r="H1165" i="1"/>
  <c r="H1065" i="1"/>
  <c r="H965" i="1"/>
  <c r="H865" i="1"/>
  <c r="H682" i="1"/>
  <c r="H462" i="1"/>
  <c r="H133" i="1"/>
  <c r="H1314" i="1"/>
  <c r="H1214" i="1"/>
  <c r="H1114" i="1"/>
  <c r="H1014" i="1"/>
  <c r="H914" i="1"/>
  <c r="H779" i="1"/>
  <c r="H579" i="1"/>
  <c r="H333" i="1"/>
  <c r="H1590" i="1"/>
  <c r="H1690" i="1"/>
  <c r="H1790" i="1"/>
  <c r="H1471" i="1"/>
  <c r="H1571" i="1"/>
  <c r="H1671" i="1"/>
  <c r="H1771" i="1"/>
  <c r="H1342" i="1"/>
  <c r="H1242" i="1"/>
  <c r="H1142" i="1"/>
  <c r="H1042" i="1"/>
  <c r="H942" i="1"/>
  <c r="H834" i="1"/>
  <c r="H634" i="1"/>
  <c r="H403" i="1"/>
  <c r="H1371" i="1"/>
  <c r="H1271" i="1"/>
  <c r="H1171" i="1"/>
  <c r="H1071" i="1"/>
  <c r="H971" i="1"/>
  <c r="H871" i="1"/>
  <c r="H693" i="1"/>
  <c r="H474" i="1"/>
  <c r="H163" i="1"/>
  <c r="H1310" i="1"/>
  <c r="H1210" i="1"/>
  <c r="H1110" i="1"/>
  <c r="H1010" i="1"/>
  <c r="H910" i="1"/>
  <c r="H772" i="1"/>
  <c r="H572" i="1"/>
  <c r="H323" i="1"/>
  <c r="H1339" i="1"/>
  <c r="H1239" i="1"/>
  <c r="H1139" i="1"/>
  <c r="H1039" i="1"/>
  <c r="H939" i="1"/>
  <c r="H829" i="1"/>
  <c r="H629" i="1"/>
  <c r="H394" i="1"/>
  <c r="H1368" i="1"/>
  <c r="H1268" i="1"/>
  <c r="H1168" i="1"/>
  <c r="H1068" i="1"/>
  <c r="H968" i="1"/>
  <c r="H868" i="1"/>
  <c r="H686" i="1"/>
  <c r="H466" i="1"/>
  <c r="H146" i="1"/>
  <c r="H1297" i="1"/>
  <c r="H1197" i="1"/>
  <c r="H1097" i="1"/>
  <c r="H997" i="1"/>
  <c r="H897" i="1"/>
  <c r="H744" i="1"/>
  <c r="H542" i="1"/>
  <c r="H292" i="1"/>
  <c r="H1326" i="1"/>
  <c r="H1226" i="1"/>
  <c r="H1126" i="1"/>
  <c r="H1026" i="1"/>
  <c r="H926" i="1"/>
  <c r="H803" i="1"/>
  <c r="H603" i="1"/>
  <c r="H363" i="1"/>
  <c r="H1355" i="1"/>
  <c r="H1255" i="1"/>
  <c r="H1155" i="1"/>
  <c r="H1055" i="1"/>
  <c r="H955" i="1"/>
  <c r="H855" i="1"/>
  <c r="H662" i="1"/>
  <c r="H434" i="1"/>
  <c r="H83" i="1"/>
  <c r="H1304" i="1"/>
  <c r="H1204" i="1"/>
  <c r="H1104" i="1"/>
  <c r="H1004" i="1"/>
  <c r="H904" i="1"/>
  <c r="H759" i="1"/>
  <c r="H556" i="1"/>
  <c r="H126" i="1"/>
  <c r="H1600" i="1"/>
  <c r="H1700" i="1"/>
  <c r="H1378" i="1"/>
  <c r="H1481" i="1"/>
  <c r="H1581" i="1"/>
  <c r="H1681" i="1"/>
  <c r="H1781" i="1"/>
  <c r="H1332" i="1"/>
  <c r="H1232" i="1"/>
  <c r="H1132" i="1"/>
  <c r="H1032" i="1"/>
  <c r="H932" i="1"/>
  <c r="H814" i="1"/>
  <c r="H614" i="1"/>
  <c r="H376" i="1"/>
  <c r="H1361" i="1"/>
  <c r="H1261" i="1"/>
  <c r="H1161" i="1"/>
  <c r="H1061" i="1"/>
  <c r="H961" i="1"/>
  <c r="H861" i="1"/>
  <c r="H673" i="1"/>
  <c r="H452" i="1"/>
  <c r="H113" i="1"/>
  <c r="H1300" i="1"/>
  <c r="H1200" i="1"/>
  <c r="H1100" i="1"/>
  <c r="H1000" i="1"/>
  <c r="H900" i="1"/>
  <c r="H752" i="1"/>
  <c r="H546" i="1"/>
  <c r="H296" i="1"/>
  <c r="H1329" i="1"/>
  <c r="H1229" i="1"/>
  <c r="H1129" i="1"/>
  <c r="H1029" i="1"/>
  <c r="H929" i="1"/>
  <c r="H809" i="1"/>
  <c r="H609" i="1"/>
  <c r="H372" i="1"/>
  <c r="H1358" i="1"/>
  <c r="H1258" i="1"/>
  <c r="H1158" i="1"/>
  <c r="H1058" i="1"/>
  <c r="H958" i="1"/>
  <c r="H858" i="1"/>
  <c r="H666" i="1"/>
  <c r="H443" i="1"/>
  <c r="H96" i="1"/>
  <c r="H1287" i="1"/>
  <c r="H1187" i="1"/>
  <c r="H1087" i="1"/>
  <c r="H987" i="1"/>
  <c r="H887" i="1"/>
  <c r="H724" i="1"/>
  <c r="H514" i="1"/>
  <c r="H243" i="1"/>
  <c r="H1316" i="1"/>
  <c r="H1216" i="1"/>
  <c r="H1116" i="1"/>
  <c r="H1016" i="1"/>
  <c r="H916" i="1"/>
  <c r="H783" i="1"/>
  <c r="H583" i="1"/>
  <c r="H336" i="1"/>
  <c r="H1345" i="1"/>
  <c r="H1245" i="1"/>
  <c r="H1145" i="1"/>
  <c r="H1045" i="1"/>
  <c r="H945" i="1"/>
  <c r="H842" i="1"/>
  <c r="H642" i="1"/>
  <c r="H412" i="1"/>
  <c r="H1294" i="1"/>
  <c r="H1194" i="1"/>
  <c r="H1094" i="1"/>
  <c r="H994" i="1"/>
  <c r="H894" i="1"/>
  <c r="H739" i="1"/>
  <c r="H533" i="1"/>
  <c r="H76" i="1"/>
  <c r="H1610" i="1"/>
  <c r="H1710" i="1"/>
  <c r="H1391" i="1"/>
  <c r="H1491" i="1"/>
  <c r="H1591" i="1"/>
  <c r="H1691" i="1"/>
  <c r="H1791" i="1"/>
  <c r="H1322" i="1"/>
  <c r="H1222" i="1"/>
  <c r="H1122" i="1"/>
  <c r="H1022" i="1"/>
  <c r="H922" i="1"/>
  <c r="H794" i="1"/>
  <c r="H594" i="1"/>
  <c r="H353" i="1"/>
  <c r="H1351" i="1"/>
  <c r="H1251" i="1"/>
  <c r="H1151" i="1"/>
  <c r="H1051" i="1"/>
  <c r="H951" i="1"/>
  <c r="H851" i="1"/>
  <c r="H653" i="1"/>
  <c r="H424" i="1"/>
  <c r="H1290" i="1"/>
  <c r="H1190" i="1"/>
  <c r="H1090" i="1"/>
  <c r="H990" i="1"/>
  <c r="H890" i="1"/>
  <c r="H732" i="1"/>
  <c r="H523" i="1"/>
  <c r="H256" i="1"/>
  <c r="H1319" i="1"/>
  <c r="H1219" i="1"/>
  <c r="H1119" i="1"/>
  <c r="H1019" i="1"/>
  <c r="H919" i="1"/>
  <c r="H789" i="1"/>
  <c r="H589" i="1"/>
  <c r="H344" i="1"/>
  <c r="H1348" i="1"/>
  <c r="H1248" i="1"/>
  <c r="H1148" i="1"/>
  <c r="H1048" i="1"/>
  <c r="H948" i="1"/>
  <c r="H846" i="1"/>
  <c r="H646" i="1"/>
  <c r="H416" i="1"/>
  <c r="H46" i="1"/>
  <c r="H1277" i="1"/>
  <c r="H1177" i="1"/>
  <c r="H1077" i="1"/>
  <c r="H977" i="1"/>
  <c r="H877" i="1"/>
  <c r="H704" i="1"/>
  <c r="H492" i="1"/>
  <c r="H193" i="1"/>
  <c r="H1306" i="1"/>
  <c r="H1206" i="1"/>
  <c r="H1106" i="1"/>
  <c r="H1006" i="1"/>
  <c r="H906" i="1"/>
  <c r="H763" i="1"/>
  <c r="H563" i="1"/>
  <c r="H313" i="1"/>
  <c r="H1335" i="1"/>
  <c r="H1235" i="1"/>
  <c r="H1135" i="1"/>
  <c r="H1035" i="1"/>
  <c r="H935" i="1"/>
  <c r="H822" i="1"/>
  <c r="H622" i="1"/>
  <c r="H384" i="1"/>
  <c r="H1384" i="1"/>
  <c r="H1284" i="1"/>
  <c r="H1184" i="1"/>
  <c r="H1084" i="1"/>
  <c r="H984" i="1"/>
  <c r="H884" i="1"/>
  <c r="H719" i="1"/>
  <c r="H506" i="1"/>
  <c r="H1420" i="1"/>
  <c r="H1520" i="1"/>
  <c r="H1620" i="1"/>
  <c r="H1720" i="1"/>
  <c r="H1401" i="1"/>
  <c r="H1501" i="1"/>
  <c r="H1601" i="1"/>
  <c r="H1701" i="1"/>
  <c r="H1312" i="1"/>
  <c r="H1212" i="1"/>
  <c r="H1112" i="1"/>
  <c r="H1012" i="1"/>
  <c r="H912" i="1"/>
  <c r="H774" i="1"/>
  <c r="H574" i="1"/>
  <c r="H326" i="1"/>
  <c r="H1341" i="1"/>
  <c r="H1241" i="1"/>
  <c r="H1141" i="1"/>
  <c r="H1041" i="1"/>
  <c r="H941" i="1"/>
  <c r="H833" i="1"/>
  <c r="H633" i="1"/>
  <c r="H402" i="1"/>
  <c r="H1380" i="1"/>
  <c r="H1280" i="1"/>
  <c r="H1180" i="1"/>
  <c r="H1080" i="1"/>
  <c r="H980" i="1"/>
  <c r="H880" i="1"/>
  <c r="H712" i="1"/>
  <c r="H496" i="1"/>
  <c r="H206" i="1"/>
  <c r="H1309" i="1"/>
  <c r="H1209" i="1"/>
  <c r="H1109" i="1"/>
  <c r="H1009" i="1"/>
  <c r="H909" i="1"/>
  <c r="H769" i="1"/>
  <c r="H569" i="1"/>
  <c r="H322" i="1"/>
  <c r="H1338" i="1"/>
  <c r="H1238" i="1"/>
  <c r="H1138" i="1"/>
  <c r="H1038" i="1"/>
  <c r="H938" i="1"/>
  <c r="H826" i="1"/>
  <c r="H626" i="1"/>
  <c r="H393" i="1"/>
  <c r="H1367" i="1"/>
  <c r="H1267" i="1"/>
  <c r="H1167" i="1"/>
  <c r="H1067" i="1"/>
  <c r="H967" i="1"/>
  <c r="H867" i="1"/>
  <c r="H684" i="1"/>
  <c r="H464" i="1"/>
  <c r="H143" i="1"/>
  <c r="H1296" i="1"/>
  <c r="H1196" i="1"/>
  <c r="H1096" i="1"/>
  <c r="H996" i="1"/>
  <c r="H896" i="1"/>
  <c r="H743" i="1"/>
  <c r="H536" i="1"/>
  <c r="H286" i="1"/>
  <c r="H1325" i="1"/>
  <c r="H1225" i="1"/>
  <c r="H1125" i="1"/>
  <c r="H1025" i="1"/>
  <c r="H925" i="1"/>
  <c r="H802" i="1"/>
  <c r="H602" i="1"/>
  <c r="H362" i="1"/>
  <c r="H1374" i="1"/>
  <c r="H1274" i="1"/>
  <c r="H1174" i="1"/>
  <c r="H1074" i="1"/>
  <c r="H974" i="1"/>
  <c r="H874" i="1"/>
  <c r="H699" i="1"/>
  <c r="H483" i="1"/>
  <c r="H1746" i="1"/>
  <c r="H1646" i="1"/>
  <c r="H1546" i="1"/>
  <c r="H1446" i="1"/>
  <c r="H1775" i="1"/>
  <c r="H1675" i="1"/>
  <c r="H1575" i="1"/>
  <c r="H1475" i="1"/>
  <c r="H1794" i="1"/>
  <c r="H1694" i="1"/>
  <c r="H1594" i="1"/>
  <c r="H1494" i="1"/>
  <c r="H1394" i="1"/>
  <c r="H1713" i="1"/>
  <c r="H1613" i="1"/>
  <c r="H1513" i="1"/>
  <c r="H1413" i="1"/>
  <c r="H1732" i="1"/>
  <c r="H1632" i="1"/>
  <c r="H1532" i="1"/>
  <c r="H1432" i="1"/>
  <c r="H137" i="1"/>
  <c r="H237" i="1"/>
  <c r="H337" i="1"/>
  <c r="H437" i="1"/>
  <c r="H537" i="1"/>
  <c r="H637" i="1"/>
  <c r="H737" i="1"/>
  <c r="H837" i="1"/>
  <c r="H88" i="1"/>
  <c r="H188" i="1"/>
  <c r="H288" i="1"/>
  <c r="H388" i="1"/>
  <c r="H488" i="1"/>
  <c r="H588" i="1"/>
  <c r="H688" i="1"/>
  <c r="H788" i="1"/>
  <c r="H39" i="1"/>
  <c r="H139" i="1"/>
  <c r="H239" i="1"/>
  <c r="H339" i="1"/>
  <c r="H439" i="1"/>
  <c r="H539" i="1"/>
  <c r="H80" i="1"/>
  <c r="H180" i="1"/>
  <c r="H280" i="1"/>
  <c r="H380" i="1"/>
  <c r="H480" i="1"/>
  <c r="H580" i="1"/>
  <c r="H680" i="1"/>
  <c r="H780" i="1"/>
  <c r="H41" i="1"/>
  <c r="H141" i="1"/>
  <c r="H241" i="1"/>
  <c r="H341" i="1"/>
  <c r="H441" i="1"/>
  <c r="H541" i="1"/>
  <c r="H641" i="1"/>
  <c r="H741" i="1"/>
  <c r="H841" i="1"/>
  <c r="H102" i="1"/>
  <c r="H202" i="1"/>
  <c r="H114" i="1"/>
  <c r="H214" i="1"/>
  <c r="H135" i="1"/>
  <c r="H235" i="1"/>
  <c r="H335" i="1"/>
  <c r="H435" i="1"/>
  <c r="H535" i="1"/>
  <c r="H635" i="1"/>
  <c r="H735" i="1"/>
  <c r="H835" i="1"/>
  <c r="H354" i="1"/>
  <c r="H596" i="1"/>
  <c r="H796" i="1"/>
  <c r="H923" i="1"/>
  <c r="H1023" i="1"/>
  <c r="H1123" i="1"/>
  <c r="H1223" i="1"/>
  <c r="H1323" i="1"/>
  <c r="H176" i="1"/>
  <c r="H1636" i="1"/>
  <c r="H1536" i="1"/>
  <c r="H1436" i="1"/>
  <c r="H1765" i="1"/>
  <c r="H1665" i="1"/>
  <c r="H1565" i="1"/>
  <c r="H1465" i="1"/>
  <c r="H1784" i="1"/>
  <c r="H1684" i="1"/>
  <c r="H1584" i="1"/>
  <c r="H1484" i="1"/>
  <c r="H1382" i="1"/>
  <c r="H1703" i="1"/>
  <c r="H1603" i="1"/>
  <c r="H1503" i="1"/>
  <c r="H1403" i="1"/>
  <c r="H1722" i="1"/>
  <c r="H1622" i="1"/>
  <c r="H1522" i="1"/>
  <c r="H1422" i="1"/>
  <c r="H47" i="1"/>
  <c r="H147" i="1"/>
  <c r="H247" i="1"/>
  <c r="H347" i="1"/>
  <c r="H447" i="1"/>
  <c r="H547" i="1"/>
  <c r="H647" i="1"/>
  <c r="H747" i="1"/>
  <c r="H847" i="1"/>
  <c r="H98" i="1"/>
  <c r="H198" i="1"/>
  <c r="H298" i="1"/>
  <c r="H398" i="1"/>
  <c r="H498" i="1"/>
  <c r="H598" i="1"/>
  <c r="H698" i="1"/>
  <c r="H798" i="1"/>
  <c r="H49" i="1"/>
  <c r="H149" i="1"/>
  <c r="H249" i="1"/>
  <c r="H349" i="1"/>
  <c r="H449" i="1"/>
  <c r="H549" i="1"/>
  <c r="H90" i="1"/>
  <c r="H190" i="1"/>
  <c r="H290" i="1"/>
  <c r="H390" i="1"/>
  <c r="H490" i="1"/>
  <c r="H590" i="1"/>
  <c r="H690" i="1"/>
  <c r="H790" i="1"/>
  <c r="H51" i="1"/>
  <c r="H151" i="1"/>
  <c r="H251" i="1"/>
  <c r="H351" i="1"/>
  <c r="H451" i="1"/>
  <c r="H551" i="1"/>
  <c r="H651" i="1"/>
  <c r="H751" i="1"/>
  <c r="H112" i="1"/>
  <c r="H212" i="1"/>
  <c r="H124" i="1"/>
  <c r="H224" i="1"/>
  <c r="H45" i="1"/>
  <c r="H145" i="1"/>
  <c r="H245" i="1"/>
  <c r="H345" i="1"/>
  <c r="H445" i="1"/>
  <c r="H545" i="1"/>
  <c r="H645" i="1"/>
  <c r="H745" i="1"/>
  <c r="H845" i="1"/>
  <c r="H382" i="1"/>
  <c r="H616" i="1"/>
  <c r="H816" i="1"/>
  <c r="H933" i="1"/>
  <c r="H1033" i="1"/>
  <c r="H1133" i="1"/>
  <c r="H1233" i="1"/>
  <c r="H1333" i="1"/>
  <c r="H226" i="1"/>
  <c r="H1726" i="1"/>
  <c r="H1626" i="1"/>
  <c r="H1526" i="1"/>
  <c r="H1426" i="1"/>
  <c r="H1755" i="1"/>
  <c r="H1655" i="1"/>
  <c r="H1555" i="1"/>
  <c r="H1455" i="1"/>
  <c r="H1774" i="1"/>
  <c r="H1674" i="1"/>
  <c r="H1574" i="1"/>
  <c r="H1474" i="1"/>
  <c r="H1793" i="1"/>
  <c r="H1693" i="1"/>
  <c r="H1593" i="1"/>
  <c r="H1493" i="1"/>
  <c r="H1393" i="1"/>
  <c r="H1712" i="1"/>
  <c r="H1612" i="1"/>
  <c r="H1512" i="1"/>
  <c r="H1412" i="1"/>
  <c r="H57" i="1"/>
  <c r="H157" i="1"/>
  <c r="H257" i="1"/>
  <c r="H357" i="1"/>
  <c r="H457" i="1"/>
  <c r="H557" i="1"/>
  <c r="H657" i="1"/>
  <c r="H757" i="1"/>
  <c r="H108" i="1"/>
  <c r="H208" i="1"/>
  <c r="H308" i="1"/>
  <c r="H408" i="1"/>
  <c r="H508" i="1"/>
  <c r="H608" i="1"/>
  <c r="H708" i="1"/>
  <c r="H808" i="1"/>
  <c r="H59" i="1"/>
  <c r="H159" i="1"/>
  <c r="H259" i="1"/>
  <c r="H359" i="1"/>
  <c r="H459" i="1"/>
  <c r="H559" i="1"/>
  <c r="H100" i="1"/>
  <c r="H200" i="1"/>
  <c r="H300" i="1"/>
  <c r="H400" i="1"/>
  <c r="H500" i="1"/>
  <c r="H600" i="1"/>
  <c r="H700" i="1"/>
  <c r="H800" i="1"/>
  <c r="H61" i="1"/>
  <c r="H161" i="1"/>
  <c r="H261" i="1"/>
  <c r="H361" i="1"/>
  <c r="H461" i="1"/>
  <c r="H561" i="1"/>
  <c r="H661" i="1"/>
  <c r="H761" i="1"/>
  <c r="H122" i="1"/>
  <c r="H222" i="1"/>
  <c r="H134" i="1"/>
  <c r="H234" i="1"/>
  <c r="H55" i="1"/>
  <c r="H155" i="1"/>
  <c r="H255" i="1"/>
  <c r="H355" i="1"/>
  <c r="H455" i="1"/>
  <c r="H555" i="1"/>
  <c r="H655" i="1"/>
  <c r="H755" i="1"/>
  <c r="H404" i="1"/>
  <c r="H636" i="1"/>
  <c r="H836" i="1"/>
  <c r="H943" i="1"/>
  <c r="H1043" i="1"/>
  <c r="H1143" i="1"/>
  <c r="H1243" i="1"/>
  <c r="H1343" i="1"/>
  <c r="H276" i="1"/>
  <c r="H1716" i="1"/>
  <c r="H1616" i="1"/>
  <c r="H1516" i="1"/>
  <c r="H1416" i="1"/>
  <c r="H1745" i="1"/>
  <c r="H1645" i="1"/>
  <c r="H1545" i="1"/>
  <c r="H1445" i="1"/>
  <c r="H1764" i="1"/>
  <c r="H1664" i="1"/>
  <c r="H1564" i="1"/>
  <c r="H1464" i="1"/>
  <c r="H1783" i="1"/>
  <c r="H1683" i="1"/>
  <c r="H1583" i="1"/>
  <c r="H1483" i="1"/>
  <c r="H1381" i="1"/>
  <c r="H1702" i="1"/>
  <c r="H1602" i="1"/>
  <c r="H1502" i="1"/>
  <c r="H1402" i="1"/>
  <c r="H167" i="1"/>
  <c r="H267" i="1"/>
  <c r="H367" i="1"/>
  <c r="H467" i="1"/>
  <c r="H567" i="1"/>
  <c r="H667" i="1"/>
  <c r="H767" i="1"/>
  <c r="H118" i="1"/>
  <c r="H218" i="1"/>
  <c r="H318" i="1"/>
  <c r="H418" i="1"/>
  <c r="H518" i="1"/>
  <c r="H618" i="1"/>
  <c r="H718" i="1"/>
  <c r="H818" i="1"/>
  <c r="H169" i="1"/>
  <c r="H269" i="1"/>
  <c r="H369" i="1"/>
  <c r="H469" i="1"/>
  <c r="H110" i="1"/>
  <c r="H210" i="1"/>
  <c r="H310" i="1"/>
  <c r="H410" i="1"/>
  <c r="H510" i="1"/>
  <c r="H610" i="1"/>
  <c r="H710" i="1"/>
  <c r="H810" i="1"/>
  <c r="H171" i="1"/>
  <c r="H271" i="1"/>
  <c r="H371" i="1"/>
  <c r="H471" i="1"/>
  <c r="H571" i="1"/>
  <c r="H671" i="1"/>
  <c r="H771" i="1"/>
  <c r="H132" i="1"/>
  <c r="H232" i="1"/>
  <c r="H44" i="1"/>
  <c r="H144" i="1"/>
  <c r="H244" i="1"/>
  <c r="H165" i="1"/>
  <c r="H265" i="1"/>
  <c r="H365" i="1"/>
  <c r="H465" i="1"/>
  <c r="H565" i="1"/>
  <c r="H665" i="1"/>
  <c r="H765" i="1"/>
  <c r="H432" i="1"/>
  <c r="H656" i="1"/>
  <c r="H853" i="1"/>
  <c r="H953" i="1"/>
  <c r="H1053" i="1"/>
  <c r="H1153" i="1"/>
  <c r="H1253" i="1"/>
  <c r="H1353" i="1"/>
  <c r="H306" i="1"/>
  <c r="H1706" i="1"/>
  <c r="H1606" i="1"/>
  <c r="H1506" i="1"/>
  <c r="H1406" i="1"/>
  <c r="H1735" i="1"/>
  <c r="H1635" i="1"/>
  <c r="H1535" i="1"/>
  <c r="H1435" i="1"/>
  <c r="H1754" i="1"/>
  <c r="H1654" i="1"/>
  <c r="H1554" i="1"/>
  <c r="H1454" i="1"/>
  <c r="H1773" i="1"/>
  <c r="H1673" i="1"/>
  <c r="H1573" i="1"/>
  <c r="H1473" i="1"/>
  <c r="H1792" i="1"/>
  <c r="H1692" i="1"/>
  <c r="H1592" i="1"/>
  <c r="H1492" i="1"/>
  <c r="H1392" i="1"/>
  <c r="H77" i="1"/>
  <c r="H177" i="1"/>
  <c r="H277" i="1"/>
  <c r="H377" i="1"/>
  <c r="H477" i="1"/>
  <c r="H577" i="1"/>
  <c r="H677" i="1"/>
  <c r="H777" i="1"/>
  <c r="H128" i="1"/>
  <c r="H228" i="1"/>
  <c r="H328" i="1"/>
  <c r="H428" i="1"/>
  <c r="H528" i="1"/>
  <c r="H628" i="1"/>
  <c r="H728" i="1"/>
  <c r="H828" i="1"/>
  <c r="H79" i="1"/>
  <c r="H179" i="1"/>
  <c r="H279" i="1"/>
  <c r="H379" i="1"/>
  <c r="H479" i="1"/>
  <c r="H120" i="1"/>
  <c r="H220" i="1"/>
  <c r="H320" i="1"/>
  <c r="H420" i="1"/>
  <c r="H520" i="1"/>
  <c r="H620" i="1"/>
  <c r="H720" i="1"/>
  <c r="H820" i="1"/>
  <c r="H81" i="1"/>
  <c r="H181" i="1"/>
  <c r="H281" i="1"/>
  <c r="H381" i="1"/>
  <c r="H481" i="1"/>
  <c r="H581" i="1"/>
  <c r="H681" i="1"/>
  <c r="H781" i="1"/>
  <c r="H42" i="1"/>
  <c r="H142" i="1"/>
  <c r="H242" i="1"/>
  <c r="H54" i="1"/>
  <c r="H154" i="1"/>
  <c r="H254" i="1"/>
  <c r="H75" i="1"/>
  <c r="H175" i="1"/>
  <c r="H275" i="1"/>
  <c r="H375" i="1"/>
  <c r="H475" i="1"/>
  <c r="H575" i="1"/>
  <c r="H675" i="1"/>
  <c r="H775" i="1"/>
  <c r="H123" i="1"/>
  <c r="H454" i="1"/>
  <c r="H676" i="1"/>
  <c r="H863" i="1"/>
  <c r="H963" i="1"/>
  <c r="H1063" i="1"/>
  <c r="H1163" i="1"/>
  <c r="H1263" i="1"/>
  <c r="H1363" i="1"/>
  <c r="H1437" i="1"/>
  <c r="H1796" i="1"/>
  <c r="H1696" i="1"/>
  <c r="H1596" i="1"/>
  <c r="H1496" i="1"/>
  <c r="H1396" i="1"/>
  <c r="H1725" i="1"/>
  <c r="H1625" i="1"/>
  <c r="H1525" i="1"/>
  <c r="H1425" i="1"/>
  <c r="H1744" i="1"/>
  <c r="H1644" i="1"/>
  <c r="H1544" i="1"/>
  <c r="H1444" i="1"/>
  <c r="H1763" i="1"/>
  <c r="H1663" i="1"/>
  <c r="H1563" i="1"/>
  <c r="H1463" i="1"/>
  <c r="H1782" i="1"/>
  <c r="H1682" i="1"/>
  <c r="H1582" i="1"/>
  <c r="H1482" i="1"/>
  <c r="H87" i="1"/>
  <c r="H187" i="1"/>
  <c r="H287" i="1"/>
  <c r="H387" i="1"/>
  <c r="H487" i="1"/>
  <c r="H587" i="1"/>
  <c r="H687" i="1"/>
  <c r="H787" i="1"/>
  <c r="H38" i="1"/>
  <c r="H138" i="1"/>
  <c r="H238" i="1"/>
  <c r="H338" i="1"/>
  <c r="H438" i="1"/>
  <c r="H538" i="1"/>
  <c r="H638" i="1"/>
  <c r="H738" i="1"/>
  <c r="H838" i="1"/>
  <c r="H89" i="1"/>
  <c r="H189" i="1"/>
  <c r="H289" i="1"/>
  <c r="H389" i="1"/>
  <c r="H489" i="1"/>
  <c r="H130" i="1"/>
  <c r="H230" i="1"/>
  <c r="H330" i="1"/>
  <c r="H430" i="1"/>
  <c r="H530" i="1"/>
  <c r="H630" i="1"/>
  <c r="H730" i="1"/>
  <c r="H830" i="1"/>
  <c r="H91" i="1"/>
  <c r="H191" i="1"/>
  <c r="H291" i="1"/>
  <c r="H391" i="1"/>
  <c r="H491" i="1"/>
  <c r="H591" i="1"/>
  <c r="H691" i="1"/>
  <c r="H791" i="1"/>
  <c r="H52" i="1"/>
  <c r="H152" i="1"/>
  <c r="H252" i="1"/>
  <c r="H164" i="1"/>
  <c r="H264" i="1"/>
  <c r="H85" i="1"/>
  <c r="H185" i="1"/>
  <c r="H285" i="1"/>
  <c r="H385" i="1"/>
  <c r="H485" i="1"/>
  <c r="H585" i="1"/>
  <c r="H685" i="1"/>
  <c r="H785" i="1"/>
  <c r="H173" i="1"/>
  <c r="H482" i="1"/>
  <c r="H696" i="1"/>
  <c r="H873" i="1"/>
  <c r="H973" i="1"/>
  <c r="H1073" i="1"/>
  <c r="H1173" i="1"/>
  <c r="H1273" i="1"/>
  <c r="H1427" i="1"/>
  <c r="H1786" i="1"/>
  <c r="H1686" i="1"/>
  <c r="H1586" i="1"/>
  <c r="H1486" i="1"/>
  <c r="H1386" i="1"/>
  <c r="H1715" i="1"/>
  <c r="H1615" i="1"/>
  <c r="H1515" i="1"/>
  <c r="H1415" i="1"/>
  <c r="H1734" i="1"/>
  <c r="H1634" i="1"/>
  <c r="H1534" i="1"/>
  <c r="H1434" i="1"/>
  <c r="H1753" i="1"/>
  <c r="H1653" i="1"/>
  <c r="H1553" i="1"/>
  <c r="H1453" i="1"/>
  <c r="H1772" i="1"/>
  <c r="H1672" i="1"/>
  <c r="H1572" i="1"/>
  <c r="H1472" i="1"/>
  <c r="H97" i="1"/>
  <c r="H197" i="1"/>
  <c r="H297" i="1"/>
  <c r="H397" i="1"/>
  <c r="H497" i="1"/>
  <c r="H597" i="1"/>
  <c r="H697" i="1"/>
  <c r="H797" i="1"/>
  <c r="H48" i="1"/>
  <c r="H148" i="1"/>
  <c r="H248" i="1"/>
  <c r="H348" i="1"/>
  <c r="H448" i="1"/>
  <c r="H548" i="1"/>
  <c r="H648" i="1"/>
  <c r="H748" i="1"/>
  <c r="H848" i="1"/>
  <c r="H99" i="1"/>
  <c r="H199" i="1"/>
  <c r="H299" i="1"/>
  <c r="H399" i="1"/>
  <c r="H499" i="1"/>
  <c r="H40" i="1"/>
  <c r="H140" i="1"/>
  <c r="H240" i="1"/>
  <c r="H340" i="1"/>
  <c r="H440" i="1"/>
  <c r="H540" i="1"/>
  <c r="H640" i="1"/>
  <c r="H740" i="1"/>
  <c r="H840" i="1"/>
  <c r="H101" i="1"/>
  <c r="H201" i="1"/>
  <c r="H301" i="1"/>
  <c r="H401" i="1"/>
  <c r="H501" i="1"/>
  <c r="H601" i="1"/>
  <c r="H701" i="1"/>
  <c r="H801" i="1"/>
  <c r="H162" i="1"/>
  <c r="H262" i="1"/>
  <c r="H74" i="1"/>
  <c r="H174" i="1"/>
  <c r="H274" i="1"/>
  <c r="H95" i="1"/>
  <c r="H195" i="1"/>
  <c r="H295" i="1"/>
  <c r="H395" i="1"/>
  <c r="H495" i="1"/>
  <c r="H595" i="1"/>
  <c r="H695" i="1"/>
  <c r="H795" i="1"/>
  <c r="H223" i="1"/>
  <c r="H504" i="1"/>
  <c r="H716" i="1"/>
  <c r="H883" i="1"/>
  <c r="H983" i="1"/>
  <c r="H1083" i="1"/>
  <c r="H1183" i="1"/>
  <c r="H1283" i="1"/>
  <c r="H1417" i="1"/>
  <c r="H1776" i="1"/>
  <c r="H1676" i="1"/>
  <c r="H1576" i="1"/>
  <c r="H1476" i="1"/>
  <c r="H1705" i="1"/>
  <c r="H1605" i="1"/>
  <c r="H1505" i="1"/>
  <c r="H1405" i="1"/>
  <c r="H1724" i="1"/>
  <c r="H1624" i="1"/>
  <c r="H1524" i="1"/>
  <c r="H1424" i="1"/>
  <c r="H1743" i="1"/>
  <c r="H1643" i="1"/>
  <c r="H1543" i="1"/>
  <c r="H1443" i="1"/>
  <c r="H1762" i="1"/>
  <c r="H1662" i="1"/>
  <c r="H1562" i="1"/>
  <c r="H1462" i="1"/>
  <c r="H107" i="1"/>
  <c r="H207" i="1"/>
  <c r="H307" i="1"/>
  <c r="H407" i="1"/>
  <c r="H507" i="1"/>
  <c r="H607" i="1"/>
  <c r="H707" i="1"/>
  <c r="H807" i="1"/>
  <c r="H58" i="1"/>
  <c r="H158" i="1"/>
  <c r="H258" i="1"/>
  <c r="H358" i="1"/>
  <c r="H458" i="1"/>
  <c r="H558" i="1"/>
  <c r="H658" i="1"/>
  <c r="H758" i="1"/>
  <c r="H109" i="1"/>
  <c r="H209" i="1"/>
  <c r="H309" i="1"/>
  <c r="H409" i="1"/>
  <c r="H509" i="1"/>
  <c r="H50" i="1"/>
  <c r="H150" i="1"/>
  <c r="H250" i="1"/>
  <c r="H350" i="1"/>
  <c r="H450" i="1"/>
  <c r="H550" i="1"/>
  <c r="H650" i="1"/>
  <c r="H750" i="1"/>
  <c r="H111" i="1"/>
  <c r="H211" i="1"/>
  <c r="H311" i="1"/>
  <c r="H411" i="1"/>
  <c r="H511" i="1"/>
  <c r="H611" i="1"/>
  <c r="H711" i="1"/>
  <c r="H811" i="1"/>
  <c r="H172" i="1"/>
  <c r="H272" i="1"/>
  <c r="H84" i="1"/>
  <c r="H184" i="1"/>
  <c r="H284" i="1"/>
  <c r="H105" i="1"/>
  <c r="H205" i="1"/>
  <c r="H305" i="1"/>
  <c r="H405" i="1"/>
  <c r="H505" i="1"/>
  <c r="H605" i="1"/>
  <c r="H705" i="1"/>
  <c r="H805" i="1"/>
  <c r="H273" i="1"/>
  <c r="H532" i="1"/>
  <c r="H736" i="1"/>
  <c r="H893" i="1"/>
  <c r="H993" i="1"/>
  <c r="H1093" i="1"/>
  <c r="H1193" i="1"/>
  <c r="H1293" i="1"/>
  <c r="H1407" i="1"/>
  <c r="H1766" i="1"/>
  <c r="H1666" i="1"/>
  <c r="H1566" i="1"/>
  <c r="H1466" i="1"/>
  <c r="H1795" i="1"/>
  <c r="H1695" i="1"/>
  <c r="H1595" i="1"/>
  <c r="H1495" i="1"/>
  <c r="H1395" i="1"/>
  <c r="H1714" i="1"/>
  <c r="H1614" i="1"/>
  <c r="H1514" i="1"/>
  <c r="H1414" i="1"/>
  <c r="H1733" i="1"/>
  <c r="H1633" i="1"/>
  <c r="H1533" i="1"/>
  <c r="H1433" i="1"/>
  <c r="H1752" i="1"/>
  <c r="H1652" i="1"/>
  <c r="H1552" i="1"/>
  <c r="H1452" i="1"/>
  <c r="H117" i="1"/>
  <c r="H217" i="1"/>
  <c r="H317" i="1"/>
  <c r="H417" i="1"/>
  <c r="H517" i="1"/>
  <c r="H617" i="1"/>
  <c r="H717" i="1"/>
  <c r="H817" i="1"/>
  <c r="H168" i="1"/>
  <c r="H268" i="1"/>
  <c r="H368" i="1"/>
  <c r="H468" i="1"/>
  <c r="H568" i="1"/>
  <c r="H668" i="1"/>
  <c r="H768" i="1"/>
  <c r="H119" i="1"/>
  <c r="H219" i="1"/>
  <c r="H319" i="1"/>
  <c r="H419" i="1"/>
  <c r="H519" i="1"/>
  <c r="H60" i="1"/>
  <c r="H160" i="1"/>
  <c r="H260" i="1"/>
  <c r="H360" i="1"/>
  <c r="H460" i="1"/>
  <c r="H560" i="1"/>
  <c r="H660" i="1"/>
  <c r="H760" i="1"/>
  <c r="H121" i="1"/>
  <c r="H221" i="1"/>
  <c r="H321" i="1"/>
  <c r="H421" i="1"/>
  <c r="H521" i="1"/>
  <c r="H621" i="1"/>
  <c r="H721" i="1"/>
  <c r="H821" i="1"/>
  <c r="H82" i="1"/>
  <c r="H182" i="1"/>
  <c r="H282" i="1"/>
  <c r="H94" i="1"/>
  <c r="H194" i="1"/>
  <c r="H115" i="1"/>
  <c r="H215" i="1"/>
  <c r="H315" i="1"/>
  <c r="H415" i="1"/>
  <c r="H515" i="1"/>
  <c r="H615" i="1"/>
  <c r="H715" i="1"/>
  <c r="H815" i="1"/>
  <c r="H304" i="1"/>
  <c r="H554" i="1"/>
  <c r="H756" i="1"/>
  <c r="H903" i="1"/>
  <c r="H1003" i="1"/>
  <c r="H1103" i="1"/>
  <c r="H1203" i="1"/>
  <c r="H1303" i="1"/>
  <c r="H1497" i="1"/>
  <c r="H1397" i="1"/>
  <c r="H1756" i="1"/>
  <c r="H1656" i="1"/>
  <c r="H1556" i="1"/>
  <c r="H1456" i="1"/>
  <c r="H1785" i="1"/>
  <c r="H1685" i="1"/>
  <c r="H1585" i="1"/>
  <c r="H1485" i="1"/>
  <c r="H1385" i="1"/>
  <c r="H1704" i="1"/>
  <c r="H1604" i="1"/>
  <c r="H1504" i="1"/>
  <c r="H1404" i="1"/>
  <c r="H1723" i="1"/>
  <c r="H1623" i="1"/>
  <c r="H1523" i="1"/>
  <c r="H1423" i="1"/>
  <c r="H1742" i="1"/>
  <c r="H1642" i="1"/>
  <c r="H1542" i="1"/>
  <c r="H1442" i="1"/>
  <c r="H127" i="1"/>
  <c r="H227" i="1"/>
  <c r="H327" i="1"/>
  <c r="H427" i="1"/>
  <c r="H527" i="1"/>
  <c r="H627" i="1"/>
  <c r="H727" i="1"/>
  <c r="H827" i="1"/>
  <c r="H78" i="1"/>
  <c r="H178" i="1"/>
  <c r="H278" i="1"/>
  <c r="H378" i="1"/>
  <c r="H478" i="1"/>
  <c r="H578" i="1"/>
  <c r="H678" i="1"/>
  <c r="H778" i="1"/>
  <c r="H129" i="1"/>
  <c r="H229" i="1"/>
  <c r="H329" i="1"/>
  <c r="H429" i="1"/>
  <c r="H529" i="1"/>
  <c r="H170" i="1"/>
  <c r="H270" i="1"/>
  <c r="H370" i="1"/>
  <c r="H470" i="1"/>
  <c r="H570" i="1"/>
  <c r="H670" i="1"/>
  <c r="H770" i="1"/>
  <c r="H131" i="1"/>
  <c r="H231" i="1"/>
  <c r="H331" i="1"/>
  <c r="H431" i="1"/>
  <c r="H531" i="1"/>
  <c r="H631" i="1"/>
  <c r="H731" i="1"/>
  <c r="H831" i="1"/>
  <c r="H92" i="1"/>
  <c r="H192" i="1"/>
  <c r="H104" i="1"/>
  <c r="H204" i="1"/>
  <c r="H125" i="1"/>
  <c r="H225" i="1"/>
  <c r="H325" i="1"/>
  <c r="H425" i="1"/>
  <c r="H525" i="1"/>
  <c r="H625" i="1"/>
  <c r="H725" i="1"/>
  <c r="H825" i="1"/>
  <c r="H332" i="1"/>
  <c r="H576" i="1"/>
  <c r="H776" i="1"/>
  <c r="H913" i="1"/>
  <c r="H1013" i="1"/>
  <c r="H1113" i="1"/>
  <c r="H1213" i="1"/>
  <c r="H1430" i="1"/>
  <c r="H1530" i="1"/>
  <c r="H1630" i="1"/>
  <c r="H1730" i="1"/>
  <c r="H1411" i="1"/>
  <c r="H1511" i="1"/>
  <c r="H1611" i="1"/>
  <c r="H1711" i="1"/>
  <c r="H1302" i="1"/>
  <c r="H1202" i="1"/>
  <c r="H1102" i="1"/>
  <c r="H1002" i="1"/>
  <c r="H902" i="1"/>
  <c r="H754" i="1"/>
  <c r="H553" i="1"/>
  <c r="H303" i="1"/>
  <c r="H1331" i="1"/>
  <c r="H1231" i="1"/>
  <c r="H1131" i="1"/>
  <c r="H1031" i="1"/>
  <c r="H931" i="1"/>
  <c r="H813" i="1"/>
  <c r="H613" i="1"/>
  <c r="H374" i="1"/>
  <c r="H1370" i="1"/>
  <c r="H1270" i="1"/>
  <c r="H1170" i="1"/>
  <c r="H1070" i="1"/>
  <c r="H970" i="1"/>
  <c r="H870" i="1"/>
  <c r="H692" i="1"/>
  <c r="H473" i="1"/>
  <c r="H156" i="1"/>
  <c r="H1299" i="1"/>
  <c r="H1199" i="1"/>
  <c r="H1099" i="1"/>
  <c r="H999" i="1"/>
  <c r="H899" i="1"/>
  <c r="H749" i="1"/>
  <c r="H544" i="1"/>
  <c r="H294" i="1"/>
  <c r="H1328" i="1"/>
  <c r="H1228" i="1"/>
  <c r="H1128" i="1"/>
  <c r="H1028" i="1"/>
  <c r="H928" i="1"/>
  <c r="H806" i="1"/>
  <c r="H606" i="1"/>
  <c r="H366" i="1"/>
  <c r="H1357" i="1"/>
  <c r="H1257" i="1"/>
  <c r="H1157" i="1"/>
  <c r="H1057" i="1"/>
  <c r="H957" i="1"/>
  <c r="H857" i="1"/>
  <c r="H664" i="1"/>
  <c r="H442" i="1"/>
  <c r="H93" i="1"/>
  <c r="H1286" i="1"/>
  <c r="H1186" i="1"/>
  <c r="H1086" i="1"/>
  <c r="H986" i="1"/>
  <c r="H886" i="1"/>
  <c r="H723" i="1"/>
  <c r="H513" i="1"/>
  <c r="H236" i="1"/>
  <c r="H1315" i="1"/>
  <c r="H1215" i="1"/>
  <c r="H1115" i="1"/>
  <c r="H1015" i="1"/>
  <c r="H915" i="1"/>
  <c r="H782" i="1"/>
  <c r="H582" i="1"/>
  <c r="H334" i="1"/>
  <c r="H1364" i="1"/>
  <c r="H1264" i="1"/>
  <c r="H1164" i="1"/>
  <c r="H1064" i="1"/>
  <c r="H964" i="1"/>
  <c r="H864" i="1"/>
  <c r="H679" i="1"/>
  <c r="H456" i="1"/>
  <c r="H1373" i="1"/>
  <c r="H1440" i="1"/>
  <c r="H1540" i="1"/>
  <c r="H1640" i="1"/>
  <c r="H1740" i="1"/>
  <c r="H1421" i="1"/>
  <c r="H1521" i="1"/>
  <c r="H1621" i="1"/>
  <c r="H1721" i="1"/>
  <c r="H1292" i="1"/>
  <c r="H1192" i="1"/>
  <c r="H1092" i="1"/>
  <c r="H992" i="1"/>
  <c r="H892" i="1"/>
  <c r="H734" i="1"/>
  <c r="H526" i="1"/>
  <c r="H266" i="1"/>
  <c r="H1321" i="1"/>
  <c r="H1221" i="1"/>
  <c r="H1121" i="1"/>
  <c r="H1021" i="1"/>
  <c r="H921" i="1"/>
  <c r="H793" i="1"/>
  <c r="H593" i="1"/>
  <c r="H352" i="1"/>
  <c r="H1360" i="1"/>
  <c r="H1260" i="1"/>
  <c r="H1160" i="1"/>
  <c r="H1060" i="1"/>
  <c r="H960" i="1"/>
  <c r="H860" i="1"/>
  <c r="H672" i="1"/>
  <c r="H446" i="1"/>
  <c r="H106" i="1"/>
  <c r="H1289" i="1"/>
  <c r="H1189" i="1"/>
  <c r="H1089" i="1"/>
  <c r="H989" i="1"/>
  <c r="H889" i="1"/>
  <c r="H729" i="1"/>
  <c r="H522" i="1"/>
  <c r="H253" i="1"/>
  <c r="H1318" i="1"/>
  <c r="H1218" i="1"/>
  <c r="H1118" i="1"/>
  <c r="H1018" i="1"/>
  <c r="H918" i="1"/>
  <c r="H786" i="1"/>
  <c r="H586" i="1"/>
  <c r="H343" i="1"/>
  <c r="H1347" i="1"/>
  <c r="H1247" i="1"/>
  <c r="H1147" i="1"/>
  <c r="H1047" i="1"/>
  <c r="H947" i="1"/>
  <c r="H844" i="1"/>
  <c r="H644" i="1"/>
  <c r="H414" i="1"/>
  <c r="H43" i="1"/>
  <c r="H1276" i="1"/>
  <c r="H1176" i="1"/>
  <c r="H1076" i="1"/>
  <c r="H976" i="1"/>
  <c r="H876" i="1"/>
  <c r="H703" i="1"/>
  <c r="H486" i="1"/>
  <c r="H186" i="1"/>
  <c r="H1305" i="1"/>
  <c r="H1205" i="1"/>
  <c r="H1105" i="1"/>
  <c r="H1005" i="1"/>
  <c r="H905" i="1"/>
  <c r="H762" i="1"/>
  <c r="H562" i="1"/>
  <c r="H312" i="1"/>
  <c r="H1354" i="1"/>
  <c r="H1254" i="1"/>
  <c r="H1154" i="1"/>
  <c r="H1054" i="1"/>
  <c r="H954" i="1"/>
  <c r="H854" i="1"/>
  <c r="H659" i="1"/>
  <c r="H433" i="1"/>
  <c r="H1313" i="1"/>
  <c r="H1450" i="1"/>
  <c r="H1550" i="1"/>
  <c r="H1650" i="1"/>
  <c r="H1750" i="1"/>
  <c r="H1431" i="1"/>
  <c r="H1531" i="1"/>
  <c r="H1631" i="1"/>
  <c r="H1731" i="1"/>
  <c r="H1282" i="1"/>
  <c r="H1182" i="1"/>
  <c r="H1082" i="1"/>
  <c r="H982" i="1"/>
  <c r="H882" i="1"/>
  <c r="H714" i="1"/>
  <c r="H503" i="1"/>
  <c r="H216" i="1"/>
  <c r="H1311" i="1"/>
  <c r="H1211" i="1"/>
  <c r="H1111" i="1"/>
  <c r="H1011" i="1"/>
  <c r="H911" i="1"/>
  <c r="H773" i="1"/>
  <c r="H573" i="1"/>
  <c r="H324" i="1"/>
  <c r="H1350" i="1"/>
  <c r="H1250" i="1"/>
  <c r="H1150" i="1"/>
  <c r="H1050" i="1"/>
  <c r="H950" i="1"/>
  <c r="H850" i="1"/>
  <c r="H652" i="1"/>
  <c r="H423" i="1"/>
  <c r="H56" i="1"/>
  <c r="H1279" i="1"/>
  <c r="H1179" i="1"/>
  <c r="H1079" i="1"/>
  <c r="H979" i="1"/>
  <c r="H879" i="1"/>
  <c r="H709" i="1"/>
  <c r="H494" i="1"/>
  <c r="H203" i="1"/>
  <c r="H1308" i="1"/>
  <c r="H1208" i="1"/>
  <c r="H1108" i="1"/>
  <c r="H1008" i="1"/>
  <c r="H908" i="1"/>
  <c r="H766" i="1"/>
  <c r="H566" i="1"/>
  <c r="H316" i="1"/>
  <c r="H1337" i="1"/>
  <c r="H1237" i="1"/>
  <c r="H1137" i="1"/>
  <c r="H1037" i="1"/>
  <c r="H937" i="1"/>
  <c r="H824" i="1"/>
  <c r="H624" i="1"/>
  <c r="H392" i="1"/>
  <c r="H1366" i="1"/>
  <c r="H1266" i="1"/>
  <c r="H1166" i="1"/>
  <c r="H1066" i="1"/>
  <c r="H966" i="1"/>
  <c r="H866" i="1"/>
  <c r="H683" i="1"/>
  <c r="H463" i="1"/>
  <c r="H136" i="1"/>
  <c r="H1295" i="1"/>
  <c r="H1195" i="1"/>
  <c r="H1095" i="1"/>
  <c r="H995" i="1"/>
  <c r="H895" i="1"/>
  <c r="H742" i="1"/>
  <c r="H534" i="1"/>
  <c r="H283" i="1"/>
  <c r="H1344" i="1"/>
  <c r="H1244" i="1"/>
  <c r="H1144" i="1"/>
  <c r="H1044" i="1"/>
  <c r="H944" i="1"/>
  <c r="H839" i="1"/>
  <c r="H639" i="1"/>
  <c r="H406" i="1"/>
  <c r="H1737" i="1"/>
  <c r="H1460" i="1"/>
  <c r="H1560" i="1"/>
  <c r="H1660" i="1"/>
  <c r="H1760" i="1"/>
  <c r="H1441" i="1"/>
  <c r="H1541" i="1"/>
  <c r="H1641" i="1"/>
  <c r="H1741" i="1"/>
  <c r="H1372" i="1"/>
  <c r="H1272" i="1"/>
  <c r="H1172" i="1"/>
  <c r="H1072" i="1"/>
  <c r="H972" i="1"/>
  <c r="H872" i="1"/>
  <c r="H694" i="1"/>
  <c r="H476" i="1"/>
  <c r="H166" i="1"/>
  <c r="H1301" i="1"/>
  <c r="H1201" i="1"/>
  <c r="H1101" i="1"/>
  <c r="H1001" i="1"/>
  <c r="H901" i="1"/>
  <c r="H753" i="1"/>
  <c r="H552" i="1"/>
  <c r="H302" i="1"/>
  <c r="H1340" i="1"/>
  <c r="H1240" i="1"/>
  <c r="H1140" i="1"/>
  <c r="H1040" i="1"/>
  <c r="H940" i="1"/>
  <c r="H832" i="1"/>
  <c r="H632" i="1"/>
  <c r="H396" i="1"/>
  <c r="H1369" i="1"/>
  <c r="H1269" i="1"/>
  <c r="H1169" i="1"/>
  <c r="H1069" i="1"/>
  <c r="H969" i="1"/>
  <c r="H869" i="1"/>
  <c r="H689" i="1"/>
  <c r="H472" i="1"/>
  <c r="H153" i="1"/>
  <c r="H1298" i="1"/>
  <c r="H1198" i="1"/>
  <c r="H1098" i="1"/>
  <c r="H998" i="1"/>
  <c r="H898" i="1"/>
  <c r="H746" i="1"/>
  <c r="H543" i="1"/>
  <c r="H293" i="1"/>
  <c r="H1327" i="1"/>
  <c r="H1227" i="1"/>
  <c r="H1127" i="1"/>
  <c r="H1027" i="1"/>
  <c r="H927" i="1"/>
  <c r="H804" i="1"/>
  <c r="H604" i="1"/>
  <c r="H364" i="1"/>
  <c r="H1356" i="1"/>
  <c r="H1256" i="1"/>
  <c r="H1156" i="1"/>
  <c r="H1056" i="1"/>
  <c r="H956" i="1"/>
  <c r="H856" i="1"/>
  <c r="H663" i="1"/>
  <c r="H436" i="1"/>
  <c r="H86" i="1"/>
  <c r="H1285" i="1"/>
  <c r="H1185" i="1"/>
  <c r="H1085" i="1"/>
  <c r="H985" i="1"/>
  <c r="H885" i="1"/>
  <c r="H722" i="1"/>
  <c r="H512" i="1"/>
  <c r="H233" i="1"/>
  <c r="H1334" i="1"/>
  <c r="H1234" i="1"/>
  <c r="H1134" i="1"/>
  <c r="H1034" i="1"/>
  <c r="H934" i="1"/>
  <c r="H819" i="1"/>
  <c r="H619" i="1"/>
  <c r="H383" i="1"/>
  <c r="H1597" i="1"/>
  <c r="H1697" i="1"/>
  <c r="H1797" i="1"/>
  <c r="H1507" i="1"/>
  <c r="H1607" i="1"/>
  <c r="H1707" i="1"/>
  <c r="H1517" i="1"/>
  <c r="H1617" i="1"/>
  <c r="H1717" i="1"/>
  <c r="H1527" i="1"/>
  <c r="H1627" i="1"/>
  <c r="H1727" i="1"/>
  <c r="H1537" i="1"/>
  <c r="H1637" i="1"/>
  <c r="H1801" i="1"/>
  <c r="H1800" i="1"/>
  <c r="H4" i="1"/>
  <c r="H3" i="1"/>
  <c r="H5" i="1"/>
  <c r="H1447" i="1"/>
  <c r="H1547" i="1"/>
  <c r="H1647" i="1"/>
  <c r="H1747" i="1"/>
  <c r="H1457" i="1"/>
  <c r="H1557" i="1"/>
  <c r="H1657" i="1"/>
  <c r="H1757" i="1"/>
  <c r="H1467" i="1"/>
  <c r="H1567" i="1"/>
  <c r="H1667" i="1"/>
  <c r="H1767" i="1"/>
  <c r="H1736" i="1"/>
  <c r="H1477" i="1"/>
  <c r="H1577" i="1"/>
  <c r="H1677" i="1"/>
  <c r="H1777" i="1"/>
  <c r="H1387" i="1"/>
  <c r="H1487" i="1"/>
  <c r="H1587" i="1"/>
  <c r="H1687" i="1"/>
  <c r="H1787" i="1"/>
  <c r="H1379" i="1"/>
</calcChain>
</file>

<file path=xl/sharedStrings.xml><?xml version="1.0" encoding="utf-8"?>
<sst xmlns="http://schemas.openxmlformats.org/spreadsheetml/2006/main" count="3998" uniqueCount="1399">
  <si>
    <t>estado</t>
  </si>
  <si>
    <t>mes</t>
  </si>
  <si>
    <t>año</t>
  </si>
  <si>
    <t>rateper100000people</t>
  </si>
  <si>
    <t>Alabama</t>
  </si>
  <si>
    <t>12.2</t>
  </si>
  <si>
    <t>11.5</t>
  </si>
  <si>
    <t>12.08</t>
  </si>
  <si>
    <t>10.94</t>
  </si>
  <si>
    <t>12.38</t>
  </si>
  <si>
    <t>12.47</t>
  </si>
  <si>
    <t>16.4</t>
  </si>
  <si>
    <t>14.87</t>
  </si>
  <si>
    <t>15.28</t>
  </si>
  <si>
    <t>17.98</t>
  </si>
  <si>
    <t>18.05</t>
  </si>
  <si>
    <t>20.46</t>
  </si>
  <si>
    <t>17.85</t>
  </si>
  <si>
    <t>18.41</t>
  </si>
  <si>
    <t>21.11</t>
  </si>
  <si>
    <t>20.48</t>
  </si>
  <si>
    <t>22.74</t>
  </si>
  <si>
    <t>21.81</t>
  </si>
  <si>
    <t>23.79</t>
  </si>
  <si>
    <t>25.24</t>
  </si>
  <si>
    <t>23.87</t>
  </si>
  <si>
    <t>26.16</t>
  </si>
  <si>
    <t>26.01</t>
  </si>
  <si>
    <t>28.26</t>
  </si>
  <si>
    <t>27.11</t>
  </si>
  <si>
    <t>24.63</t>
  </si>
  <si>
    <t>24.93</t>
  </si>
  <si>
    <t>25.22</t>
  </si>
  <si>
    <t>24.48</t>
  </si>
  <si>
    <t>24.29</t>
  </si>
  <si>
    <t>24.89</t>
  </si>
  <si>
    <t>25.46</t>
  </si>
  <si>
    <t>24.21</t>
  </si>
  <si>
    <t>22.05</t>
  </si>
  <si>
    <t>22.68</t>
  </si>
  <si>
    <t>Alaska</t>
  </si>
  <si>
    <t>12.41</t>
  </si>
  <si>
    <t>11.92</t>
  </si>
  <si>
    <t>12.65</t>
  </si>
  <si>
    <t>15.09</t>
  </si>
  <si>
    <t>18.74</t>
  </si>
  <si>
    <t>18.25</t>
  </si>
  <si>
    <t>16.79</t>
  </si>
  <si>
    <t>20.69</t>
  </si>
  <si>
    <t>23.61</t>
  </si>
  <si>
    <t>14.6</t>
  </si>
  <si>
    <t>16.24</t>
  </si>
  <si>
    <t>14.78</t>
  </si>
  <si>
    <t>19.49</t>
  </si>
  <si>
    <t>22.41</t>
  </si>
  <si>
    <t>21.93</t>
  </si>
  <si>
    <t>18.27</t>
  </si>
  <si>
    <t>25.82</t>
  </si>
  <si>
    <t>26.31</t>
  </si>
  <si>
    <t>18.99</t>
  </si>
  <si>
    <t>20.8</t>
  </si>
  <si>
    <t>20.58</t>
  </si>
  <si>
    <t>27.3</t>
  </si>
  <si>
    <t>22.79</t>
  </si>
  <si>
    <t>25.72</t>
  </si>
  <si>
    <t>21.21</t>
  </si>
  <si>
    <t>27.98</t>
  </si>
  <si>
    <t>28.43</t>
  </si>
  <si>
    <t>29.11</t>
  </si>
  <si>
    <t>25.95</t>
  </si>
  <si>
    <t>16.7</t>
  </si>
  <si>
    <t>19.86</t>
  </si>
  <si>
    <t>20.08</t>
  </si>
  <si>
    <t>Arizona</t>
  </si>
  <si>
    <t>34.7</t>
  </si>
  <si>
    <t>35.59</t>
  </si>
  <si>
    <t>33.3</t>
  </si>
  <si>
    <t>29.93</t>
  </si>
  <si>
    <t>31.14</t>
  </si>
  <si>
    <t>30.86</t>
  </si>
  <si>
    <t>33.22</t>
  </si>
  <si>
    <t>35.27</t>
  </si>
  <si>
    <t>36.24</t>
  </si>
  <si>
    <t>36.18</t>
  </si>
  <si>
    <t>35.07</t>
  </si>
  <si>
    <t>36.88</t>
  </si>
  <si>
    <t>40.36</t>
  </si>
  <si>
    <t>36.3</t>
  </si>
  <si>
    <t>38.75</t>
  </si>
  <si>
    <t>34.83</t>
  </si>
  <si>
    <t>36.93</t>
  </si>
  <si>
    <t>38.99</t>
  </si>
  <si>
    <t>40.25</t>
  </si>
  <si>
    <t>40.52</t>
  </si>
  <si>
    <t>39.75</t>
  </si>
  <si>
    <t>40.03</t>
  </si>
  <si>
    <t>38.06</t>
  </si>
  <si>
    <t>40.73</t>
  </si>
  <si>
    <t>38.93</t>
  </si>
  <si>
    <t>36.07</t>
  </si>
  <si>
    <t>37.85</t>
  </si>
  <si>
    <t>35.83</t>
  </si>
  <si>
    <t>40.1</t>
  </si>
  <si>
    <t>38.16</t>
  </si>
  <si>
    <t>37.23</t>
  </si>
  <si>
    <t>39.24</t>
  </si>
  <si>
    <t>35.85</t>
  </si>
  <si>
    <t>40.62</t>
  </si>
  <si>
    <t>36.9</t>
  </si>
  <si>
    <t>41.4</t>
  </si>
  <si>
    <t>Arkansas</t>
  </si>
  <si>
    <t>20.57</t>
  </si>
  <si>
    <t>16.05</t>
  </si>
  <si>
    <t>18.15</t>
  </si>
  <si>
    <t>16.58</t>
  </si>
  <si>
    <t>16.25</t>
  </si>
  <si>
    <t>15.03</t>
  </si>
  <si>
    <t>18.42</t>
  </si>
  <si>
    <t>16.47</t>
  </si>
  <si>
    <t>15.81</t>
  </si>
  <si>
    <t>18.08</t>
  </si>
  <si>
    <t>17.48</t>
  </si>
  <si>
    <t>22.26</t>
  </si>
  <si>
    <t>18.67</t>
  </si>
  <si>
    <t>16.49</t>
  </si>
  <si>
    <t>19.2</t>
  </si>
  <si>
    <t>19.64</t>
  </si>
  <si>
    <t>19.66</t>
  </si>
  <si>
    <t>19.14</t>
  </si>
  <si>
    <t>20.74</t>
  </si>
  <si>
    <t>23.92</t>
  </si>
  <si>
    <t>19.78</t>
  </si>
  <si>
    <t>20.87</t>
  </si>
  <si>
    <t>23.59</t>
  </si>
  <si>
    <t>22.82</t>
  </si>
  <si>
    <t>20.26</t>
  </si>
  <si>
    <t>17.17</t>
  </si>
  <si>
    <t>17.71</t>
  </si>
  <si>
    <t>17.29</t>
  </si>
  <si>
    <t>19.07</t>
  </si>
  <si>
    <t>17.63</t>
  </si>
  <si>
    <t>22.52</t>
  </si>
  <si>
    <t>22.04</t>
  </si>
  <si>
    <t>21.64</t>
  </si>
  <si>
    <t>21.6</t>
  </si>
  <si>
    <t>24.41</t>
  </si>
  <si>
    <t>California</t>
  </si>
  <si>
    <t>10.56</t>
  </si>
  <si>
    <t>10.15</t>
  </si>
  <si>
    <t>9.77</t>
  </si>
  <si>
    <t>12.52</t>
  </si>
  <si>
    <t>11.86</t>
  </si>
  <si>
    <t>13.37</t>
  </si>
  <si>
    <t>12.46</t>
  </si>
  <si>
    <t>12.67</t>
  </si>
  <si>
    <t>12.91</t>
  </si>
  <si>
    <t>15.37</t>
  </si>
  <si>
    <t>16.3</t>
  </si>
  <si>
    <t>16.97</t>
  </si>
  <si>
    <t>17.81</t>
  </si>
  <si>
    <t>18.97</t>
  </si>
  <si>
    <t>18.13</t>
  </si>
  <si>
    <t>17.26</t>
  </si>
  <si>
    <t>16.55</t>
  </si>
  <si>
    <t>17.73</t>
  </si>
  <si>
    <t>17.87</t>
  </si>
  <si>
    <t>18.37</t>
  </si>
  <si>
    <t>19.65</t>
  </si>
  <si>
    <t>19.82</t>
  </si>
  <si>
    <t>21.46</t>
  </si>
  <si>
    <t>22.94</t>
  </si>
  <si>
    <t>22.72</t>
  </si>
  <si>
    <t>25.17</t>
  </si>
  <si>
    <t>24.76</t>
  </si>
  <si>
    <t>26.96</t>
  </si>
  <si>
    <t>26.74</t>
  </si>
  <si>
    <t>27.39</t>
  </si>
  <si>
    <t>26.18</t>
  </si>
  <si>
    <t>27.04</t>
  </si>
  <si>
    <t>28.85</t>
  </si>
  <si>
    <t>29.39</t>
  </si>
  <si>
    <t>Colorado</t>
  </si>
  <si>
    <t>32.73</t>
  </si>
  <si>
    <t>26.77</t>
  </si>
  <si>
    <t>25.85</t>
  </si>
  <si>
    <t>24.38</t>
  </si>
  <si>
    <t>24.44</t>
  </si>
  <si>
    <t>24.23</t>
  </si>
  <si>
    <t>23.56</t>
  </si>
  <si>
    <t>26.03</t>
  </si>
  <si>
    <t>27.12</t>
  </si>
  <si>
    <t>27.87</t>
  </si>
  <si>
    <t>26.15</t>
  </si>
  <si>
    <t>24.74</t>
  </si>
  <si>
    <t>27.32</t>
  </si>
  <si>
    <t>26.38</t>
  </si>
  <si>
    <t>26.45</t>
  </si>
  <si>
    <t>24.66</t>
  </si>
  <si>
    <t>26.43</t>
  </si>
  <si>
    <t>26.58</t>
  </si>
  <si>
    <t>24.12</t>
  </si>
  <si>
    <t>26.52</t>
  </si>
  <si>
    <t>27.38</t>
  </si>
  <si>
    <t>27.51</t>
  </si>
  <si>
    <t>28.66</t>
  </si>
  <si>
    <t>26.95</t>
  </si>
  <si>
    <t>32.32</t>
  </si>
  <si>
    <t>28.72</t>
  </si>
  <si>
    <t>32.3</t>
  </si>
  <si>
    <t>30.19</t>
  </si>
  <si>
    <t>30.88</t>
  </si>
  <si>
    <t>31.77</t>
  </si>
  <si>
    <t>32.22</t>
  </si>
  <si>
    <t>34.35</t>
  </si>
  <si>
    <t>37.79</t>
  </si>
  <si>
    <t>Connecticut</t>
  </si>
  <si>
    <t>23.05</t>
  </si>
  <si>
    <t>23.8</t>
  </si>
  <si>
    <t>21.02</t>
  </si>
  <si>
    <t>22.99</t>
  </si>
  <si>
    <t>25.27</t>
  </si>
  <si>
    <t>25.13</t>
  </si>
  <si>
    <t>23.82</t>
  </si>
  <si>
    <t>24.43</t>
  </si>
  <si>
    <t>27.43</t>
  </si>
  <si>
    <t>25.79</t>
  </si>
  <si>
    <t>24.52</t>
  </si>
  <si>
    <t>24.65</t>
  </si>
  <si>
    <t>24.53</t>
  </si>
  <si>
    <t>28.33</t>
  </si>
  <si>
    <t>27.74</t>
  </si>
  <si>
    <t>26.56</t>
  </si>
  <si>
    <t>26.64</t>
  </si>
  <si>
    <t>28.38</t>
  </si>
  <si>
    <t>26.97</t>
  </si>
  <si>
    <t>28.68</t>
  </si>
  <si>
    <t>27.34</t>
  </si>
  <si>
    <t>30.33</t>
  </si>
  <si>
    <t>25.19</t>
  </si>
  <si>
    <t>28.09</t>
  </si>
  <si>
    <t>29.61</t>
  </si>
  <si>
    <t>28.23</t>
  </si>
  <si>
    <t>30.58</t>
  </si>
  <si>
    <t>29.58</t>
  </si>
  <si>
    <t>31.24</t>
  </si>
  <si>
    <t>30.66</t>
  </si>
  <si>
    <t>29.64</t>
  </si>
  <si>
    <t>Delaware</t>
  </si>
  <si>
    <t>37.97</t>
  </si>
  <si>
    <t>35.08</t>
  </si>
  <si>
    <t>34.38</t>
  </si>
  <si>
    <t>31.19</t>
  </si>
  <si>
    <t>35.58</t>
  </si>
  <si>
    <t>40.26</t>
  </si>
  <si>
    <t>40.96</t>
  </si>
  <si>
    <t>39.47</t>
  </si>
  <si>
    <t>40.66</t>
  </si>
  <si>
    <t>44.75</t>
  </si>
  <si>
    <t>42.36</t>
  </si>
  <si>
    <t>39.54</t>
  </si>
  <si>
    <t>36.98</t>
  </si>
  <si>
    <t>41.26</t>
  </si>
  <si>
    <t>44.51</t>
  </si>
  <si>
    <t>44.41</t>
  </si>
  <si>
    <t>46.84</t>
  </si>
  <si>
    <t>50.18</t>
  </si>
  <si>
    <t>44.29</t>
  </si>
  <si>
    <t>44.58</t>
  </si>
  <si>
    <t>48.51</t>
  </si>
  <si>
    <t>45.1</t>
  </si>
  <si>
    <t>44.1</t>
  </si>
  <si>
    <t>40.15</t>
  </si>
  <si>
    <t>44.17</t>
  </si>
  <si>
    <t>42.56</t>
  </si>
  <si>
    <t>45.94</t>
  </si>
  <si>
    <t>53.11</t>
  </si>
  <si>
    <t>48.36</t>
  </si>
  <si>
    <t>47.1</t>
  </si>
  <si>
    <t>51.82</t>
  </si>
  <si>
    <t>47.11</t>
  </si>
  <si>
    <t>47.58</t>
  </si>
  <si>
    <t>46.13</t>
  </si>
  <si>
    <t>43.51</t>
  </si>
  <si>
    <t>Florida</t>
  </si>
  <si>
    <t>15.87</t>
  </si>
  <si>
    <t>15.59</t>
  </si>
  <si>
    <t>15.72</t>
  </si>
  <si>
    <t>13.43</t>
  </si>
  <si>
    <t>13.59</t>
  </si>
  <si>
    <t>14.37</t>
  </si>
  <si>
    <t>14.88</t>
  </si>
  <si>
    <t>15.53</t>
  </si>
  <si>
    <t>17.9</t>
  </si>
  <si>
    <t>19.6</t>
  </si>
  <si>
    <t>20.33</t>
  </si>
  <si>
    <t>23.7</t>
  </si>
  <si>
    <t>20.9</t>
  </si>
  <si>
    <t>24.02</t>
  </si>
  <si>
    <t>24.73</t>
  </si>
  <si>
    <t>22.29</t>
  </si>
  <si>
    <t>21.97</t>
  </si>
  <si>
    <t>25.5</t>
  </si>
  <si>
    <t>25.83</t>
  </si>
  <si>
    <t>27.33</t>
  </si>
  <si>
    <t>25.67</t>
  </si>
  <si>
    <t>27.69</t>
  </si>
  <si>
    <t>23.89</t>
  </si>
  <si>
    <t>28.65</t>
  </si>
  <si>
    <t>27.91</t>
  </si>
  <si>
    <t>29.81</t>
  </si>
  <si>
    <t>28.91</t>
  </si>
  <si>
    <t>30.43</t>
  </si>
  <si>
    <t>30.21</t>
  </si>
  <si>
    <t>28.11</t>
  </si>
  <si>
    <t>31.28</t>
  </si>
  <si>
    <t>30.28</t>
  </si>
  <si>
    <t>32.28</t>
  </si>
  <si>
    <t>Georgia</t>
  </si>
  <si>
    <t>18.22</t>
  </si>
  <si>
    <t>17.65</t>
  </si>
  <si>
    <t>16.27</t>
  </si>
  <si>
    <t>13.14</t>
  </si>
  <si>
    <t>14.32</t>
  </si>
  <si>
    <t>14.62</t>
  </si>
  <si>
    <t>15.31</t>
  </si>
  <si>
    <t>15.98</t>
  </si>
  <si>
    <t>16.92</t>
  </si>
  <si>
    <t>16.01</t>
  </si>
  <si>
    <t>16.66</t>
  </si>
  <si>
    <t>16.91</t>
  </si>
  <si>
    <t>16.07</t>
  </si>
  <si>
    <t>16.53</t>
  </si>
  <si>
    <t>16.77</t>
  </si>
  <si>
    <t>17.78</t>
  </si>
  <si>
    <t>17.51</t>
  </si>
  <si>
    <t>18.69</t>
  </si>
  <si>
    <t>19.48</t>
  </si>
  <si>
    <t>19.02</t>
  </si>
  <si>
    <t>19.34</t>
  </si>
  <si>
    <t>20.01</t>
  </si>
  <si>
    <t>22.28</t>
  </si>
  <si>
    <t>21.62</t>
  </si>
  <si>
    <t>20.09</t>
  </si>
  <si>
    <t>23.4</t>
  </si>
  <si>
    <t>22.92</t>
  </si>
  <si>
    <t>23.23</t>
  </si>
  <si>
    <t>24.3</t>
  </si>
  <si>
    <t>23.94</t>
  </si>
  <si>
    <t>24.99</t>
  </si>
  <si>
    <t>Hawaii</t>
  </si>
  <si>
    <t>16.37</t>
  </si>
  <si>
    <t>13.87</t>
  </si>
  <si>
    <t>17.06</t>
  </si>
  <si>
    <t>15.47</t>
  </si>
  <si>
    <t>15.89</t>
  </si>
  <si>
    <t>14.57</t>
  </si>
  <si>
    <t>14.91</t>
  </si>
  <si>
    <t>15.26</t>
  </si>
  <si>
    <t>20.34</t>
  </si>
  <si>
    <t>24.64</t>
  </si>
  <si>
    <t>21.96</t>
  </si>
  <si>
    <t>20.99</t>
  </si>
  <si>
    <t>21.56</t>
  </si>
  <si>
    <t>22.17</t>
  </si>
  <si>
    <t>21.24</t>
  </si>
  <si>
    <t>20.49</t>
  </si>
  <si>
    <t>17.8</t>
  </si>
  <si>
    <t>15.58</t>
  </si>
  <si>
    <t>20.91</t>
  </si>
  <si>
    <t>16.29</t>
  </si>
  <si>
    <t>20.16</t>
  </si>
  <si>
    <t>15.66</t>
  </si>
  <si>
    <t>16.45</t>
  </si>
  <si>
    <t>21.66</t>
  </si>
  <si>
    <t>20.44</t>
  </si>
  <si>
    <t>17.99</t>
  </si>
  <si>
    <t>8.48</t>
  </si>
  <si>
    <t>Idaho</t>
  </si>
  <si>
    <t>13.39</t>
  </si>
  <si>
    <t>14.22</t>
  </si>
  <si>
    <t>12.94</t>
  </si>
  <si>
    <t>12.49</t>
  </si>
  <si>
    <t>13.62</t>
  </si>
  <si>
    <t>12.71</t>
  </si>
  <si>
    <t>13.7</t>
  </si>
  <si>
    <t>13.63</t>
  </si>
  <si>
    <t>14.72</t>
  </si>
  <si>
    <t>15.38</t>
  </si>
  <si>
    <t>13.93</t>
  </si>
  <si>
    <t>13.67</t>
  </si>
  <si>
    <t>14.24</t>
  </si>
  <si>
    <t>13.15</t>
  </si>
  <si>
    <t>17.13</t>
  </si>
  <si>
    <t>16.2</t>
  </si>
  <si>
    <t>16.04</t>
  </si>
  <si>
    <t>16.61</t>
  </si>
  <si>
    <t>15.68</t>
  </si>
  <si>
    <t>16.82</t>
  </si>
  <si>
    <t>13.44</t>
  </si>
  <si>
    <t>13.8</t>
  </si>
  <si>
    <t>14.71</t>
  </si>
  <si>
    <t>15.73</t>
  </si>
  <si>
    <t>15.52</t>
  </si>
  <si>
    <t>18.33</t>
  </si>
  <si>
    <t>14.89</t>
  </si>
  <si>
    <t>14.42</t>
  </si>
  <si>
    <t>15.19</t>
  </si>
  <si>
    <t>15.43</t>
  </si>
  <si>
    <t>Illinois</t>
  </si>
  <si>
    <t>15.76</t>
  </si>
  <si>
    <t>17.33</t>
  </si>
  <si>
    <t>13.97</t>
  </si>
  <si>
    <t>10.57</t>
  </si>
  <si>
    <t>16.94</t>
  </si>
  <si>
    <t>15.41</t>
  </si>
  <si>
    <t>17.61</t>
  </si>
  <si>
    <t>20.07</t>
  </si>
  <si>
    <t>22.87</t>
  </si>
  <si>
    <t>22.48</t>
  </si>
  <si>
    <t>21.59</t>
  </si>
  <si>
    <t>23.54</t>
  </si>
  <si>
    <t>24.33</t>
  </si>
  <si>
    <t>24.06</t>
  </si>
  <si>
    <t>23.28</t>
  </si>
  <si>
    <t>25.05</t>
  </si>
  <si>
    <t>24.22</t>
  </si>
  <si>
    <t>21.12</t>
  </si>
  <si>
    <t>24.01</t>
  </si>
  <si>
    <t>24.18</t>
  </si>
  <si>
    <t>27.71</t>
  </si>
  <si>
    <t>27.89</t>
  </si>
  <si>
    <t>30.09</t>
  </si>
  <si>
    <t>30.94</t>
  </si>
  <si>
    <t>29.85</t>
  </si>
  <si>
    <t>31.06</t>
  </si>
  <si>
    <t>Indiana</t>
  </si>
  <si>
    <t>18.21</t>
  </si>
  <si>
    <t>15.85</t>
  </si>
  <si>
    <t>16.1</t>
  </si>
  <si>
    <t>14.45</t>
  </si>
  <si>
    <t>16.31</t>
  </si>
  <si>
    <t>16.16</t>
  </si>
  <si>
    <t>16.67</t>
  </si>
  <si>
    <t>15.08</t>
  </si>
  <si>
    <t>16.42</t>
  </si>
  <si>
    <t>18.51</t>
  </si>
  <si>
    <t>19.79</t>
  </si>
  <si>
    <t>17.07</t>
  </si>
  <si>
    <t>16.5</t>
  </si>
  <si>
    <t>19.1</t>
  </si>
  <si>
    <t>20.64</t>
  </si>
  <si>
    <t>21.05</t>
  </si>
  <si>
    <t>22.3</t>
  </si>
  <si>
    <t>20.7</t>
  </si>
  <si>
    <t>18.36</t>
  </si>
  <si>
    <t>20.78</t>
  </si>
  <si>
    <t>21.9</t>
  </si>
  <si>
    <t>21.67</t>
  </si>
  <si>
    <t>21.39</t>
  </si>
  <si>
    <t>23.19</t>
  </si>
  <si>
    <t>21.85</t>
  </si>
  <si>
    <t>26.62</t>
  </si>
  <si>
    <t>Iowa</t>
  </si>
  <si>
    <t>23.84</t>
  </si>
  <si>
    <t>21.68</t>
  </si>
  <si>
    <t>19.67</t>
  </si>
  <si>
    <t>18.17</t>
  </si>
  <si>
    <t>19.13</t>
  </si>
  <si>
    <t>18.66</t>
  </si>
  <si>
    <t>18.65</t>
  </si>
  <si>
    <t>21.19</t>
  </si>
  <si>
    <t>21.94</t>
  </si>
  <si>
    <t>19.63</t>
  </si>
  <si>
    <t>19.55</t>
  </si>
  <si>
    <t>18.75</t>
  </si>
  <si>
    <t>22.07</t>
  </si>
  <si>
    <t>20.35</t>
  </si>
  <si>
    <t>24.91</t>
  </si>
  <si>
    <t>23.22</t>
  </si>
  <si>
    <t>23.62</t>
  </si>
  <si>
    <t>27.67</t>
  </si>
  <si>
    <t>29.48</t>
  </si>
  <si>
    <t>25.23</t>
  </si>
  <si>
    <t>27.94</t>
  </si>
  <si>
    <t>29.87</t>
  </si>
  <si>
    <t>30.24</t>
  </si>
  <si>
    <t>29.38</t>
  </si>
  <si>
    <t>32.82</t>
  </si>
  <si>
    <t>31.99</t>
  </si>
  <si>
    <t>33.8</t>
  </si>
  <si>
    <t>Kansas</t>
  </si>
  <si>
    <t>27.72</t>
  </si>
  <si>
    <t>24.6</t>
  </si>
  <si>
    <t>29.43</t>
  </si>
  <si>
    <t>28.99</t>
  </si>
  <si>
    <t>28.58</t>
  </si>
  <si>
    <t>29.67</t>
  </si>
  <si>
    <t>31.2</t>
  </si>
  <si>
    <t>30.04</t>
  </si>
  <si>
    <t>21.83</t>
  </si>
  <si>
    <t>26.46</t>
  </si>
  <si>
    <t>28.74</t>
  </si>
  <si>
    <t>30.39</t>
  </si>
  <si>
    <t>28.9</t>
  </si>
  <si>
    <t>30.35</t>
  </si>
  <si>
    <t>33.76</t>
  </si>
  <si>
    <t>30.16</t>
  </si>
  <si>
    <t>33.34</t>
  </si>
  <si>
    <t>32.18</t>
  </si>
  <si>
    <t>35.37</t>
  </si>
  <si>
    <t>34.29</t>
  </si>
  <si>
    <t>28.97</t>
  </si>
  <si>
    <t>34.82</t>
  </si>
  <si>
    <t>32.43</t>
  </si>
  <si>
    <t>34.54</t>
  </si>
  <si>
    <t>30.5</t>
  </si>
  <si>
    <t>35.87</t>
  </si>
  <si>
    <t>37.48</t>
  </si>
  <si>
    <t>35.05</t>
  </si>
  <si>
    <t>34.76</t>
  </si>
  <si>
    <t>37.68</t>
  </si>
  <si>
    <t>40.45</t>
  </si>
  <si>
    <t>Kentucky</t>
  </si>
  <si>
    <t>20.38</t>
  </si>
  <si>
    <t>18.62</t>
  </si>
  <si>
    <t>18.82</t>
  </si>
  <si>
    <t>17.42</t>
  </si>
  <si>
    <t>18.64</t>
  </si>
  <si>
    <t>17.18</t>
  </si>
  <si>
    <t>16.09</t>
  </si>
  <si>
    <t>17.31</t>
  </si>
  <si>
    <t>16.85</t>
  </si>
  <si>
    <t>18.73</t>
  </si>
  <si>
    <t>10.89</t>
  </si>
  <si>
    <t>13.72</t>
  </si>
  <si>
    <t>18.4</t>
  </si>
  <si>
    <t>21.15</t>
  </si>
  <si>
    <t>21.33</t>
  </si>
  <si>
    <t>21.44</t>
  </si>
  <si>
    <t>20.71</t>
  </si>
  <si>
    <t>20.86</t>
  </si>
  <si>
    <t>23.34</t>
  </si>
  <si>
    <t>19.52</t>
  </si>
  <si>
    <t>20.11</t>
  </si>
  <si>
    <t>20.73</t>
  </si>
  <si>
    <t>20.62</t>
  </si>
  <si>
    <t>20.6</t>
  </si>
  <si>
    <t>19.03</t>
  </si>
  <si>
    <t>20.29</t>
  </si>
  <si>
    <t>20.55</t>
  </si>
  <si>
    <t>22.7</t>
  </si>
  <si>
    <t>Louisiana</t>
  </si>
  <si>
    <t>19.28</t>
  </si>
  <si>
    <t>17.46</t>
  </si>
  <si>
    <t>15.67</t>
  </si>
  <si>
    <t>18.5</t>
  </si>
  <si>
    <t>19.57</t>
  </si>
  <si>
    <t>20.4</t>
  </si>
  <si>
    <t>21.17</t>
  </si>
  <si>
    <t>19.84</t>
  </si>
  <si>
    <t>20.5</t>
  </si>
  <si>
    <t>23.67</t>
  </si>
  <si>
    <t>24.95</t>
  </si>
  <si>
    <t>26.14</t>
  </si>
  <si>
    <t>27.35</t>
  </si>
  <si>
    <t>28.12</t>
  </si>
  <si>
    <t>26.06</t>
  </si>
  <si>
    <t>26.57</t>
  </si>
  <si>
    <t>29.27</t>
  </si>
  <si>
    <t>21.47</t>
  </si>
  <si>
    <t>24.83</t>
  </si>
  <si>
    <t>30.69</t>
  </si>
  <si>
    <t>35.25</t>
  </si>
  <si>
    <t>32.84</t>
  </si>
  <si>
    <t>32.34</t>
  </si>
  <si>
    <t>32.13</t>
  </si>
  <si>
    <t>32.33</t>
  </si>
  <si>
    <t>33.35</t>
  </si>
  <si>
    <t>Maine</t>
  </si>
  <si>
    <t>14.65</t>
  </si>
  <si>
    <t>13.12</t>
  </si>
  <si>
    <t>12.84</t>
  </si>
  <si>
    <t>13.86</t>
  </si>
  <si>
    <t>13.99</t>
  </si>
  <si>
    <t>18.02</t>
  </si>
  <si>
    <t>16.18</t>
  </si>
  <si>
    <t>19.58</t>
  </si>
  <si>
    <t>17.7</t>
  </si>
  <si>
    <t>22.11</t>
  </si>
  <si>
    <t>22.33</t>
  </si>
  <si>
    <t>21.53</t>
  </si>
  <si>
    <t>18.06</t>
  </si>
  <si>
    <t>20.06</t>
  </si>
  <si>
    <t>16.48</t>
  </si>
  <si>
    <t>19.99</t>
  </si>
  <si>
    <t>17.05</t>
  </si>
  <si>
    <t>19.7</t>
  </si>
  <si>
    <t>18.34</t>
  </si>
  <si>
    <t>17.77</t>
  </si>
  <si>
    <t>Maryland</t>
  </si>
  <si>
    <t>18.52</t>
  </si>
  <si>
    <t>18.81</t>
  </si>
  <si>
    <t>18.87</t>
  </si>
  <si>
    <t>20.24</t>
  </si>
  <si>
    <t>19.62</t>
  </si>
  <si>
    <t>22.15</t>
  </si>
  <si>
    <t>21.63</t>
  </si>
  <si>
    <t>24.2</t>
  </si>
  <si>
    <t>23.53</t>
  </si>
  <si>
    <t>24.11</t>
  </si>
  <si>
    <t>25.3</t>
  </si>
  <si>
    <t>27.56</t>
  </si>
  <si>
    <t>29.22</t>
  </si>
  <si>
    <t>27.66</t>
  </si>
  <si>
    <t>33.84</t>
  </si>
  <si>
    <t>31.55</t>
  </si>
  <si>
    <t>30.71</t>
  </si>
  <si>
    <t>30.4</t>
  </si>
  <si>
    <t>29.14</t>
  </si>
  <si>
    <t>33.37</t>
  </si>
  <si>
    <t>36.58</t>
  </si>
  <si>
    <t>33.08</t>
  </si>
  <si>
    <t>31.54</t>
  </si>
  <si>
    <t>36.26</t>
  </si>
  <si>
    <t>33.42</t>
  </si>
  <si>
    <t>38.83</t>
  </si>
  <si>
    <t>35.16</t>
  </si>
  <si>
    <t>34.08</t>
  </si>
  <si>
    <t>Massachusetts</t>
  </si>
  <si>
    <t>11.94</t>
  </si>
  <si>
    <t>11.82</t>
  </si>
  <si>
    <t>12.27</t>
  </si>
  <si>
    <t>9.61</t>
  </si>
  <si>
    <t>11.85</t>
  </si>
  <si>
    <t>11.39</t>
  </si>
  <si>
    <t>13.53</t>
  </si>
  <si>
    <t>14.31</t>
  </si>
  <si>
    <t>13.79</t>
  </si>
  <si>
    <t>12.81</t>
  </si>
  <si>
    <t>13.21</t>
  </si>
  <si>
    <t>15.05</t>
  </si>
  <si>
    <t>14.33</t>
  </si>
  <si>
    <t>13.24</t>
  </si>
  <si>
    <t>14.54</t>
  </si>
  <si>
    <t>14.49</t>
  </si>
  <si>
    <t>12.82</t>
  </si>
  <si>
    <t>14.75</t>
  </si>
  <si>
    <t>14.94</t>
  </si>
  <si>
    <t>15.92</t>
  </si>
  <si>
    <t>15.79</t>
  </si>
  <si>
    <t>16.83</t>
  </si>
  <si>
    <t>16.28</t>
  </si>
  <si>
    <t>16.44</t>
  </si>
  <si>
    <t>17.52</t>
  </si>
  <si>
    <t>18.85</t>
  </si>
  <si>
    <t>17.25</t>
  </si>
  <si>
    <t>17.88</t>
  </si>
  <si>
    <t>18.91</t>
  </si>
  <si>
    <t>Michigan</t>
  </si>
  <si>
    <t>16.63</t>
  </si>
  <si>
    <t>14.3</t>
  </si>
  <si>
    <t>17.1</t>
  </si>
  <si>
    <t>17.83</t>
  </si>
  <si>
    <t>19.94</t>
  </si>
  <si>
    <t>19.15</t>
  </si>
  <si>
    <t>20.13</t>
  </si>
  <si>
    <t>20.21</t>
  </si>
  <si>
    <t>22.77</t>
  </si>
  <si>
    <t>21.65</t>
  </si>
  <si>
    <t>21.61</t>
  </si>
  <si>
    <t>22.73</t>
  </si>
  <si>
    <t>25.07</t>
  </si>
  <si>
    <t>25.43</t>
  </si>
  <si>
    <t>25.87</t>
  </si>
  <si>
    <t>24.87</t>
  </si>
  <si>
    <t>27.73</t>
  </si>
  <si>
    <t>28.88</t>
  </si>
  <si>
    <t>Minnesota</t>
  </si>
  <si>
    <t>30.6</t>
  </si>
  <si>
    <t>26.24</t>
  </si>
  <si>
    <t>26.36</t>
  </si>
  <si>
    <t>23.81</t>
  </si>
  <si>
    <t>25.54</t>
  </si>
  <si>
    <t>25.58</t>
  </si>
  <si>
    <t>24.62</t>
  </si>
  <si>
    <t>26.02</t>
  </si>
  <si>
    <t>28.41</t>
  </si>
  <si>
    <t>27.47</t>
  </si>
  <si>
    <t>26.7</t>
  </si>
  <si>
    <t>30.14</t>
  </si>
  <si>
    <t>31.4</t>
  </si>
  <si>
    <t>29.21</t>
  </si>
  <si>
    <t>29.86</t>
  </si>
  <si>
    <t>28.25</t>
  </si>
  <si>
    <t>29.69</t>
  </si>
  <si>
    <t>28.81</t>
  </si>
  <si>
    <t>29.4</t>
  </si>
  <si>
    <t>29.99</t>
  </si>
  <si>
    <t>30.37</t>
  </si>
  <si>
    <t>33.98</t>
  </si>
  <si>
    <t>32.98</t>
  </si>
  <si>
    <t>33.33</t>
  </si>
  <si>
    <t>34.37</t>
  </si>
  <si>
    <t>31.56</t>
  </si>
  <si>
    <t>33.5</t>
  </si>
  <si>
    <t>35.39</t>
  </si>
  <si>
    <t>Mississippi</t>
  </si>
  <si>
    <t>28.2</t>
  </si>
  <si>
    <t>27.05</t>
  </si>
  <si>
    <t>22.22</t>
  </si>
  <si>
    <t>25.92</t>
  </si>
  <si>
    <t>31.57</t>
  </si>
  <si>
    <t>28.22</t>
  </si>
  <si>
    <t>31.45</t>
  </si>
  <si>
    <t>27.1</t>
  </si>
  <si>
    <t>28.27</t>
  </si>
  <si>
    <t>28.07</t>
  </si>
  <si>
    <t>28.02</t>
  </si>
  <si>
    <t>25.51</t>
  </si>
  <si>
    <t>29.65</t>
  </si>
  <si>
    <t>32.09</t>
  </si>
  <si>
    <t>30.47</t>
  </si>
  <si>
    <t>25.55</t>
  </si>
  <si>
    <t>23.48</t>
  </si>
  <si>
    <t>26.04</t>
  </si>
  <si>
    <t>24.78</t>
  </si>
  <si>
    <t>25.6</t>
  </si>
  <si>
    <t>28.95</t>
  </si>
  <si>
    <t>26.61</t>
  </si>
  <si>
    <t>32.31</t>
  </si>
  <si>
    <t>31.68</t>
  </si>
  <si>
    <t>Missouri</t>
  </si>
  <si>
    <t>28.04</t>
  </si>
  <si>
    <t>23.45</t>
  </si>
  <si>
    <t>23.96</t>
  </si>
  <si>
    <t>21.99</t>
  </si>
  <si>
    <t>22.12</t>
  </si>
  <si>
    <t>25.09</t>
  </si>
  <si>
    <t>22.75</t>
  </si>
  <si>
    <t>24.9</t>
  </si>
  <si>
    <t>23.83</t>
  </si>
  <si>
    <t>24.86</t>
  </si>
  <si>
    <t>21.31</t>
  </si>
  <si>
    <t>25.66</t>
  </si>
  <si>
    <t>21.72</t>
  </si>
  <si>
    <t>23.68</t>
  </si>
  <si>
    <t>25.65</t>
  </si>
  <si>
    <t>25.45</t>
  </si>
  <si>
    <t>23.27</t>
  </si>
  <si>
    <t>23.97</t>
  </si>
  <si>
    <t>24.56</t>
  </si>
  <si>
    <t>27.16</t>
  </si>
  <si>
    <t>24.59</t>
  </si>
  <si>
    <t>24.81</t>
  </si>
  <si>
    <t>28.17</t>
  </si>
  <si>
    <t>29.84</t>
  </si>
  <si>
    <t>28.24</t>
  </si>
  <si>
    <t>31.86</t>
  </si>
  <si>
    <t>Montana</t>
  </si>
  <si>
    <t>32.38</t>
  </si>
  <si>
    <t>31.08</t>
  </si>
  <si>
    <t>28.5</t>
  </si>
  <si>
    <t>29.07</t>
  </si>
  <si>
    <t>26.83</t>
  </si>
  <si>
    <t>23.24</t>
  </si>
  <si>
    <t>25.29</t>
  </si>
  <si>
    <t>32.05</t>
  </si>
  <si>
    <t>25.47</t>
  </si>
  <si>
    <t>27.68</t>
  </si>
  <si>
    <t>29.34</t>
  </si>
  <si>
    <t>32.06</t>
  </si>
  <si>
    <t>28.67</t>
  </si>
  <si>
    <t>30.17</t>
  </si>
  <si>
    <t>32.96</t>
  </si>
  <si>
    <t>34.13</t>
  </si>
  <si>
    <t>32.53</t>
  </si>
  <si>
    <t>28.39</t>
  </si>
  <si>
    <t>33.15</t>
  </si>
  <si>
    <t>31.05</t>
  </si>
  <si>
    <t>30.11</t>
  </si>
  <si>
    <t>30.91</t>
  </si>
  <si>
    <t>33.87</t>
  </si>
  <si>
    <t>34.06</t>
  </si>
  <si>
    <t>36.39</t>
  </si>
  <si>
    <t>35.4</t>
  </si>
  <si>
    <t>29.9</t>
  </si>
  <si>
    <t>32.69</t>
  </si>
  <si>
    <t>Nebraska</t>
  </si>
  <si>
    <t>17.54</t>
  </si>
  <si>
    <t>14.85</t>
  </si>
  <si>
    <t>17.37</t>
  </si>
  <si>
    <t>19.08</t>
  </si>
  <si>
    <t>19.19</t>
  </si>
  <si>
    <t>17.92</t>
  </si>
  <si>
    <t>16.75</t>
  </si>
  <si>
    <t>16.9</t>
  </si>
  <si>
    <t>18.56</t>
  </si>
  <si>
    <t>15.63</t>
  </si>
  <si>
    <t>20.3</t>
  </si>
  <si>
    <t>22.36</t>
  </si>
  <si>
    <t>23.65</t>
  </si>
  <si>
    <t>24.13</t>
  </si>
  <si>
    <t>22.8</t>
  </si>
  <si>
    <t>24.25</t>
  </si>
  <si>
    <t>22.03</t>
  </si>
  <si>
    <t>21.36</t>
  </si>
  <si>
    <t>24.37</t>
  </si>
  <si>
    <t>20.51</t>
  </si>
  <si>
    <t>22.97</t>
  </si>
  <si>
    <t>31.11</t>
  </si>
  <si>
    <t>35.79</t>
  </si>
  <si>
    <t>42.79</t>
  </si>
  <si>
    <t>38.68</t>
  </si>
  <si>
    <t>42.96</t>
  </si>
  <si>
    <t>42.31</t>
  </si>
  <si>
    <t>42.45</t>
  </si>
  <si>
    <t>Nevada</t>
  </si>
  <si>
    <t>18.19</t>
  </si>
  <si>
    <t>20.22</t>
  </si>
  <si>
    <t>16.17</t>
  </si>
  <si>
    <t>15.25</t>
  </si>
  <si>
    <t>12.79</t>
  </si>
  <si>
    <t>15.94</t>
  </si>
  <si>
    <t>17.97</t>
  </si>
  <si>
    <t>19.44</t>
  </si>
  <si>
    <t>20.76</t>
  </si>
  <si>
    <t>19.85</t>
  </si>
  <si>
    <t>18.58</t>
  </si>
  <si>
    <t>22.31</t>
  </si>
  <si>
    <t>18.14</t>
  </si>
  <si>
    <t>17.44</t>
  </si>
  <si>
    <t>19.09</t>
  </si>
  <si>
    <t>22.25</t>
  </si>
  <si>
    <t>18.86</t>
  </si>
  <si>
    <t>20.27</t>
  </si>
  <si>
    <t>22.63</t>
  </si>
  <si>
    <t>22.66</t>
  </si>
  <si>
    <t>23.64</t>
  </si>
  <si>
    <t>21.06</t>
  </si>
  <si>
    <t>24.68</t>
  </si>
  <si>
    <t>25.49</t>
  </si>
  <si>
    <t>New Hampshire</t>
  </si>
  <si>
    <t>18.77</t>
  </si>
  <si>
    <t>18.2</t>
  </si>
  <si>
    <t>17.24</t>
  </si>
  <si>
    <t>16.02</t>
  </si>
  <si>
    <t>17.53</t>
  </si>
  <si>
    <t>20.28</t>
  </si>
  <si>
    <t>19.25</t>
  </si>
  <si>
    <t>19.81</t>
  </si>
  <si>
    <t>17.27</t>
  </si>
  <si>
    <t>20.17</t>
  </si>
  <si>
    <t>17.69</t>
  </si>
  <si>
    <t>17.86</t>
  </si>
  <si>
    <t>18.96</t>
  </si>
  <si>
    <t>19.05</t>
  </si>
  <si>
    <t>21.08</t>
  </si>
  <si>
    <t>23.31</t>
  </si>
  <si>
    <t>New Jersey</t>
  </si>
  <si>
    <t>11.53</t>
  </si>
  <si>
    <t>10.61</t>
  </si>
  <si>
    <t>10.01</t>
  </si>
  <si>
    <t>9.89</t>
  </si>
  <si>
    <t>11.14</t>
  </si>
  <si>
    <t>11.22</t>
  </si>
  <si>
    <t>13.49</t>
  </si>
  <si>
    <t>13.25</t>
  </si>
  <si>
    <t>14.74</t>
  </si>
  <si>
    <t>16.33</t>
  </si>
  <si>
    <t>14.92</t>
  </si>
  <si>
    <t>14.35</t>
  </si>
  <si>
    <t>16.34</t>
  </si>
  <si>
    <t>18.46</t>
  </si>
  <si>
    <t>21.58</t>
  </si>
  <si>
    <t>25.26</t>
  </si>
  <si>
    <t>25.34</t>
  </si>
  <si>
    <t>26.09</t>
  </si>
  <si>
    <t>23.77</t>
  </si>
  <si>
    <t>22.14</t>
  </si>
  <si>
    <t>25.42</t>
  </si>
  <si>
    <t>25.53</t>
  </si>
  <si>
    <t>25.73</t>
  </si>
  <si>
    <t>32.61</t>
  </si>
  <si>
    <t>36.35</t>
  </si>
  <si>
    <t>34.85</t>
  </si>
  <si>
    <t>30.3</t>
  </si>
  <si>
    <t>31.64</t>
  </si>
  <si>
    <t>32.01</t>
  </si>
  <si>
    <t>33.69</t>
  </si>
  <si>
    <t>New Mexico</t>
  </si>
  <si>
    <t>46.22</t>
  </si>
  <si>
    <t>44.57</t>
  </si>
  <si>
    <t>42.29</t>
  </si>
  <si>
    <t>36.86</t>
  </si>
  <si>
    <t>45.47</t>
  </si>
  <si>
    <t>47.5</t>
  </si>
  <si>
    <t>45.79</t>
  </si>
  <si>
    <t>45.62</t>
  </si>
  <si>
    <t>44.13</t>
  </si>
  <si>
    <t>35.22</t>
  </si>
  <si>
    <t>41.27</t>
  </si>
  <si>
    <t>56.95</t>
  </si>
  <si>
    <t>51.2</t>
  </si>
  <si>
    <t>49.61</t>
  </si>
  <si>
    <t>54.69</t>
  </si>
  <si>
    <t>54.07</t>
  </si>
  <si>
    <t>50.03</t>
  </si>
  <si>
    <t>48.2</t>
  </si>
  <si>
    <t>54.8</t>
  </si>
  <si>
    <t>52.02</t>
  </si>
  <si>
    <t>49.14</t>
  </si>
  <si>
    <t>50.21</t>
  </si>
  <si>
    <t>54.97</t>
  </si>
  <si>
    <t>60.76</t>
  </si>
  <si>
    <t>53.51</t>
  </si>
  <si>
    <t>57.22</t>
  </si>
  <si>
    <t>58.87</t>
  </si>
  <si>
    <t>62.13</t>
  </si>
  <si>
    <t>63.16</t>
  </si>
  <si>
    <t>67.83</t>
  </si>
  <si>
    <t>67.93</t>
  </si>
  <si>
    <t>65.27</t>
  </si>
  <si>
    <t>73.55</t>
  </si>
  <si>
    <t>72.88</t>
  </si>
  <si>
    <t>New York</t>
  </si>
  <si>
    <t>5.1</t>
  </si>
  <si>
    <t>4.59</t>
  </si>
  <si>
    <t>5.06</t>
  </si>
  <si>
    <t>4.09</t>
  </si>
  <si>
    <t>4.99</t>
  </si>
  <si>
    <t>5.92</t>
  </si>
  <si>
    <t>5.37</t>
  </si>
  <si>
    <t>5.85</t>
  </si>
  <si>
    <t>6.52</t>
  </si>
  <si>
    <t>6.91</t>
  </si>
  <si>
    <t>6.88</t>
  </si>
  <si>
    <t>6.58</t>
  </si>
  <si>
    <t>7.28</t>
  </si>
  <si>
    <t>7.09</t>
  </si>
  <si>
    <t>6.82</t>
  </si>
  <si>
    <t>7.19</t>
  </si>
  <si>
    <t>7.68</t>
  </si>
  <si>
    <t>8.3</t>
  </si>
  <si>
    <t>8.95</t>
  </si>
  <si>
    <t>9.93</t>
  </si>
  <si>
    <t>13.54</t>
  </si>
  <si>
    <t>43.5</t>
  </si>
  <si>
    <t>36.74</t>
  </si>
  <si>
    <t>43.01</t>
  </si>
  <si>
    <t>46.67</t>
  </si>
  <si>
    <t>48.43</t>
  </si>
  <si>
    <t>47.62</t>
  </si>
  <si>
    <t>49.43</t>
  </si>
  <si>
    <t>42.99</t>
  </si>
  <si>
    <t>47.68</t>
  </si>
  <si>
    <t>46.12</t>
  </si>
  <si>
    <t>46.35</t>
  </si>
  <si>
    <t>North Carolina</t>
  </si>
  <si>
    <t>28.19</t>
  </si>
  <si>
    <t>26.29</t>
  </si>
  <si>
    <t>26.21</t>
  </si>
  <si>
    <t>28.13</t>
  </si>
  <si>
    <t>28.4</t>
  </si>
  <si>
    <t>24.51</t>
  </si>
  <si>
    <t>25.2</t>
  </si>
  <si>
    <t>27.41</t>
  </si>
  <si>
    <t>26.68</t>
  </si>
  <si>
    <t>28.59</t>
  </si>
  <si>
    <t>30.54</t>
  </si>
  <si>
    <t>29.08</t>
  </si>
  <si>
    <t>27.31</t>
  </si>
  <si>
    <t>29.54</t>
  </si>
  <si>
    <t>30.74</t>
  </si>
  <si>
    <t>28.57</t>
  </si>
  <si>
    <t>27.63</t>
  </si>
  <si>
    <t>30.78</t>
  </si>
  <si>
    <t>30.89</t>
  </si>
  <si>
    <t>33.49</t>
  </si>
  <si>
    <t>33.12</t>
  </si>
  <si>
    <t>32.95</t>
  </si>
  <si>
    <t>34.68</t>
  </si>
  <si>
    <t>North Dakota</t>
  </si>
  <si>
    <t>24.34</t>
  </si>
  <si>
    <t>22.47</t>
  </si>
  <si>
    <t>21.34</t>
  </si>
  <si>
    <t>21.23</t>
  </si>
  <si>
    <t>21.2</t>
  </si>
  <si>
    <t>20.52</t>
  </si>
  <si>
    <t>25.15</t>
  </si>
  <si>
    <t>21.82</t>
  </si>
  <si>
    <t>28.1</t>
  </si>
  <si>
    <t>28.75</t>
  </si>
  <si>
    <t>23.09</t>
  </si>
  <si>
    <t>26.88</t>
  </si>
  <si>
    <t>34.4</t>
  </si>
  <si>
    <t>31.27</t>
  </si>
  <si>
    <t>32.91</t>
  </si>
  <si>
    <t>35.31</t>
  </si>
  <si>
    <t>32.57</t>
  </si>
  <si>
    <t>Ohio</t>
  </si>
  <si>
    <t>19.41</t>
  </si>
  <si>
    <t>17.89</t>
  </si>
  <si>
    <t>19.36</t>
  </si>
  <si>
    <t>22.06</t>
  </si>
  <si>
    <t>22.19</t>
  </si>
  <si>
    <t>23.06</t>
  </si>
  <si>
    <t>22.4</t>
  </si>
  <si>
    <t>22.86</t>
  </si>
  <si>
    <t>22.56</t>
  </si>
  <si>
    <t>22.65</t>
  </si>
  <si>
    <t>23.42</t>
  </si>
  <si>
    <t>23.69</t>
  </si>
  <si>
    <t>24.4</t>
  </si>
  <si>
    <t>25.01</t>
  </si>
  <si>
    <t>Oklahoma</t>
  </si>
  <si>
    <t>30.63</t>
  </si>
  <si>
    <t>26.91</t>
  </si>
  <si>
    <t>26.59</t>
  </si>
  <si>
    <t>26.28</t>
  </si>
  <si>
    <t>28.8</t>
  </si>
  <si>
    <t>28.78</t>
  </si>
  <si>
    <t>29.35</t>
  </si>
  <si>
    <t>27.4</t>
  </si>
  <si>
    <t>27.7</t>
  </si>
  <si>
    <t>33.14</t>
  </si>
  <si>
    <t>32.08</t>
  </si>
  <si>
    <t>27.5</t>
  </si>
  <si>
    <t>28.3</t>
  </si>
  <si>
    <t>31.8</t>
  </si>
  <si>
    <t>32.36</t>
  </si>
  <si>
    <t>33.53</t>
  </si>
  <si>
    <t>33.73</t>
  </si>
  <si>
    <t>29.01</t>
  </si>
  <si>
    <t>29.79</t>
  </si>
  <si>
    <t>33.11</t>
  </si>
  <si>
    <t>29.57</t>
  </si>
  <si>
    <t>29.26</t>
  </si>
  <si>
    <t>33.44</t>
  </si>
  <si>
    <t>31.39</t>
  </si>
  <si>
    <t>37.54</t>
  </si>
  <si>
    <t>Oregon</t>
  </si>
  <si>
    <t>26.87</t>
  </si>
  <si>
    <t>28.7</t>
  </si>
  <si>
    <t>31.23</t>
  </si>
  <si>
    <t>32.8</t>
  </si>
  <si>
    <t>31.01</t>
  </si>
  <si>
    <t>32.79</t>
  </si>
  <si>
    <t>38.14</t>
  </si>
  <si>
    <t>36.22</t>
  </si>
  <si>
    <t>40.44</t>
  </si>
  <si>
    <t>39.08</t>
  </si>
  <si>
    <t>42.98</t>
  </si>
  <si>
    <t>37.87</t>
  </si>
  <si>
    <t>38.63</t>
  </si>
  <si>
    <t>37.39</t>
  </si>
  <si>
    <t>37.19</t>
  </si>
  <si>
    <t>38.58</t>
  </si>
  <si>
    <t>34.07</t>
  </si>
  <si>
    <t>36.59</t>
  </si>
  <si>
    <t>39.07</t>
  </si>
  <si>
    <t>43.94</t>
  </si>
  <si>
    <t>37.41</t>
  </si>
  <si>
    <t>43.74</t>
  </si>
  <si>
    <t>44.85</t>
  </si>
  <si>
    <t>44.16</t>
  </si>
  <si>
    <t>46.97</t>
  </si>
  <si>
    <t>45.08</t>
  </si>
  <si>
    <t>49.9</t>
  </si>
  <si>
    <t>52.39</t>
  </si>
  <si>
    <t>51.62</t>
  </si>
  <si>
    <t>54.81</t>
  </si>
  <si>
    <t>Pennsylvania</t>
  </si>
  <si>
    <t>20.03</t>
  </si>
  <si>
    <t>13.89</t>
  </si>
  <si>
    <t>23.2</t>
  </si>
  <si>
    <t>26.39</t>
  </si>
  <si>
    <t>25.86</t>
  </si>
  <si>
    <t>30.2</t>
  </si>
  <si>
    <t>26.41</t>
  </si>
  <si>
    <t>26.73</t>
  </si>
  <si>
    <t>29.55</t>
  </si>
  <si>
    <t>28.49</t>
  </si>
  <si>
    <t>33.04</t>
  </si>
  <si>
    <t>36.85</t>
  </si>
  <si>
    <t>40.53</t>
  </si>
  <si>
    <t>39.64</t>
  </si>
  <si>
    <t>37.65</t>
  </si>
  <si>
    <t>39.06</t>
  </si>
  <si>
    <t>36.44</t>
  </si>
  <si>
    <t>32.48</t>
  </si>
  <si>
    <t>37.32</t>
  </si>
  <si>
    <t>42.78</t>
  </si>
  <si>
    <t>43.06</t>
  </si>
  <si>
    <t>46.26</t>
  </si>
  <si>
    <t>48.35</t>
  </si>
  <si>
    <t>43.99</t>
  </si>
  <si>
    <t>45.17</t>
  </si>
  <si>
    <t>43.07</t>
  </si>
  <si>
    <t>42.93</t>
  </si>
  <si>
    <t>Rhode Island</t>
  </si>
  <si>
    <t>10.32</t>
  </si>
  <si>
    <t>9.41</t>
  </si>
  <si>
    <t>9.59</t>
  </si>
  <si>
    <t>9.04</t>
  </si>
  <si>
    <t>10.23</t>
  </si>
  <si>
    <t>7.77</t>
  </si>
  <si>
    <t>9.87</t>
  </si>
  <si>
    <t>10.6</t>
  </si>
  <si>
    <t>11.15</t>
  </si>
  <si>
    <t>12.06</t>
  </si>
  <si>
    <t>12.97</t>
  </si>
  <si>
    <t>8.61</t>
  </si>
  <si>
    <t>9.98</t>
  </si>
  <si>
    <t>10.44</t>
  </si>
  <si>
    <t>11.26</t>
  </si>
  <si>
    <t>10.16</t>
  </si>
  <si>
    <t>12.73</t>
  </si>
  <si>
    <t>8.97</t>
  </si>
  <si>
    <t>10.25</t>
  </si>
  <si>
    <t>14.19</t>
  </si>
  <si>
    <t>11.33</t>
  </si>
  <si>
    <t>14.8</t>
  </si>
  <si>
    <t>11.24</t>
  </si>
  <si>
    <t>12.43</t>
  </si>
  <si>
    <t>15.62</t>
  </si>
  <si>
    <t>13.34</t>
  </si>
  <si>
    <t>South Carolina</t>
  </si>
  <si>
    <t>34.49</t>
  </si>
  <si>
    <t>30.29</t>
  </si>
  <si>
    <t>31.09</t>
  </si>
  <si>
    <t>32.85</t>
  </si>
  <si>
    <t>28.84</t>
  </si>
  <si>
    <t>31.49</t>
  </si>
  <si>
    <t>32.44</t>
  </si>
  <si>
    <t>29.29</t>
  </si>
  <si>
    <t>31.82</t>
  </si>
  <si>
    <t>33.58</t>
  </si>
  <si>
    <t>30.85</t>
  </si>
  <si>
    <t>34.44</t>
  </si>
  <si>
    <t>34.84</t>
  </si>
  <si>
    <t>37.72</t>
  </si>
  <si>
    <t>31.76</t>
  </si>
  <si>
    <t>32.45</t>
  </si>
  <si>
    <t>32.75</t>
  </si>
  <si>
    <t>35.84</t>
  </si>
  <si>
    <t>36.81</t>
  </si>
  <si>
    <t>35.57</t>
  </si>
  <si>
    <t>35.19</t>
  </si>
  <si>
    <t>34.55</t>
  </si>
  <si>
    <t>32.26</t>
  </si>
  <si>
    <t>35.02</t>
  </si>
  <si>
    <t>South Dakota</t>
  </si>
  <si>
    <t>19.16</t>
  </si>
  <si>
    <t>14.97</t>
  </si>
  <si>
    <t>18.49</t>
  </si>
  <si>
    <t>14.27</t>
  </si>
  <si>
    <t>13.61</t>
  </si>
  <si>
    <t>16.99</t>
  </si>
  <si>
    <t>14.79</t>
  </si>
  <si>
    <t>20.19</t>
  </si>
  <si>
    <t>24.09</t>
  </si>
  <si>
    <t>31.44</t>
  </si>
  <si>
    <t>26.2</t>
  </si>
  <si>
    <t>22.81</t>
  </si>
  <si>
    <t>21.45</t>
  </si>
  <si>
    <t>25.36</t>
  </si>
  <si>
    <t>19.17</t>
  </si>
  <si>
    <t>23.57</t>
  </si>
  <si>
    <t>27.76</t>
  </si>
  <si>
    <t>27.17</t>
  </si>
  <si>
    <t>28.18</t>
  </si>
  <si>
    <t>29.8</t>
  </si>
  <si>
    <t>Tennessee</t>
  </si>
  <si>
    <t>39.69</t>
  </si>
  <si>
    <t>33.72</t>
  </si>
  <si>
    <t>33.9</t>
  </si>
  <si>
    <t>30.51</t>
  </si>
  <si>
    <t>34.56</t>
  </si>
  <si>
    <t>31.58</t>
  </si>
  <si>
    <t>32.72</t>
  </si>
  <si>
    <t>31.47</t>
  </si>
  <si>
    <t>29.05</t>
  </si>
  <si>
    <t>32.04</t>
  </si>
  <si>
    <t>30.23</t>
  </si>
  <si>
    <t>32.54</t>
  </si>
  <si>
    <t>33.4</t>
  </si>
  <si>
    <t>35.95</t>
  </si>
  <si>
    <t>30.83</t>
  </si>
  <si>
    <t>34.72</t>
  </si>
  <si>
    <t>35.51</t>
  </si>
  <si>
    <t>35.5</t>
  </si>
  <si>
    <t>29.62</t>
  </si>
  <si>
    <t>38.03</t>
  </si>
  <si>
    <t>40.3</t>
  </si>
  <si>
    <t>41.87</t>
  </si>
  <si>
    <t>42.17</t>
  </si>
  <si>
    <t>41.89</t>
  </si>
  <si>
    <t>38.59</t>
  </si>
  <si>
    <t>39.98</t>
  </si>
  <si>
    <t>43.08</t>
  </si>
  <si>
    <t>Texas</t>
  </si>
  <si>
    <t>18.24</t>
  </si>
  <si>
    <t>17.82</t>
  </si>
  <si>
    <t>18.29</t>
  </si>
  <si>
    <t>19.06</t>
  </si>
  <si>
    <t>19.92</t>
  </si>
  <si>
    <t>20.61</t>
  </si>
  <si>
    <t>21.84</t>
  </si>
  <si>
    <t>20.39</t>
  </si>
  <si>
    <t>18.98</t>
  </si>
  <si>
    <t>21.14</t>
  </si>
  <si>
    <t>21.29</t>
  </si>
  <si>
    <t>21.26</t>
  </si>
  <si>
    <t>20.81</t>
  </si>
  <si>
    <t>21.25</t>
  </si>
  <si>
    <t>20.88</t>
  </si>
  <si>
    <t>22.93</t>
  </si>
  <si>
    <t>23.52</t>
  </si>
  <si>
    <t>22.84</t>
  </si>
  <si>
    <t>23.73</t>
  </si>
  <si>
    <t>24.85</t>
  </si>
  <si>
    <t>24.47</t>
  </si>
  <si>
    <t>25.62</t>
  </si>
  <si>
    <t>25.38</t>
  </si>
  <si>
    <t>26.94</t>
  </si>
  <si>
    <t>27.65</t>
  </si>
  <si>
    <t>Utah</t>
  </si>
  <si>
    <t>26.12</t>
  </si>
  <si>
    <t>28.15</t>
  </si>
  <si>
    <t>30.01</t>
  </si>
  <si>
    <t>27.42</t>
  </si>
  <si>
    <t>27.77</t>
  </si>
  <si>
    <t>27.22</t>
  </si>
  <si>
    <t>29.88</t>
  </si>
  <si>
    <t>25.81</t>
  </si>
  <si>
    <t>29.44</t>
  </si>
  <si>
    <t>25.99</t>
  </si>
  <si>
    <t>29.63</t>
  </si>
  <si>
    <t>30.61</t>
  </si>
  <si>
    <t>30.97</t>
  </si>
  <si>
    <t>31.72</t>
  </si>
  <si>
    <t>32.41</t>
  </si>
  <si>
    <t>28.55</t>
  </si>
  <si>
    <t>30.31</t>
  </si>
  <si>
    <t>28.92</t>
  </si>
  <si>
    <t>31.53</t>
  </si>
  <si>
    <t>27.95</t>
  </si>
  <si>
    <t>33.55</t>
  </si>
  <si>
    <t>32.12</t>
  </si>
  <si>
    <t>29.09</t>
  </si>
  <si>
    <t>Vermont</t>
  </si>
  <si>
    <t>23.55</t>
  </si>
  <si>
    <t>18.28</t>
  </si>
  <si>
    <t>22.18</t>
  </si>
  <si>
    <t>23.21</t>
  </si>
  <si>
    <t>24.16</t>
  </si>
  <si>
    <t>25.48</t>
  </si>
  <si>
    <t>34.62</t>
  </si>
  <si>
    <t>24.32</t>
  </si>
  <si>
    <t>31.87</t>
  </si>
  <si>
    <t>34.46</t>
  </si>
  <si>
    <t>37.8</t>
  </si>
  <si>
    <t>38.02</t>
  </si>
  <si>
    <t>35.24</t>
  </si>
  <si>
    <t>39.25</t>
  </si>
  <si>
    <t>36.57</t>
  </si>
  <si>
    <t>35.33</t>
  </si>
  <si>
    <t>38.15</t>
  </si>
  <si>
    <t>36.76</t>
  </si>
  <si>
    <t>43.86</t>
  </si>
  <si>
    <t>42.94</t>
  </si>
  <si>
    <t>41.55</t>
  </si>
  <si>
    <t>51.12</t>
  </si>
  <si>
    <t>56.53</t>
  </si>
  <si>
    <t>59.31</t>
  </si>
  <si>
    <t>38.77</t>
  </si>
  <si>
    <t>Virginia</t>
  </si>
  <si>
    <t>20.04</t>
  </si>
  <si>
    <t>25.08</t>
  </si>
  <si>
    <t>23.75</t>
  </si>
  <si>
    <t>25.18</t>
  </si>
  <si>
    <t>26.98</t>
  </si>
  <si>
    <t>30.15</t>
  </si>
  <si>
    <t>27.28</t>
  </si>
  <si>
    <t>30.34</t>
  </si>
  <si>
    <t>30.05</t>
  </si>
  <si>
    <t>31.84</t>
  </si>
  <si>
    <t>33.38</t>
  </si>
  <si>
    <t>33.19</t>
  </si>
  <si>
    <t>34.36</t>
  </si>
  <si>
    <t>35.8</t>
  </si>
  <si>
    <t>36.66</t>
  </si>
  <si>
    <t>37.77</t>
  </si>
  <si>
    <t>34.53</t>
  </si>
  <si>
    <t>35.72</t>
  </si>
  <si>
    <t>39.35</t>
  </si>
  <si>
    <t>37.15</t>
  </si>
  <si>
    <t>38.42</t>
  </si>
  <si>
    <t>41.15</t>
  </si>
  <si>
    <t>36.97</t>
  </si>
  <si>
    <t>39.79</t>
  </si>
  <si>
    <t>43.76</t>
  </si>
  <si>
    <t>48.77</t>
  </si>
  <si>
    <t>Washington</t>
  </si>
  <si>
    <t>23.98</t>
  </si>
  <si>
    <t>25.04</t>
  </si>
  <si>
    <t>21.86</t>
  </si>
  <si>
    <t>22.13</t>
  </si>
  <si>
    <t>23.91</t>
  </si>
  <si>
    <t>28.52</t>
  </si>
  <si>
    <t>35.67</t>
  </si>
  <si>
    <t>33.85</t>
  </si>
  <si>
    <t>31.35</t>
  </si>
  <si>
    <t>29.92</t>
  </si>
  <si>
    <t>29.1</t>
  </si>
  <si>
    <t>30.02</t>
  </si>
  <si>
    <t>29.77</t>
  </si>
  <si>
    <t>26.08</t>
  </si>
  <si>
    <t>30.75</t>
  </si>
  <si>
    <t>30.64</t>
  </si>
  <si>
    <t>32.25</t>
  </si>
  <si>
    <t>31.66</t>
  </si>
  <si>
    <t>33.02</t>
  </si>
  <si>
    <t>West Virginia</t>
  </si>
  <si>
    <t>27.26</t>
  </si>
  <si>
    <t>25.14</t>
  </si>
  <si>
    <t>26.85</t>
  </si>
  <si>
    <t>27.78</t>
  </si>
  <si>
    <t>23.9</t>
  </si>
  <si>
    <t>25.57</t>
  </si>
  <si>
    <t>21.41</t>
  </si>
  <si>
    <t>27.27</t>
  </si>
  <si>
    <t>32.49</t>
  </si>
  <si>
    <t>28.21</t>
  </si>
  <si>
    <t>29.28</t>
  </si>
  <si>
    <t>29.33</t>
  </si>
  <si>
    <t>28.98</t>
  </si>
  <si>
    <t>22.35</t>
  </si>
  <si>
    <t>24.8</t>
  </si>
  <si>
    <t>25.97</t>
  </si>
  <si>
    <t>28.63</t>
  </si>
  <si>
    <t>32.35</t>
  </si>
  <si>
    <t>32.89</t>
  </si>
  <si>
    <t>Wisconsin</t>
  </si>
  <si>
    <t>24.36</t>
  </si>
  <si>
    <t>21.87</t>
  </si>
  <si>
    <t>25.44</t>
  </si>
  <si>
    <t>25.33</t>
  </si>
  <si>
    <t>27.64</t>
  </si>
  <si>
    <t>27.09</t>
  </si>
  <si>
    <t>26.54</t>
  </si>
  <si>
    <t>24.92</t>
  </si>
  <si>
    <t>25.31</t>
  </si>
  <si>
    <t>26.27</t>
  </si>
  <si>
    <t>28.44</t>
  </si>
  <si>
    <t>25.98</t>
  </si>
  <si>
    <t>24.45</t>
  </si>
  <si>
    <t>32.67</t>
  </si>
  <si>
    <t>32.21</t>
  </si>
  <si>
    <t>34.21</t>
  </si>
  <si>
    <t>Wyoming</t>
  </si>
  <si>
    <t>19.33</t>
  </si>
  <si>
    <t>17.32</t>
  </si>
  <si>
    <t>20.43</t>
  </si>
  <si>
    <t>14.21</t>
  </si>
  <si>
    <t>23.76</t>
  </si>
  <si>
    <t>17.62</t>
  </si>
  <si>
    <t>21.37</t>
  </si>
  <si>
    <t>21.5</t>
  </si>
  <si>
    <t>23.49</t>
  </si>
  <si>
    <t>25.93</t>
  </si>
  <si>
    <t>31.25</t>
  </si>
  <si>
    <t>37.27</t>
  </si>
  <si>
    <t>33.97</t>
  </si>
  <si>
    <t>33.39</t>
  </si>
  <si>
    <t>29.7</t>
  </si>
  <si>
    <t>unemployment rate</t>
  </si>
  <si>
    <t>population</t>
  </si>
  <si>
    <t>GeoName</t>
  </si>
  <si>
    <t>Values</t>
  </si>
  <si>
    <t>GDP</t>
  </si>
  <si>
    <t>District of Columbia</t>
  </si>
  <si>
    <t>Far West</t>
  </si>
  <si>
    <t>Great Lakes</t>
  </si>
  <si>
    <t>Mideast</t>
  </si>
  <si>
    <t>New England</t>
  </si>
  <si>
    <t>Plains</t>
  </si>
  <si>
    <t>Rocky Mountain</t>
  </si>
  <si>
    <t>Southeast</t>
  </si>
  <si>
    <t>Southwest</t>
  </si>
  <si>
    <t>Ind</t>
  </si>
  <si>
    <t>ind</t>
  </si>
  <si>
    <t>rgdp</t>
  </si>
  <si>
    <t>rgdpgrowth</t>
  </si>
  <si>
    <t>United States</t>
  </si>
  <si>
    <t>ind2</t>
  </si>
  <si>
    <t>State</t>
  </si>
  <si>
    <t>poverty</t>
  </si>
  <si>
    <t>ind3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</si>
</sst>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 Unicode MS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43" fontId="3" fillId="0" borderId="0" applyFont="0" applyFill="0" applyBorder="0" applyAlignment="0" applyProtection="0"/>
  </cellStyleXfs>
  <cellXfs count="3">
    <xf numFmtId="0" fontId="0" fillId="0" borderId="0" xfId="0"/>
    <xf numFmtId="0" fontId="2" fillId="0" borderId="0" xfId="0" applyFont="1"/>
    <xf numFmtId="43" fontId="0" fillId="0" borderId="0" xfId="2" applyFont="1"/>
  </cellXfs>
  <cellStyles count="3">
    <cellStyle name="Comma" xfId="2" builtinId="3"/>
    <cellStyle name="Normal" xfId="0" builtinId="0"/>
    <cellStyle name="Normal 2" xfId="1" xr:uid="{1DBCF524-1A49-4FCB-A7CD-0560F772127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1B61C6-D28E-49BF-98ED-0AF7F5574833}">
  <dimension ref="A1:K1801"/>
  <sheetViews>
    <sheetView tabSelected="1" workbookViewId="0">
      <selection activeCell="K1" sqref="K1:K1801"/>
    </sheetView>
  </sheetViews>
  <sheetFormatPr baseColWidth="10" defaultRowHeight="15" x14ac:dyDescent="0.2"/>
  <cols>
    <col min="5" max="5" width="17.1640625" bestFit="1" customWidth="1"/>
    <col min="7" max="7" width="17.33203125" bestFit="1" customWidth="1"/>
  </cols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1376</v>
      </c>
      <c r="F1" t="s">
        <v>1377</v>
      </c>
      <c r="G1" t="s">
        <v>1391</v>
      </c>
      <c r="H1" t="s">
        <v>1380</v>
      </c>
      <c r="I1" t="s">
        <v>1392</v>
      </c>
      <c r="J1" t="s">
        <v>1393</v>
      </c>
      <c r="K1" t="s">
        <v>1397</v>
      </c>
    </row>
    <row r="2" spans="1:11" ht="16" x14ac:dyDescent="0.25">
      <c r="A2" t="s">
        <v>4</v>
      </c>
      <c r="B2">
        <v>1</v>
      </c>
      <c r="C2">
        <v>2021</v>
      </c>
      <c r="D2" t="s">
        <v>5</v>
      </c>
      <c r="E2">
        <v>4.2</v>
      </c>
      <c r="F2">
        <v>5050380</v>
      </c>
      <c r="G2" s="1" t="str">
        <f>+A2&amp;C2</f>
        <v>Alabama2021</v>
      </c>
      <c r="H2">
        <f>+INDEX(Sheet1!C:C, MATCH(Hoja1!G2, Sheet1!D:D, 0))</f>
        <v>260018.4</v>
      </c>
      <c r="I2">
        <f>+INDEX(Sheet1!G:G, MATCH(Hoja1!G2, Sheet1!I:I, 0))</f>
        <v>107899</v>
      </c>
      <c r="J2" s="2">
        <f>+INDEX(Sheet1!H:H, MATCH(Hoja1!G2, Sheet1!I:I, 0))</f>
        <v>5.1452460070747136E-2</v>
      </c>
      <c r="K2" s="2">
        <f>+INDEX(Sheet1!L:L, MATCH(Hoja1!G2,Sheet1!M:M, 0))</f>
        <v>15.9</v>
      </c>
    </row>
    <row r="3" spans="1:11" ht="16" x14ac:dyDescent="0.25">
      <c r="A3" t="s">
        <v>4</v>
      </c>
      <c r="B3">
        <v>2</v>
      </c>
      <c r="C3">
        <v>2021</v>
      </c>
      <c r="D3" t="s">
        <v>6</v>
      </c>
      <c r="E3">
        <v>3.9</v>
      </c>
      <c r="F3">
        <v>5050380</v>
      </c>
      <c r="G3" s="1" t="str">
        <f t="shared" ref="G3:G66" si="0">+A3&amp;C3</f>
        <v>Alabama2021</v>
      </c>
      <c r="H3">
        <f>+INDEX(Sheet1!C:C, MATCH(Hoja1!G3, Sheet1!D:D, 0))</f>
        <v>260018.4</v>
      </c>
      <c r="I3">
        <f>+INDEX(Sheet1!G:G, MATCH(Hoja1!G3, Sheet1!I:I, 0))</f>
        <v>107899</v>
      </c>
      <c r="J3" s="2">
        <f>+INDEX(Sheet1!H:H, MATCH(Hoja1!G3, Sheet1!I:I, 0))</f>
        <v>5.1452460070747136E-2</v>
      </c>
      <c r="K3" s="2">
        <f>+INDEX(Sheet1!L:L, MATCH(Hoja1!G3,Sheet1!M:M, 0))</f>
        <v>15.9</v>
      </c>
    </row>
    <row r="4" spans="1:11" ht="16" x14ac:dyDescent="0.25">
      <c r="A4" t="s">
        <v>4</v>
      </c>
      <c r="B4">
        <v>3</v>
      </c>
      <c r="C4">
        <v>2021</v>
      </c>
      <c r="D4" t="s">
        <v>7</v>
      </c>
      <c r="E4">
        <v>3.8</v>
      </c>
      <c r="F4">
        <v>5050380</v>
      </c>
      <c r="G4" s="1" t="str">
        <f t="shared" si="0"/>
        <v>Alabama2021</v>
      </c>
      <c r="H4">
        <f>+INDEX(Sheet1!C:C, MATCH(Hoja1!G4, Sheet1!D:D, 0))</f>
        <v>260018.4</v>
      </c>
      <c r="I4">
        <f>+INDEX(Sheet1!G:G, MATCH(Hoja1!G4, Sheet1!I:I, 0))</f>
        <v>107899</v>
      </c>
      <c r="J4" s="2">
        <f>+INDEX(Sheet1!H:H, MATCH(Hoja1!G4, Sheet1!I:I, 0))</f>
        <v>5.1452460070747136E-2</v>
      </c>
      <c r="K4" s="2">
        <f>+INDEX(Sheet1!L:L, MATCH(Hoja1!G4,Sheet1!M:M, 0))</f>
        <v>15.9</v>
      </c>
    </row>
    <row r="5" spans="1:11" ht="16" x14ac:dyDescent="0.25">
      <c r="A5" t="s">
        <v>4</v>
      </c>
      <c r="B5">
        <v>4</v>
      </c>
      <c r="C5">
        <v>2021</v>
      </c>
      <c r="D5" t="s">
        <v>8</v>
      </c>
      <c r="E5">
        <v>3.7</v>
      </c>
      <c r="F5">
        <v>5050380</v>
      </c>
      <c r="G5" s="1" t="str">
        <f t="shared" si="0"/>
        <v>Alabama2021</v>
      </c>
      <c r="H5">
        <f>+INDEX(Sheet1!C:C, MATCH(Hoja1!G5, Sheet1!D:D, 0))</f>
        <v>260018.4</v>
      </c>
      <c r="I5">
        <f>+INDEX(Sheet1!G:G, MATCH(Hoja1!G5, Sheet1!I:I, 0))</f>
        <v>107899</v>
      </c>
      <c r="J5" s="2">
        <f>+INDEX(Sheet1!H:H, MATCH(Hoja1!G5, Sheet1!I:I, 0))</f>
        <v>5.1452460070747136E-2</v>
      </c>
      <c r="K5" s="2">
        <f>+INDEX(Sheet1!L:L, MATCH(Hoja1!G5,Sheet1!M:M, 0))</f>
        <v>15.9</v>
      </c>
    </row>
    <row r="6" spans="1:11" ht="16" x14ac:dyDescent="0.25">
      <c r="A6" t="s">
        <v>4</v>
      </c>
      <c r="B6">
        <v>5</v>
      </c>
      <c r="C6">
        <v>2021</v>
      </c>
      <c r="D6" t="s">
        <v>9</v>
      </c>
      <c r="E6">
        <v>3.5</v>
      </c>
      <c r="F6">
        <v>5050380</v>
      </c>
      <c r="G6" s="1" t="str">
        <f t="shared" si="0"/>
        <v>Alabama2021</v>
      </c>
      <c r="H6">
        <f>+INDEX(Sheet1!C:C, MATCH(Hoja1!G6, Sheet1!D:D, 0))</f>
        <v>260018.4</v>
      </c>
      <c r="I6">
        <f>+INDEX(Sheet1!G:G, MATCH(Hoja1!G6, Sheet1!I:I, 0))</f>
        <v>107899</v>
      </c>
      <c r="J6" s="2">
        <f>+INDEX(Sheet1!H:H, MATCH(Hoja1!G6, Sheet1!I:I, 0))</f>
        <v>5.1452460070747136E-2</v>
      </c>
      <c r="K6" s="2">
        <f>+INDEX(Sheet1!L:L, MATCH(Hoja1!G6,Sheet1!M:M, 0))</f>
        <v>15.9</v>
      </c>
    </row>
    <row r="7" spans="1:11" ht="16" x14ac:dyDescent="0.25">
      <c r="A7" t="s">
        <v>4</v>
      </c>
      <c r="B7">
        <v>6</v>
      </c>
      <c r="C7">
        <v>2021</v>
      </c>
      <c r="D7" t="s">
        <v>10</v>
      </c>
      <c r="E7">
        <v>3.5</v>
      </c>
      <c r="F7">
        <v>5050380</v>
      </c>
      <c r="G7" s="1" t="str">
        <f t="shared" si="0"/>
        <v>Alabama2021</v>
      </c>
      <c r="H7">
        <f>+INDEX(Sheet1!C:C, MATCH(Hoja1!G7, Sheet1!D:D, 0))</f>
        <v>260018.4</v>
      </c>
      <c r="I7">
        <f>+INDEX(Sheet1!G:G, MATCH(Hoja1!G7, Sheet1!I:I, 0))</f>
        <v>107899</v>
      </c>
      <c r="J7" s="2">
        <f>+INDEX(Sheet1!H:H, MATCH(Hoja1!G7, Sheet1!I:I, 0))</f>
        <v>5.1452460070747136E-2</v>
      </c>
      <c r="K7" s="2">
        <f>+INDEX(Sheet1!L:L, MATCH(Hoja1!G7,Sheet1!M:M, 0))</f>
        <v>15.9</v>
      </c>
    </row>
    <row r="8" spans="1:11" ht="16" x14ac:dyDescent="0.25">
      <c r="A8" t="s">
        <v>4</v>
      </c>
      <c r="B8">
        <v>7</v>
      </c>
      <c r="C8">
        <v>2021</v>
      </c>
      <c r="D8" t="s">
        <v>11</v>
      </c>
      <c r="E8">
        <v>3.3</v>
      </c>
      <c r="F8">
        <v>5050380</v>
      </c>
      <c r="G8" s="1" t="str">
        <f t="shared" si="0"/>
        <v>Alabama2021</v>
      </c>
      <c r="H8">
        <f>+INDEX(Sheet1!C:C, MATCH(Hoja1!G8, Sheet1!D:D, 0))</f>
        <v>260018.4</v>
      </c>
      <c r="I8">
        <f>+INDEX(Sheet1!G:G, MATCH(Hoja1!G8, Sheet1!I:I, 0))</f>
        <v>107899</v>
      </c>
      <c r="J8" s="2">
        <f>+INDEX(Sheet1!H:H, MATCH(Hoja1!G8, Sheet1!I:I, 0))</f>
        <v>5.1452460070747136E-2</v>
      </c>
      <c r="K8" s="2">
        <f>+INDEX(Sheet1!L:L, MATCH(Hoja1!G8,Sheet1!M:M, 0))</f>
        <v>15.9</v>
      </c>
    </row>
    <row r="9" spans="1:11" ht="16" x14ac:dyDescent="0.25">
      <c r="A9" t="s">
        <v>4</v>
      </c>
      <c r="B9">
        <v>8</v>
      </c>
      <c r="C9">
        <v>2021</v>
      </c>
      <c r="D9" t="s">
        <v>12</v>
      </c>
      <c r="E9">
        <v>3.2</v>
      </c>
      <c r="F9">
        <v>5050380</v>
      </c>
      <c r="G9" s="1" t="str">
        <f t="shared" si="0"/>
        <v>Alabama2021</v>
      </c>
      <c r="H9">
        <f>+INDEX(Sheet1!C:C, MATCH(Hoja1!G9, Sheet1!D:D, 0))</f>
        <v>260018.4</v>
      </c>
      <c r="I9">
        <f>+INDEX(Sheet1!G:G, MATCH(Hoja1!G9, Sheet1!I:I, 0))</f>
        <v>107899</v>
      </c>
      <c r="J9" s="2">
        <f>+INDEX(Sheet1!H:H, MATCH(Hoja1!G9, Sheet1!I:I, 0))</f>
        <v>5.1452460070747136E-2</v>
      </c>
      <c r="K9" s="2">
        <f>+INDEX(Sheet1!L:L, MATCH(Hoja1!G9,Sheet1!M:M, 0))</f>
        <v>15.9</v>
      </c>
    </row>
    <row r="10" spans="1:11" ht="16" x14ac:dyDescent="0.25">
      <c r="A10" t="s">
        <v>4</v>
      </c>
      <c r="B10">
        <v>9</v>
      </c>
      <c r="C10">
        <v>2021</v>
      </c>
      <c r="D10" t="s">
        <v>13</v>
      </c>
      <c r="E10">
        <v>3</v>
      </c>
      <c r="F10">
        <v>5050380</v>
      </c>
      <c r="G10" s="1" t="str">
        <f t="shared" si="0"/>
        <v>Alabama2021</v>
      </c>
      <c r="H10">
        <f>+INDEX(Sheet1!C:C, MATCH(Hoja1!G10, Sheet1!D:D, 0))</f>
        <v>260018.4</v>
      </c>
      <c r="I10">
        <f>+INDEX(Sheet1!G:G, MATCH(Hoja1!G10, Sheet1!I:I, 0))</f>
        <v>107899</v>
      </c>
      <c r="J10" s="2">
        <f>+INDEX(Sheet1!H:H, MATCH(Hoja1!G10, Sheet1!I:I, 0))</f>
        <v>5.1452460070747136E-2</v>
      </c>
      <c r="K10" s="2">
        <f>+INDEX(Sheet1!L:L, MATCH(Hoja1!G10,Sheet1!M:M, 0))</f>
        <v>15.9</v>
      </c>
    </row>
    <row r="11" spans="1:11" ht="16" x14ac:dyDescent="0.25">
      <c r="A11" t="s">
        <v>4</v>
      </c>
      <c r="B11">
        <v>10</v>
      </c>
      <c r="C11">
        <v>2021</v>
      </c>
      <c r="D11" t="s">
        <v>14</v>
      </c>
      <c r="E11">
        <v>2.9</v>
      </c>
      <c r="F11">
        <v>5050380</v>
      </c>
      <c r="G11" s="1" t="str">
        <f t="shared" si="0"/>
        <v>Alabama2021</v>
      </c>
      <c r="H11">
        <f>+INDEX(Sheet1!C:C, MATCH(Hoja1!G11, Sheet1!D:D, 0))</f>
        <v>260018.4</v>
      </c>
      <c r="I11">
        <f>+INDEX(Sheet1!G:G, MATCH(Hoja1!G11, Sheet1!I:I, 0))</f>
        <v>107899</v>
      </c>
      <c r="J11" s="2">
        <f>+INDEX(Sheet1!H:H, MATCH(Hoja1!G11, Sheet1!I:I, 0))</f>
        <v>5.1452460070747136E-2</v>
      </c>
      <c r="K11" s="2">
        <f>+INDEX(Sheet1!L:L, MATCH(Hoja1!G11,Sheet1!M:M, 0))</f>
        <v>15.9</v>
      </c>
    </row>
    <row r="12" spans="1:11" ht="16" x14ac:dyDescent="0.25">
      <c r="A12" t="s">
        <v>4</v>
      </c>
      <c r="B12">
        <v>11</v>
      </c>
      <c r="C12">
        <v>2021</v>
      </c>
      <c r="D12" t="s">
        <v>15</v>
      </c>
      <c r="E12">
        <v>2.8</v>
      </c>
      <c r="F12">
        <v>5050380</v>
      </c>
      <c r="G12" s="1" t="str">
        <f t="shared" si="0"/>
        <v>Alabama2021</v>
      </c>
      <c r="H12">
        <f>+INDEX(Sheet1!C:C, MATCH(Hoja1!G12, Sheet1!D:D, 0))</f>
        <v>260018.4</v>
      </c>
      <c r="I12">
        <f>+INDEX(Sheet1!G:G, MATCH(Hoja1!G12, Sheet1!I:I, 0))</f>
        <v>107899</v>
      </c>
      <c r="J12" s="2">
        <f>+INDEX(Sheet1!H:H, MATCH(Hoja1!G12, Sheet1!I:I, 0))</f>
        <v>5.1452460070747136E-2</v>
      </c>
      <c r="K12" s="2">
        <f>+INDEX(Sheet1!L:L, MATCH(Hoja1!G12,Sheet1!M:M, 0))</f>
        <v>15.9</v>
      </c>
    </row>
    <row r="13" spans="1:11" ht="16" x14ac:dyDescent="0.25">
      <c r="A13" t="s">
        <v>4</v>
      </c>
      <c r="B13">
        <v>12</v>
      </c>
      <c r="C13">
        <v>2021</v>
      </c>
      <c r="D13" t="s">
        <v>16</v>
      </c>
      <c r="E13">
        <v>2.7</v>
      </c>
      <c r="F13">
        <v>5050380</v>
      </c>
      <c r="G13" s="1" t="str">
        <f t="shared" si="0"/>
        <v>Alabama2021</v>
      </c>
      <c r="H13">
        <f>+INDEX(Sheet1!C:C, MATCH(Hoja1!G13, Sheet1!D:D, 0))</f>
        <v>260018.4</v>
      </c>
      <c r="I13">
        <f>+INDEX(Sheet1!G:G, MATCH(Hoja1!G13, Sheet1!I:I, 0))</f>
        <v>107899</v>
      </c>
      <c r="J13" s="2">
        <f>+INDEX(Sheet1!H:H, MATCH(Hoja1!G13, Sheet1!I:I, 0))</f>
        <v>5.1452460070747136E-2</v>
      </c>
      <c r="K13" s="2">
        <f>+INDEX(Sheet1!L:L, MATCH(Hoja1!G13,Sheet1!M:M, 0))</f>
        <v>15.9</v>
      </c>
    </row>
    <row r="14" spans="1:11" ht="16" x14ac:dyDescent="0.25">
      <c r="A14" t="s">
        <v>4</v>
      </c>
      <c r="B14">
        <v>1</v>
      </c>
      <c r="C14">
        <v>2022</v>
      </c>
      <c r="D14" t="s">
        <v>17</v>
      </c>
      <c r="E14">
        <v>2.6</v>
      </c>
      <c r="F14">
        <v>5073903</v>
      </c>
      <c r="G14" s="1" t="str">
        <f t="shared" si="0"/>
        <v>Alabama2022</v>
      </c>
      <c r="H14">
        <f>+INDEX(Sheet1!C:C, MATCH(Hoja1!G14, Sheet1!D:D, 0))</f>
        <v>284949.09999999998</v>
      </c>
      <c r="I14">
        <f>+INDEX(Sheet1!G:G, MATCH(Hoja1!G14, Sheet1!I:I, 0))</f>
        <v>110129</v>
      </c>
      <c r="J14" s="2">
        <f>+INDEX(Sheet1!H:H, MATCH(Hoja1!G14, Sheet1!I:I, 0))</f>
        <v>2.0667476065579848E-2</v>
      </c>
      <c r="K14" s="2">
        <f>+INDEX(Sheet1!L:L, MATCH(Hoja1!G14,Sheet1!M:M, 0))</f>
        <v>13.6</v>
      </c>
    </row>
    <row r="15" spans="1:11" ht="16" x14ac:dyDescent="0.25">
      <c r="A15" t="s">
        <v>4</v>
      </c>
      <c r="B15">
        <v>2</v>
      </c>
      <c r="C15">
        <v>2022</v>
      </c>
      <c r="D15" t="s">
        <v>18</v>
      </c>
      <c r="E15">
        <v>2.6</v>
      </c>
      <c r="F15">
        <v>5073903</v>
      </c>
      <c r="G15" s="1" t="str">
        <f t="shared" si="0"/>
        <v>Alabama2022</v>
      </c>
      <c r="H15">
        <f>+INDEX(Sheet1!C:C, MATCH(Hoja1!G15, Sheet1!D:D, 0))</f>
        <v>284949.09999999998</v>
      </c>
      <c r="I15">
        <f>+INDEX(Sheet1!G:G, MATCH(Hoja1!G15, Sheet1!I:I, 0))</f>
        <v>110129</v>
      </c>
      <c r="J15" s="2">
        <f>+INDEX(Sheet1!H:H, MATCH(Hoja1!G15, Sheet1!I:I, 0))</f>
        <v>2.0667476065579848E-2</v>
      </c>
      <c r="K15" s="2">
        <f>+INDEX(Sheet1!L:L, MATCH(Hoja1!G15,Sheet1!M:M, 0))</f>
        <v>13.6</v>
      </c>
    </row>
    <row r="16" spans="1:11" ht="16" x14ac:dyDescent="0.25">
      <c r="A16" t="s">
        <v>4</v>
      </c>
      <c r="B16">
        <v>3</v>
      </c>
      <c r="C16">
        <v>2022</v>
      </c>
      <c r="D16" t="s">
        <v>19</v>
      </c>
      <c r="E16">
        <v>2.6</v>
      </c>
      <c r="F16">
        <v>5073903</v>
      </c>
      <c r="G16" s="1" t="str">
        <f t="shared" si="0"/>
        <v>Alabama2022</v>
      </c>
      <c r="H16">
        <f>+INDEX(Sheet1!C:C, MATCH(Hoja1!G16, Sheet1!D:D, 0))</f>
        <v>284949.09999999998</v>
      </c>
      <c r="I16">
        <f>+INDEX(Sheet1!G:G, MATCH(Hoja1!G16, Sheet1!I:I, 0))</f>
        <v>110129</v>
      </c>
      <c r="J16" s="2">
        <f>+INDEX(Sheet1!H:H, MATCH(Hoja1!G16, Sheet1!I:I, 0))</f>
        <v>2.0667476065579848E-2</v>
      </c>
      <c r="K16" s="2">
        <f>+INDEX(Sheet1!L:L, MATCH(Hoja1!G16,Sheet1!M:M, 0))</f>
        <v>13.6</v>
      </c>
    </row>
    <row r="17" spans="1:11" ht="16" x14ac:dyDescent="0.25">
      <c r="A17" t="s">
        <v>4</v>
      </c>
      <c r="B17">
        <v>4</v>
      </c>
      <c r="C17">
        <v>2022</v>
      </c>
      <c r="D17" t="s">
        <v>20</v>
      </c>
      <c r="E17">
        <v>2.5</v>
      </c>
      <c r="F17">
        <v>5073903</v>
      </c>
      <c r="G17" s="1" t="str">
        <f t="shared" si="0"/>
        <v>Alabama2022</v>
      </c>
      <c r="H17">
        <f>+INDEX(Sheet1!C:C, MATCH(Hoja1!G17, Sheet1!D:D, 0))</f>
        <v>284949.09999999998</v>
      </c>
      <c r="I17">
        <f>+INDEX(Sheet1!G:G, MATCH(Hoja1!G17, Sheet1!I:I, 0))</f>
        <v>110129</v>
      </c>
      <c r="J17" s="2">
        <f>+INDEX(Sheet1!H:H, MATCH(Hoja1!G17, Sheet1!I:I, 0))</f>
        <v>2.0667476065579848E-2</v>
      </c>
      <c r="K17" s="2">
        <f>+INDEX(Sheet1!L:L, MATCH(Hoja1!G17,Sheet1!M:M, 0))</f>
        <v>13.6</v>
      </c>
    </row>
    <row r="18" spans="1:11" ht="16" x14ac:dyDescent="0.25">
      <c r="A18" t="s">
        <v>4</v>
      </c>
      <c r="B18">
        <v>5</v>
      </c>
      <c r="C18">
        <v>2022</v>
      </c>
      <c r="D18" t="s">
        <v>21</v>
      </c>
      <c r="E18">
        <v>2.5</v>
      </c>
      <c r="F18">
        <v>5073903</v>
      </c>
      <c r="G18" s="1" t="str">
        <f t="shared" si="0"/>
        <v>Alabama2022</v>
      </c>
      <c r="H18">
        <f>+INDEX(Sheet1!C:C, MATCH(Hoja1!G18, Sheet1!D:D, 0))</f>
        <v>284949.09999999998</v>
      </c>
      <c r="I18">
        <f>+INDEX(Sheet1!G:G, MATCH(Hoja1!G18, Sheet1!I:I, 0))</f>
        <v>110129</v>
      </c>
      <c r="J18" s="2">
        <f>+INDEX(Sheet1!H:H, MATCH(Hoja1!G18, Sheet1!I:I, 0))</f>
        <v>2.0667476065579848E-2</v>
      </c>
      <c r="K18" s="2">
        <f>+INDEX(Sheet1!L:L, MATCH(Hoja1!G18,Sheet1!M:M, 0))</f>
        <v>13.6</v>
      </c>
    </row>
    <row r="19" spans="1:11" ht="16" x14ac:dyDescent="0.25">
      <c r="A19" t="s">
        <v>4</v>
      </c>
      <c r="B19">
        <v>6</v>
      </c>
      <c r="C19">
        <v>2022</v>
      </c>
      <c r="D19" t="s">
        <v>22</v>
      </c>
      <c r="E19">
        <v>2.5</v>
      </c>
      <c r="F19">
        <v>5073903</v>
      </c>
      <c r="G19" s="1" t="str">
        <f t="shared" si="0"/>
        <v>Alabama2022</v>
      </c>
      <c r="H19">
        <f>+INDEX(Sheet1!C:C, MATCH(Hoja1!G19, Sheet1!D:D, 0))</f>
        <v>284949.09999999998</v>
      </c>
      <c r="I19">
        <f>+INDEX(Sheet1!G:G, MATCH(Hoja1!G19, Sheet1!I:I, 0))</f>
        <v>110129</v>
      </c>
      <c r="J19" s="2">
        <f>+INDEX(Sheet1!H:H, MATCH(Hoja1!G19, Sheet1!I:I, 0))</f>
        <v>2.0667476065579848E-2</v>
      </c>
      <c r="K19" s="2">
        <f>+INDEX(Sheet1!L:L, MATCH(Hoja1!G19,Sheet1!M:M, 0))</f>
        <v>13.6</v>
      </c>
    </row>
    <row r="20" spans="1:11" ht="16" x14ac:dyDescent="0.25">
      <c r="A20" t="s">
        <v>4</v>
      </c>
      <c r="B20">
        <v>7</v>
      </c>
      <c r="C20">
        <v>2022</v>
      </c>
      <c r="D20" t="s">
        <v>23</v>
      </c>
      <c r="E20">
        <v>2.5</v>
      </c>
      <c r="F20">
        <v>5073903</v>
      </c>
      <c r="G20" s="1" t="str">
        <f t="shared" si="0"/>
        <v>Alabama2022</v>
      </c>
      <c r="H20">
        <f>+INDEX(Sheet1!C:C, MATCH(Hoja1!G20, Sheet1!D:D, 0))</f>
        <v>284949.09999999998</v>
      </c>
      <c r="I20">
        <f>+INDEX(Sheet1!G:G, MATCH(Hoja1!G20, Sheet1!I:I, 0))</f>
        <v>110129</v>
      </c>
      <c r="J20" s="2">
        <f>+INDEX(Sheet1!H:H, MATCH(Hoja1!G20, Sheet1!I:I, 0))</f>
        <v>2.0667476065579848E-2</v>
      </c>
      <c r="K20" s="2">
        <f>+INDEX(Sheet1!L:L, MATCH(Hoja1!G20,Sheet1!M:M, 0))</f>
        <v>13.6</v>
      </c>
    </row>
    <row r="21" spans="1:11" ht="16" x14ac:dyDescent="0.25">
      <c r="A21" t="s">
        <v>4</v>
      </c>
      <c r="B21">
        <v>8</v>
      </c>
      <c r="C21">
        <v>2022</v>
      </c>
      <c r="D21" t="s">
        <v>24</v>
      </c>
      <c r="E21">
        <v>2.5</v>
      </c>
      <c r="F21">
        <v>5073903</v>
      </c>
      <c r="G21" s="1" t="str">
        <f t="shared" si="0"/>
        <v>Alabama2022</v>
      </c>
      <c r="H21">
        <f>+INDEX(Sheet1!C:C, MATCH(Hoja1!G21, Sheet1!D:D, 0))</f>
        <v>284949.09999999998</v>
      </c>
      <c r="I21">
        <f>+INDEX(Sheet1!G:G, MATCH(Hoja1!G21, Sheet1!I:I, 0))</f>
        <v>110129</v>
      </c>
      <c r="J21" s="2">
        <f>+INDEX(Sheet1!H:H, MATCH(Hoja1!G21, Sheet1!I:I, 0))</f>
        <v>2.0667476065579848E-2</v>
      </c>
      <c r="K21" s="2">
        <f>+INDEX(Sheet1!L:L, MATCH(Hoja1!G21,Sheet1!M:M, 0))</f>
        <v>13.6</v>
      </c>
    </row>
    <row r="22" spans="1:11" ht="16" x14ac:dyDescent="0.25">
      <c r="A22" t="s">
        <v>4</v>
      </c>
      <c r="B22">
        <v>9</v>
      </c>
      <c r="C22">
        <v>2022</v>
      </c>
      <c r="D22" t="s">
        <v>25</v>
      </c>
      <c r="E22">
        <v>2.5</v>
      </c>
      <c r="F22">
        <v>5073903</v>
      </c>
      <c r="G22" s="1" t="str">
        <f t="shared" si="0"/>
        <v>Alabama2022</v>
      </c>
      <c r="H22">
        <f>+INDEX(Sheet1!C:C, MATCH(Hoja1!G22, Sheet1!D:D, 0))</f>
        <v>284949.09999999998</v>
      </c>
      <c r="I22">
        <f>+INDEX(Sheet1!G:G, MATCH(Hoja1!G22, Sheet1!I:I, 0))</f>
        <v>110129</v>
      </c>
      <c r="J22" s="2">
        <f>+INDEX(Sheet1!H:H, MATCH(Hoja1!G22, Sheet1!I:I, 0))</f>
        <v>2.0667476065579848E-2</v>
      </c>
      <c r="K22" s="2">
        <f>+INDEX(Sheet1!L:L, MATCH(Hoja1!G22,Sheet1!M:M, 0))</f>
        <v>13.6</v>
      </c>
    </row>
    <row r="23" spans="1:11" ht="16" x14ac:dyDescent="0.25">
      <c r="A23" t="s">
        <v>4</v>
      </c>
      <c r="B23">
        <v>10</v>
      </c>
      <c r="C23">
        <v>2022</v>
      </c>
      <c r="D23" t="s">
        <v>26</v>
      </c>
      <c r="E23">
        <v>2.5</v>
      </c>
      <c r="F23">
        <v>5073903</v>
      </c>
      <c r="G23" s="1" t="str">
        <f t="shared" si="0"/>
        <v>Alabama2022</v>
      </c>
      <c r="H23">
        <f>+INDEX(Sheet1!C:C, MATCH(Hoja1!G23, Sheet1!D:D, 0))</f>
        <v>284949.09999999998</v>
      </c>
      <c r="I23">
        <f>+INDEX(Sheet1!G:G, MATCH(Hoja1!G23, Sheet1!I:I, 0))</f>
        <v>110129</v>
      </c>
      <c r="J23" s="2">
        <f>+INDEX(Sheet1!H:H, MATCH(Hoja1!G23, Sheet1!I:I, 0))</f>
        <v>2.0667476065579848E-2</v>
      </c>
      <c r="K23" s="2">
        <f>+INDEX(Sheet1!L:L, MATCH(Hoja1!G23,Sheet1!M:M, 0))</f>
        <v>13.6</v>
      </c>
    </row>
    <row r="24" spans="1:11" ht="16" x14ac:dyDescent="0.25">
      <c r="A24" t="s">
        <v>4</v>
      </c>
      <c r="B24">
        <v>11</v>
      </c>
      <c r="C24">
        <v>2022</v>
      </c>
      <c r="D24" t="s">
        <v>27</v>
      </c>
      <c r="E24">
        <v>2.5</v>
      </c>
      <c r="F24">
        <v>5073903</v>
      </c>
      <c r="G24" s="1" t="str">
        <f t="shared" si="0"/>
        <v>Alabama2022</v>
      </c>
      <c r="H24">
        <f>+INDEX(Sheet1!C:C, MATCH(Hoja1!G24, Sheet1!D:D, 0))</f>
        <v>284949.09999999998</v>
      </c>
      <c r="I24">
        <f>+INDEX(Sheet1!G:G, MATCH(Hoja1!G24, Sheet1!I:I, 0))</f>
        <v>110129</v>
      </c>
      <c r="J24" s="2">
        <f>+INDEX(Sheet1!H:H, MATCH(Hoja1!G24, Sheet1!I:I, 0))</f>
        <v>2.0667476065579848E-2</v>
      </c>
      <c r="K24" s="2">
        <f>+INDEX(Sheet1!L:L, MATCH(Hoja1!G24,Sheet1!M:M, 0))</f>
        <v>13.6</v>
      </c>
    </row>
    <row r="25" spans="1:11" ht="16" x14ac:dyDescent="0.25">
      <c r="A25" t="s">
        <v>4</v>
      </c>
      <c r="B25">
        <v>12</v>
      </c>
      <c r="C25">
        <v>2022</v>
      </c>
      <c r="D25" t="s">
        <v>28</v>
      </c>
      <c r="E25">
        <v>2.4</v>
      </c>
      <c r="F25">
        <v>5073903</v>
      </c>
      <c r="G25" s="1" t="str">
        <f t="shared" si="0"/>
        <v>Alabama2022</v>
      </c>
      <c r="H25">
        <f>+INDEX(Sheet1!C:C, MATCH(Hoja1!G25, Sheet1!D:D, 0))</f>
        <v>284949.09999999998</v>
      </c>
      <c r="I25">
        <f>+INDEX(Sheet1!G:G, MATCH(Hoja1!G25, Sheet1!I:I, 0))</f>
        <v>110129</v>
      </c>
      <c r="J25" s="2">
        <f>+INDEX(Sheet1!H:H, MATCH(Hoja1!G25, Sheet1!I:I, 0))</f>
        <v>2.0667476065579848E-2</v>
      </c>
      <c r="K25" s="2">
        <f>+INDEX(Sheet1!L:L, MATCH(Hoja1!G25,Sheet1!M:M, 0))</f>
        <v>13.6</v>
      </c>
    </row>
    <row r="26" spans="1:11" ht="16" x14ac:dyDescent="0.25">
      <c r="A26" t="s">
        <v>4</v>
      </c>
      <c r="B26">
        <v>1</v>
      </c>
      <c r="C26">
        <v>2023</v>
      </c>
      <c r="D26" t="s">
        <v>29</v>
      </c>
      <c r="E26">
        <v>2.4</v>
      </c>
      <c r="F26">
        <v>5108468</v>
      </c>
      <c r="G26" s="1" t="str">
        <f t="shared" si="0"/>
        <v>Alabama2023</v>
      </c>
      <c r="H26">
        <f>+INDEX(Sheet1!C:C, MATCH(Hoja1!G26, Sheet1!D:D, 0))</f>
        <v>304935.59999999998</v>
      </c>
      <c r="I26">
        <f>+INDEX(Sheet1!G:G, MATCH(Hoja1!G26, Sheet1!I:I, 0))</f>
        <v>113267</v>
      </c>
      <c r="J26" s="2">
        <f>+INDEX(Sheet1!H:H, MATCH(Hoja1!G26, Sheet1!I:I, 0))</f>
        <v>2.8493857203824607E-2</v>
      </c>
      <c r="K26" s="2">
        <f>+INDEX(Sheet1!L:L, MATCH(Hoja1!G26,Sheet1!M:M, 0))</f>
        <v>14.2</v>
      </c>
    </row>
    <row r="27" spans="1:11" ht="16" x14ac:dyDescent="0.25">
      <c r="A27" t="s">
        <v>4</v>
      </c>
      <c r="B27">
        <v>2</v>
      </c>
      <c r="C27">
        <v>2023</v>
      </c>
      <c r="D27" t="s">
        <v>30</v>
      </c>
      <c r="E27">
        <v>2.2999999999999998</v>
      </c>
      <c r="F27">
        <v>5108468</v>
      </c>
      <c r="G27" s="1" t="str">
        <f t="shared" si="0"/>
        <v>Alabama2023</v>
      </c>
      <c r="H27">
        <f>+INDEX(Sheet1!C:C, MATCH(Hoja1!G27, Sheet1!D:D, 0))</f>
        <v>304935.59999999998</v>
      </c>
      <c r="I27">
        <f>+INDEX(Sheet1!G:G, MATCH(Hoja1!G27, Sheet1!I:I, 0))</f>
        <v>113267</v>
      </c>
      <c r="J27" s="2">
        <f>+INDEX(Sheet1!H:H, MATCH(Hoja1!G27, Sheet1!I:I, 0))</f>
        <v>2.8493857203824607E-2</v>
      </c>
      <c r="K27" s="2">
        <f>+INDEX(Sheet1!L:L, MATCH(Hoja1!G27,Sheet1!M:M, 0))</f>
        <v>14.2</v>
      </c>
    </row>
    <row r="28" spans="1:11" ht="16" x14ac:dyDescent="0.25">
      <c r="A28" t="s">
        <v>4</v>
      </c>
      <c r="B28">
        <v>3</v>
      </c>
      <c r="C28">
        <v>2023</v>
      </c>
      <c r="D28" t="s">
        <v>31</v>
      </c>
      <c r="E28">
        <v>2.2999999999999998</v>
      </c>
      <c r="F28">
        <v>5108468</v>
      </c>
      <c r="G28" s="1" t="str">
        <f t="shared" si="0"/>
        <v>Alabama2023</v>
      </c>
      <c r="H28">
        <f>+INDEX(Sheet1!C:C, MATCH(Hoja1!G28, Sheet1!D:D, 0))</f>
        <v>304935.59999999998</v>
      </c>
      <c r="I28">
        <f>+INDEX(Sheet1!G:G, MATCH(Hoja1!G28, Sheet1!I:I, 0))</f>
        <v>113267</v>
      </c>
      <c r="J28" s="2">
        <f>+INDEX(Sheet1!H:H, MATCH(Hoja1!G28, Sheet1!I:I, 0))</f>
        <v>2.8493857203824607E-2</v>
      </c>
      <c r="K28" s="2">
        <f>+INDEX(Sheet1!L:L, MATCH(Hoja1!G28,Sheet1!M:M, 0))</f>
        <v>14.2</v>
      </c>
    </row>
    <row r="29" spans="1:11" ht="16" x14ac:dyDescent="0.25">
      <c r="A29" t="s">
        <v>4</v>
      </c>
      <c r="B29">
        <v>4</v>
      </c>
      <c r="C29">
        <v>2023</v>
      </c>
      <c r="D29" t="s">
        <v>32</v>
      </c>
      <c r="E29">
        <v>2.2999999999999998</v>
      </c>
      <c r="F29">
        <v>5108468</v>
      </c>
      <c r="G29" s="1" t="str">
        <f t="shared" si="0"/>
        <v>Alabama2023</v>
      </c>
      <c r="H29">
        <f>+INDEX(Sheet1!C:C, MATCH(Hoja1!G29, Sheet1!D:D, 0))</f>
        <v>304935.59999999998</v>
      </c>
      <c r="I29">
        <f>+INDEX(Sheet1!G:G, MATCH(Hoja1!G29, Sheet1!I:I, 0))</f>
        <v>113267</v>
      </c>
      <c r="J29" s="2">
        <f>+INDEX(Sheet1!H:H, MATCH(Hoja1!G29, Sheet1!I:I, 0))</f>
        <v>2.8493857203824607E-2</v>
      </c>
      <c r="K29" s="2">
        <f>+INDEX(Sheet1!L:L, MATCH(Hoja1!G29,Sheet1!M:M, 0))</f>
        <v>14.2</v>
      </c>
    </row>
    <row r="30" spans="1:11" ht="16" x14ac:dyDescent="0.25">
      <c r="A30" t="s">
        <v>4</v>
      </c>
      <c r="B30">
        <v>5</v>
      </c>
      <c r="C30">
        <v>2023</v>
      </c>
      <c r="D30" t="s">
        <v>33</v>
      </c>
      <c r="E30">
        <v>2.2999999999999998</v>
      </c>
      <c r="F30">
        <v>5108468</v>
      </c>
      <c r="G30" s="1" t="str">
        <f t="shared" si="0"/>
        <v>Alabama2023</v>
      </c>
      <c r="H30">
        <f>+INDEX(Sheet1!C:C, MATCH(Hoja1!G30, Sheet1!D:D, 0))</f>
        <v>304935.59999999998</v>
      </c>
      <c r="I30">
        <f>+INDEX(Sheet1!G:G, MATCH(Hoja1!G30, Sheet1!I:I, 0))</f>
        <v>113267</v>
      </c>
      <c r="J30" s="2">
        <f>+INDEX(Sheet1!H:H, MATCH(Hoja1!G30, Sheet1!I:I, 0))</f>
        <v>2.8493857203824607E-2</v>
      </c>
      <c r="K30" s="2">
        <f>+INDEX(Sheet1!L:L, MATCH(Hoja1!G30,Sheet1!M:M, 0))</f>
        <v>14.2</v>
      </c>
    </row>
    <row r="31" spans="1:11" ht="16" x14ac:dyDescent="0.25">
      <c r="A31" t="s">
        <v>4</v>
      </c>
      <c r="B31">
        <v>6</v>
      </c>
      <c r="C31">
        <v>2023</v>
      </c>
      <c r="D31" t="s">
        <v>34</v>
      </c>
      <c r="E31">
        <v>2.2999999999999998</v>
      </c>
      <c r="F31">
        <v>5108468</v>
      </c>
      <c r="G31" s="1" t="str">
        <f t="shared" si="0"/>
        <v>Alabama2023</v>
      </c>
      <c r="H31">
        <f>+INDEX(Sheet1!C:C, MATCH(Hoja1!G31, Sheet1!D:D, 0))</f>
        <v>304935.59999999998</v>
      </c>
      <c r="I31">
        <f>+INDEX(Sheet1!G:G, MATCH(Hoja1!G31, Sheet1!I:I, 0))</f>
        <v>113267</v>
      </c>
      <c r="J31" s="2">
        <f>+INDEX(Sheet1!H:H, MATCH(Hoja1!G31, Sheet1!I:I, 0))</f>
        <v>2.8493857203824607E-2</v>
      </c>
      <c r="K31" s="2">
        <f>+INDEX(Sheet1!L:L, MATCH(Hoja1!G31,Sheet1!M:M, 0))</f>
        <v>14.2</v>
      </c>
    </row>
    <row r="32" spans="1:11" ht="16" x14ac:dyDescent="0.25">
      <c r="A32" t="s">
        <v>4</v>
      </c>
      <c r="B32">
        <v>7</v>
      </c>
      <c r="C32">
        <v>2023</v>
      </c>
      <c r="D32" t="s">
        <v>35</v>
      </c>
      <c r="E32">
        <v>2.4</v>
      </c>
      <c r="F32">
        <v>5108468</v>
      </c>
      <c r="G32" s="1" t="str">
        <f t="shared" si="0"/>
        <v>Alabama2023</v>
      </c>
      <c r="H32">
        <f>+INDEX(Sheet1!C:C, MATCH(Hoja1!G32, Sheet1!D:D, 0))</f>
        <v>304935.59999999998</v>
      </c>
      <c r="I32">
        <f>+INDEX(Sheet1!G:G, MATCH(Hoja1!G32, Sheet1!I:I, 0))</f>
        <v>113267</v>
      </c>
      <c r="J32" s="2">
        <f>+INDEX(Sheet1!H:H, MATCH(Hoja1!G32, Sheet1!I:I, 0))</f>
        <v>2.8493857203824607E-2</v>
      </c>
      <c r="K32" s="2">
        <f>+INDEX(Sheet1!L:L, MATCH(Hoja1!G32,Sheet1!M:M, 0))</f>
        <v>14.2</v>
      </c>
    </row>
    <row r="33" spans="1:11" ht="16" x14ac:dyDescent="0.25">
      <c r="A33" t="s">
        <v>4</v>
      </c>
      <c r="B33">
        <v>8</v>
      </c>
      <c r="C33">
        <v>2023</v>
      </c>
      <c r="D33" t="s">
        <v>36</v>
      </c>
      <c r="E33">
        <v>2.5</v>
      </c>
      <c r="F33">
        <v>5108468</v>
      </c>
      <c r="G33" s="1" t="str">
        <f t="shared" si="0"/>
        <v>Alabama2023</v>
      </c>
      <c r="H33">
        <f>+INDEX(Sheet1!C:C, MATCH(Hoja1!G33, Sheet1!D:D, 0))</f>
        <v>304935.59999999998</v>
      </c>
      <c r="I33">
        <f>+INDEX(Sheet1!G:G, MATCH(Hoja1!G33, Sheet1!I:I, 0))</f>
        <v>113267</v>
      </c>
      <c r="J33" s="2">
        <f>+INDEX(Sheet1!H:H, MATCH(Hoja1!G33, Sheet1!I:I, 0))</f>
        <v>2.8493857203824607E-2</v>
      </c>
      <c r="K33" s="2">
        <f>+INDEX(Sheet1!L:L, MATCH(Hoja1!G33,Sheet1!M:M, 0))</f>
        <v>14.2</v>
      </c>
    </row>
    <row r="34" spans="1:11" ht="16" x14ac:dyDescent="0.25">
      <c r="A34" t="s">
        <v>4</v>
      </c>
      <c r="B34">
        <v>9</v>
      </c>
      <c r="C34">
        <v>2023</v>
      </c>
      <c r="D34" t="s">
        <v>23</v>
      </c>
      <c r="E34">
        <v>2.7</v>
      </c>
      <c r="F34">
        <v>5108468</v>
      </c>
      <c r="G34" s="1" t="str">
        <f t="shared" si="0"/>
        <v>Alabama2023</v>
      </c>
      <c r="H34">
        <f>+INDEX(Sheet1!C:C, MATCH(Hoja1!G34, Sheet1!D:D, 0))</f>
        <v>304935.59999999998</v>
      </c>
      <c r="I34">
        <f>+INDEX(Sheet1!G:G, MATCH(Hoja1!G34, Sheet1!I:I, 0))</f>
        <v>113267</v>
      </c>
      <c r="J34" s="2">
        <f>+INDEX(Sheet1!H:H, MATCH(Hoja1!G34, Sheet1!I:I, 0))</f>
        <v>2.8493857203824607E-2</v>
      </c>
      <c r="K34" s="2">
        <f>+INDEX(Sheet1!L:L, MATCH(Hoja1!G34,Sheet1!M:M, 0))</f>
        <v>14.2</v>
      </c>
    </row>
    <row r="35" spans="1:11" ht="16" x14ac:dyDescent="0.25">
      <c r="A35" t="s">
        <v>4</v>
      </c>
      <c r="B35">
        <v>10</v>
      </c>
      <c r="C35">
        <v>2023</v>
      </c>
      <c r="D35" t="s">
        <v>37</v>
      </c>
      <c r="E35">
        <v>2.8</v>
      </c>
      <c r="F35">
        <v>5108468</v>
      </c>
      <c r="G35" s="1" t="str">
        <f t="shared" si="0"/>
        <v>Alabama2023</v>
      </c>
      <c r="H35">
        <f>+INDEX(Sheet1!C:C, MATCH(Hoja1!G35, Sheet1!D:D, 0))</f>
        <v>304935.59999999998</v>
      </c>
      <c r="I35">
        <f>+INDEX(Sheet1!G:G, MATCH(Hoja1!G35, Sheet1!I:I, 0))</f>
        <v>113267</v>
      </c>
      <c r="J35" s="2">
        <f>+INDEX(Sheet1!H:H, MATCH(Hoja1!G35, Sheet1!I:I, 0))</f>
        <v>2.8493857203824607E-2</v>
      </c>
      <c r="K35" s="2">
        <f>+INDEX(Sheet1!L:L, MATCH(Hoja1!G35,Sheet1!M:M, 0))</f>
        <v>14.2</v>
      </c>
    </row>
    <row r="36" spans="1:11" ht="16" x14ac:dyDescent="0.25">
      <c r="A36" t="s">
        <v>4</v>
      </c>
      <c r="B36">
        <v>11</v>
      </c>
      <c r="C36">
        <v>2023</v>
      </c>
      <c r="D36" t="s">
        <v>38</v>
      </c>
      <c r="E36">
        <v>2.8</v>
      </c>
      <c r="F36">
        <v>5108468</v>
      </c>
      <c r="G36" s="1" t="str">
        <f t="shared" si="0"/>
        <v>Alabama2023</v>
      </c>
      <c r="H36">
        <f>+INDEX(Sheet1!C:C, MATCH(Hoja1!G36, Sheet1!D:D, 0))</f>
        <v>304935.59999999998</v>
      </c>
      <c r="I36">
        <f>+INDEX(Sheet1!G:G, MATCH(Hoja1!G36, Sheet1!I:I, 0))</f>
        <v>113267</v>
      </c>
      <c r="J36" s="2">
        <f>+INDEX(Sheet1!H:H, MATCH(Hoja1!G36, Sheet1!I:I, 0))</f>
        <v>2.8493857203824607E-2</v>
      </c>
      <c r="K36" s="2">
        <f>+INDEX(Sheet1!L:L, MATCH(Hoja1!G36,Sheet1!M:M, 0))</f>
        <v>14.2</v>
      </c>
    </row>
    <row r="37" spans="1:11" ht="16" x14ac:dyDescent="0.25">
      <c r="A37" t="s">
        <v>4</v>
      </c>
      <c r="B37">
        <v>12</v>
      </c>
      <c r="C37">
        <v>2023</v>
      </c>
      <c r="D37" t="s">
        <v>39</v>
      </c>
      <c r="E37">
        <v>2.8</v>
      </c>
      <c r="F37">
        <v>5108468</v>
      </c>
      <c r="G37" s="1" t="str">
        <f t="shared" si="0"/>
        <v>Alabama2023</v>
      </c>
      <c r="H37">
        <f>+INDEX(Sheet1!C:C, MATCH(Hoja1!G37, Sheet1!D:D, 0))</f>
        <v>304935.59999999998</v>
      </c>
      <c r="I37">
        <f>+INDEX(Sheet1!G:G, MATCH(Hoja1!G37, Sheet1!I:I, 0))</f>
        <v>113267</v>
      </c>
      <c r="J37" s="2">
        <f>+INDEX(Sheet1!H:H, MATCH(Hoja1!G37, Sheet1!I:I, 0))</f>
        <v>2.8493857203824607E-2</v>
      </c>
      <c r="K37" s="2">
        <f>+INDEX(Sheet1!L:L, MATCH(Hoja1!G37,Sheet1!M:M, 0))</f>
        <v>14.2</v>
      </c>
    </row>
    <row r="38" spans="1:11" ht="16" x14ac:dyDescent="0.25">
      <c r="A38" t="s">
        <v>40</v>
      </c>
      <c r="B38">
        <v>1</v>
      </c>
      <c r="C38">
        <v>2021</v>
      </c>
      <c r="D38" t="s">
        <v>41</v>
      </c>
      <c r="E38">
        <v>7</v>
      </c>
      <c r="F38">
        <v>734923</v>
      </c>
      <c r="G38" s="1" t="str">
        <f t="shared" si="0"/>
        <v>Alaska2021</v>
      </c>
      <c r="H38">
        <f>+INDEX(Sheet1!C:C, MATCH(Hoja1!G38, Sheet1!D:D, 0))</f>
        <v>58943.5</v>
      </c>
      <c r="I38">
        <f>+INDEX(Sheet1!G:G, MATCH(Hoja1!G38, Sheet1!I:I, 0))</f>
        <v>96085</v>
      </c>
      <c r="J38" s="2">
        <f>+INDEX(Sheet1!H:H, MATCH(Hoja1!G38, Sheet1!I:I, 0))</f>
        <v>2.2278728814460958E-2</v>
      </c>
      <c r="K38" s="2">
        <f>+INDEX(Sheet1!L:L, MATCH(Hoja1!G38,Sheet1!M:M, 0))</f>
        <v>11.4</v>
      </c>
    </row>
    <row r="39" spans="1:11" ht="16" x14ac:dyDescent="0.25">
      <c r="A39" t="s">
        <v>40</v>
      </c>
      <c r="B39">
        <v>2</v>
      </c>
      <c r="C39">
        <v>2021</v>
      </c>
      <c r="D39" t="s">
        <v>42</v>
      </c>
      <c r="E39">
        <v>7</v>
      </c>
      <c r="F39">
        <v>734923</v>
      </c>
      <c r="G39" s="1" t="str">
        <f t="shared" si="0"/>
        <v>Alaska2021</v>
      </c>
      <c r="H39">
        <f>+INDEX(Sheet1!C:C, MATCH(Hoja1!G39, Sheet1!D:D, 0))</f>
        <v>58943.5</v>
      </c>
      <c r="I39">
        <f>+INDEX(Sheet1!G:G, MATCH(Hoja1!G39, Sheet1!I:I, 0))</f>
        <v>96085</v>
      </c>
      <c r="J39" s="2">
        <f>+INDEX(Sheet1!H:H, MATCH(Hoja1!G39, Sheet1!I:I, 0))</f>
        <v>2.2278728814460958E-2</v>
      </c>
      <c r="K39" s="2">
        <f>+INDEX(Sheet1!L:L, MATCH(Hoja1!G39,Sheet1!M:M, 0))</f>
        <v>11.4</v>
      </c>
    </row>
    <row r="40" spans="1:11" ht="16" x14ac:dyDescent="0.25">
      <c r="A40" t="s">
        <v>40</v>
      </c>
      <c r="B40">
        <v>3</v>
      </c>
      <c r="C40">
        <v>2021</v>
      </c>
      <c r="D40" t="s">
        <v>43</v>
      </c>
      <c r="E40">
        <v>7</v>
      </c>
      <c r="F40">
        <v>734923</v>
      </c>
      <c r="G40" s="1" t="str">
        <f t="shared" si="0"/>
        <v>Alaska2021</v>
      </c>
      <c r="H40">
        <f>+INDEX(Sheet1!C:C, MATCH(Hoja1!G40, Sheet1!D:D, 0))</f>
        <v>58943.5</v>
      </c>
      <c r="I40">
        <f>+INDEX(Sheet1!G:G, MATCH(Hoja1!G40, Sheet1!I:I, 0))</f>
        <v>96085</v>
      </c>
      <c r="J40" s="2">
        <f>+INDEX(Sheet1!H:H, MATCH(Hoja1!G40, Sheet1!I:I, 0))</f>
        <v>2.2278728814460958E-2</v>
      </c>
      <c r="K40" s="2">
        <f>+INDEX(Sheet1!L:L, MATCH(Hoja1!G40,Sheet1!M:M, 0))</f>
        <v>11.4</v>
      </c>
    </row>
    <row r="41" spans="1:11" ht="16" x14ac:dyDescent="0.25">
      <c r="A41" t="s">
        <v>40</v>
      </c>
      <c r="B41">
        <v>4</v>
      </c>
      <c r="C41">
        <v>2021</v>
      </c>
      <c r="D41" t="s">
        <v>44</v>
      </c>
      <c r="E41">
        <v>7</v>
      </c>
      <c r="F41">
        <v>734923</v>
      </c>
      <c r="G41" s="1" t="str">
        <f t="shared" si="0"/>
        <v>Alaska2021</v>
      </c>
      <c r="H41">
        <f>+INDEX(Sheet1!C:C, MATCH(Hoja1!G41, Sheet1!D:D, 0))</f>
        <v>58943.5</v>
      </c>
      <c r="I41">
        <f>+INDEX(Sheet1!G:G, MATCH(Hoja1!G41, Sheet1!I:I, 0))</f>
        <v>96085</v>
      </c>
      <c r="J41" s="2">
        <f>+INDEX(Sheet1!H:H, MATCH(Hoja1!G41, Sheet1!I:I, 0))</f>
        <v>2.2278728814460958E-2</v>
      </c>
      <c r="K41" s="2">
        <f>+INDEX(Sheet1!L:L, MATCH(Hoja1!G41,Sheet1!M:M, 0))</f>
        <v>11.4</v>
      </c>
    </row>
    <row r="42" spans="1:11" ht="16" x14ac:dyDescent="0.25">
      <c r="A42" t="s">
        <v>40</v>
      </c>
      <c r="B42">
        <v>5</v>
      </c>
      <c r="C42">
        <v>2021</v>
      </c>
      <c r="D42" t="s">
        <v>43</v>
      </c>
      <c r="E42">
        <v>6.8</v>
      </c>
      <c r="F42">
        <v>734923</v>
      </c>
      <c r="G42" s="1" t="str">
        <f t="shared" si="0"/>
        <v>Alaska2021</v>
      </c>
      <c r="H42">
        <f>+INDEX(Sheet1!C:C, MATCH(Hoja1!G42, Sheet1!D:D, 0))</f>
        <v>58943.5</v>
      </c>
      <c r="I42">
        <f>+INDEX(Sheet1!G:G, MATCH(Hoja1!G42, Sheet1!I:I, 0))</f>
        <v>96085</v>
      </c>
      <c r="J42" s="2">
        <f>+INDEX(Sheet1!H:H, MATCH(Hoja1!G42, Sheet1!I:I, 0))</f>
        <v>2.2278728814460958E-2</v>
      </c>
      <c r="K42" s="2">
        <f>+INDEX(Sheet1!L:L, MATCH(Hoja1!G42,Sheet1!M:M, 0))</f>
        <v>11.4</v>
      </c>
    </row>
    <row r="43" spans="1:11" ht="16" x14ac:dyDescent="0.25">
      <c r="A43" t="s">
        <v>40</v>
      </c>
      <c r="B43">
        <v>6</v>
      </c>
      <c r="C43">
        <v>2021</v>
      </c>
      <c r="D43" t="s">
        <v>41</v>
      </c>
      <c r="E43">
        <v>6.8</v>
      </c>
      <c r="F43">
        <v>734923</v>
      </c>
      <c r="G43" s="1" t="str">
        <f t="shared" si="0"/>
        <v>Alaska2021</v>
      </c>
      <c r="H43">
        <f>+INDEX(Sheet1!C:C, MATCH(Hoja1!G43, Sheet1!D:D, 0))</f>
        <v>58943.5</v>
      </c>
      <c r="I43">
        <f>+INDEX(Sheet1!G:G, MATCH(Hoja1!G43, Sheet1!I:I, 0))</f>
        <v>96085</v>
      </c>
      <c r="J43" s="2">
        <f>+INDEX(Sheet1!H:H, MATCH(Hoja1!G43, Sheet1!I:I, 0))</f>
        <v>2.2278728814460958E-2</v>
      </c>
      <c r="K43" s="2">
        <f>+INDEX(Sheet1!L:L, MATCH(Hoja1!G43,Sheet1!M:M, 0))</f>
        <v>11.4</v>
      </c>
    </row>
    <row r="44" spans="1:11" ht="16" x14ac:dyDescent="0.25">
      <c r="A44" t="s">
        <v>40</v>
      </c>
      <c r="B44">
        <v>7</v>
      </c>
      <c r="C44">
        <v>2021</v>
      </c>
      <c r="D44" t="s">
        <v>45</v>
      </c>
      <c r="E44">
        <v>6.4</v>
      </c>
      <c r="F44">
        <v>734923</v>
      </c>
      <c r="G44" s="1" t="str">
        <f t="shared" si="0"/>
        <v>Alaska2021</v>
      </c>
      <c r="H44">
        <f>+INDEX(Sheet1!C:C, MATCH(Hoja1!G44, Sheet1!D:D, 0))</f>
        <v>58943.5</v>
      </c>
      <c r="I44">
        <f>+INDEX(Sheet1!G:G, MATCH(Hoja1!G44, Sheet1!I:I, 0))</f>
        <v>96085</v>
      </c>
      <c r="J44" s="2">
        <f>+INDEX(Sheet1!H:H, MATCH(Hoja1!G44, Sheet1!I:I, 0))</f>
        <v>2.2278728814460958E-2</v>
      </c>
      <c r="K44" s="2">
        <f>+INDEX(Sheet1!L:L, MATCH(Hoja1!G44,Sheet1!M:M, 0))</f>
        <v>11.4</v>
      </c>
    </row>
    <row r="45" spans="1:11" ht="16" x14ac:dyDescent="0.25">
      <c r="A45" t="s">
        <v>40</v>
      </c>
      <c r="B45">
        <v>8</v>
      </c>
      <c r="C45">
        <v>2021</v>
      </c>
      <c r="D45" t="s">
        <v>46</v>
      </c>
      <c r="E45">
        <v>6.2</v>
      </c>
      <c r="F45">
        <v>734923</v>
      </c>
      <c r="G45" s="1" t="str">
        <f t="shared" si="0"/>
        <v>Alaska2021</v>
      </c>
      <c r="H45">
        <f>+INDEX(Sheet1!C:C, MATCH(Hoja1!G45, Sheet1!D:D, 0))</f>
        <v>58943.5</v>
      </c>
      <c r="I45">
        <f>+INDEX(Sheet1!G:G, MATCH(Hoja1!G45, Sheet1!I:I, 0))</f>
        <v>96085</v>
      </c>
      <c r="J45" s="2">
        <f>+INDEX(Sheet1!H:H, MATCH(Hoja1!G45, Sheet1!I:I, 0))</f>
        <v>2.2278728814460958E-2</v>
      </c>
      <c r="K45" s="2">
        <f>+INDEX(Sheet1!L:L, MATCH(Hoja1!G45,Sheet1!M:M, 0))</f>
        <v>11.4</v>
      </c>
    </row>
    <row r="46" spans="1:11" ht="16" x14ac:dyDescent="0.25">
      <c r="A46" t="s">
        <v>40</v>
      </c>
      <c r="B46">
        <v>9</v>
      </c>
      <c r="C46">
        <v>2021</v>
      </c>
      <c r="D46" t="s">
        <v>47</v>
      </c>
      <c r="E46">
        <v>5.9</v>
      </c>
      <c r="F46">
        <v>734923</v>
      </c>
      <c r="G46" s="1" t="str">
        <f t="shared" si="0"/>
        <v>Alaska2021</v>
      </c>
      <c r="H46">
        <f>+INDEX(Sheet1!C:C, MATCH(Hoja1!G46, Sheet1!D:D, 0))</f>
        <v>58943.5</v>
      </c>
      <c r="I46">
        <f>+INDEX(Sheet1!G:G, MATCH(Hoja1!G46, Sheet1!I:I, 0))</f>
        <v>96085</v>
      </c>
      <c r="J46" s="2">
        <f>+INDEX(Sheet1!H:H, MATCH(Hoja1!G46, Sheet1!I:I, 0))</f>
        <v>2.2278728814460958E-2</v>
      </c>
      <c r="K46" s="2">
        <f>+INDEX(Sheet1!L:L, MATCH(Hoja1!G46,Sheet1!M:M, 0))</f>
        <v>11.4</v>
      </c>
    </row>
    <row r="47" spans="1:11" ht="16" x14ac:dyDescent="0.25">
      <c r="A47" t="s">
        <v>40</v>
      </c>
      <c r="B47">
        <v>10</v>
      </c>
      <c r="C47">
        <v>2021</v>
      </c>
      <c r="D47" t="s">
        <v>48</v>
      </c>
      <c r="E47">
        <v>5.7</v>
      </c>
      <c r="F47">
        <v>734923</v>
      </c>
      <c r="G47" s="1" t="str">
        <f t="shared" si="0"/>
        <v>Alaska2021</v>
      </c>
      <c r="H47">
        <f>+INDEX(Sheet1!C:C, MATCH(Hoja1!G47, Sheet1!D:D, 0))</f>
        <v>58943.5</v>
      </c>
      <c r="I47">
        <f>+INDEX(Sheet1!G:G, MATCH(Hoja1!G47, Sheet1!I:I, 0))</f>
        <v>96085</v>
      </c>
      <c r="J47" s="2">
        <f>+INDEX(Sheet1!H:H, MATCH(Hoja1!G47, Sheet1!I:I, 0))</f>
        <v>2.2278728814460958E-2</v>
      </c>
      <c r="K47" s="2">
        <f>+INDEX(Sheet1!L:L, MATCH(Hoja1!G47,Sheet1!M:M, 0))</f>
        <v>11.4</v>
      </c>
    </row>
    <row r="48" spans="1:11" ht="16" x14ac:dyDescent="0.25">
      <c r="A48" t="s">
        <v>40</v>
      </c>
      <c r="B48">
        <v>11</v>
      </c>
      <c r="C48">
        <v>2021</v>
      </c>
      <c r="D48" t="s">
        <v>49</v>
      </c>
      <c r="E48">
        <v>5.5</v>
      </c>
      <c r="F48">
        <v>734923</v>
      </c>
      <c r="G48" s="1" t="str">
        <f t="shared" si="0"/>
        <v>Alaska2021</v>
      </c>
      <c r="H48">
        <f>+INDEX(Sheet1!C:C, MATCH(Hoja1!G48, Sheet1!D:D, 0))</f>
        <v>58943.5</v>
      </c>
      <c r="I48">
        <f>+INDEX(Sheet1!G:G, MATCH(Hoja1!G48, Sheet1!I:I, 0))</f>
        <v>96085</v>
      </c>
      <c r="J48" s="2">
        <f>+INDEX(Sheet1!H:H, MATCH(Hoja1!G48, Sheet1!I:I, 0))</f>
        <v>2.2278728814460958E-2</v>
      </c>
      <c r="K48" s="2">
        <f>+INDEX(Sheet1!L:L, MATCH(Hoja1!G48,Sheet1!M:M, 0))</f>
        <v>11.4</v>
      </c>
    </row>
    <row r="49" spans="1:11" ht="16" x14ac:dyDescent="0.25">
      <c r="A49" t="s">
        <v>40</v>
      </c>
      <c r="B49">
        <v>12</v>
      </c>
      <c r="C49">
        <v>2021</v>
      </c>
      <c r="D49" t="s">
        <v>50</v>
      </c>
      <c r="E49">
        <v>5.3</v>
      </c>
      <c r="F49">
        <v>734923</v>
      </c>
      <c r="G49" s="1" t="str">
        <f t="shared" si="0"/>
        <v>Alaska2021</v>
      </c>
      <c r="H49">
        <f>+INDEX(Sheet1!C:C, MATCH(Hoja1!G49, Sheet1!D:D, 0))</f>
        <v>58943.5</v>
      </c>
      <c r="I49">
        <f>+INDEX(Sheet1!G:G, MATCH(Hoja1!G49, Sheet1!I:I, 0))</f>
        <v>96085</v>
      </c>
      <c r="J49" s="2">
        <f>+INDEX(Sheet1!H:H, MATCH(Hoja1!G49, Sheet1!I:I, 0))</f>
        <v>2.2278728814460958E-2</v>
      </c>
      <c r="K49" s="2">
        <f>+INDEX(Sheet1!L:L, MATCH(Hoja1!G49,Sheet1!M:M, 0))</f>
        <v>11.4</v>
      </c>
    </row>
    <row r="50" spans="1:11" ht="16" x14ac:dyDescent="0.25">
      <c r="A50" t="s">
        <v>40</v>
      </c>
      <c r="B50">
        <v>1</v>
      </c>
      <c r="C50">
        <v>2022</v>
      </c>
      <c r="D50" t="s">
        <v>51</v>
      </c>
      <c r="E50">
        <v>5.2</v>
      </c>
      <c r="F50">
        <v>733276</v>
      </c>
      <c r="G50" s="1" t="str">
        <f t="shared" si="0"/>
        <v>Alaska2022</v>
      </c>
      <c r="H50">
        <f>+INDEX(Sheet1!C:C, MATCH(Hoja1!G50, Sheet1!D:D, 0))</f>
        <v>66271.899999999994</v>
      </c>
      <c r="I50">
        <f>+INDEX(Sheet1!G:G, MATCH(Hoja1!G50, Sheet1!I:I, 0))</f>
        <v>94802</v>
      </c>
      <c r="J50" s="2">
        <f>+INDEX(Sheet1!H:H, MATCH(Hoja1!G50, Sheet1!I:I, 0))</f>
        <v>-1.3352760576572826E-2</v>
      </c>
      <c r="K50" s="2">
        <f>+INDEX(Sheet1!L:L, MATCH(Hoja1!G50,Sheet1!M:M, 0))</f>
        <v>9.6</v>
      </c>
    </row>
    <row r="51" spans="1:11" ht="16" x14ac:dyDescent="0.25">
      <c r="A51" t="s">
        <v>40</v>
      </c>
      <c r="B51">
        <v>2</v>
      </c>
      <c r="C51">
        <v>2022</v>
      </c>
      <c r="D51" t="s">
        <v>52</v>
      </c>
      <c r="E51">
        <v>4.8</v>
      </c>
      <c r="F51">
        <v>733276</v>
      </c>
      <c r="G51" s="1" t="str">
        <f t="shared" si="0"/>
        <v>Alaska2022</v>
      </c>
      <c r="H51">
        <f>+INDEX(Sheet1!C:C, MATCH(Hoja1!G51, Sheet1!D:D, 0))</f>
        <v>66271.899999999994</v>
      </c>
      <c r="I51">
        <f>+INDEX(Sheet1!G:G, MATCH(Hoja1!G51, Sheet1!I:I, 0))</f>
        <v>94802</v>
      </c>
      <c r="J51" s="2">
        <f>+INDEX(Sheet1!H:H, MATCH(Hoja1!G51, Sheet1!I:I, 0))</f>
        <v>-1.3352760576572826E-2</v>
      </c>
      <c r="K51" s="2">
        <f>+INDEX(Sheet1!L:L, MATCH(Hoja1!G51,Sheet1!M:M, 0))</f>
        <v>9.6</v>
      </c>
    </row>
    <row r="52" spans="1:11" ht="16" x14ac:dyDescent="0.25">
      <c r="A52" t="s">
        <v>40</v>
      </c>
      <c r="B52">
        <v>3</v>
      </c>
      <c r="C52">
        <v>2022</v>
      </c>
      <c r="D52" t="s">
        <v>53</v>
      </c>
      <c r="E52">
        <v>4.5</v>
      </c>
      <c r="F52">
        <v>733276</v>
      </c>
      <c r="G52" s="1" t="str">
        <f t="shared" si="0"/>
        <v>Alaska2022</v>
      </c>
      <c r="H52">
        <f>+INDEX(Sheet1!C:C, MATCH(Hoja1!G52, Sheet1!D:D, 0))</f>
        <v>66271.899999999994</v>
      </c>
      <c r="I52">
        <f>+INDEX(Sheet1!G:G, MATCH(Hoja1!G52, Sheet1!I:I, 0))</f>
        <v>94802</v>
      </c>
      <c r="J52" s="2">
        <f>+INDEX(Sheet1!H:H, MATCH(Hoja1!G52, Sheet1!I:I, 0))</f>
        <v>-1.3352760576572826E-2</v>
      </c>
      <c r="K52" s="2">
        <f>+INDEX(Sheet1!L:L, MATCH(Hoja1!G52,Sheet1!M:M, 0))</f>
        <v>9.6</v>
      </c>
    </row>
    <row r="53" spans="1:11" ht="16" x14ac:dyDescent="0.25">
      <c r="A53" t="s">
        <v>40</v>
      </c>
      <c r="B53">
        <v>4</v>
      </c>
      <c r="C53">
        <v>2022</v>
      </c>
      <c r="D53" t="s">
        <v>54</v>
      </c>
      <c r="E53">
        <v>4.3</v>
      </c>
      <c r="F53">
        <v>733276</v>
      </c>
      <c r="G53" s="1" t="str">
        <f t="shared" si="0"/>
        <v>Alaska2022</v>
      </c>
      <c r="H53">
        <f>+INDEX(Sheet1!C:C, MATCH(Hoja1!G53, Sheet1!D:D, 0))</f>
        <v>66271.899999999994</v>
      </c>
      <c r="I53">
        <f>+INDEX(Sheet1!G:G, MATCH(Hoja1!G53, Sheet1!I:I, 0))</f>
        <v>94802</v>
      </c>
      <c r="J53" s="2">
        <f>+INDEX(Sheet1!H:H, MATCH(Hoja1!G53, Sheet1!I:I, 0))</f>
        <v>-1.3352760576572826E-2</v>
      </c>
      <c r="K53" s="2">
        <f>+INDEX(Sheet1!L:L, MATCH(Hoja1!G53,Sheet1!M:M, 0))</f>
        <v>9.6</v>
      </c>
    </row>
    <row r="54" spans="1:11" ht="16" x14ac:dyDescent="0.25">
      <c r="A54" t="s">
        <v>40</v>
      </c>
      <c r="B54">
        <v>5</v>
      </c>
      <c r="C54">
        <v>2022</v>
      </c>
      <c r="D54" t="s">
        <v>55</v>
      </c>
      <c r="E54">
        <v>4.2</v>
      </c>
      <c r="F54">
        <v>733276</v>
      </c>
      <c r="G54" s="1" t="str">
        <f t="shared" si="0"/>
        <v>Alaska2022</v>
      </c>
      <c r="H54">
        <f>+INDEX(Sheet1!C:C, MATCH(Hoja1!G54, Sheet1!D:D, 0))</f>
        <v>66271.899999999994</v>
      </c>
      <c r="I54">
        <f>+INDEX(Sheet1!G:G, MATCH(Hoja1!G54, Sheet1!I:I, 0))</f>
        <v>94802</v>
      </c>
      <c r="J54" s="2">
        <f>+INDEX(Sheet1!H:H, MATCH(Hoja1!G54, Sheet1!I:I, 0))</f>
        <v>-1.3352760576572826E-2</v>
      </c>
      <c r="K54" s="2">
        <f>+INDEX(Sheet1!L:L, MATCH(Hoja1!G54,Sheet1!M:M, 0))</f>
        <v>9.6</v>
      </c>
    </row>
    <row r="55" spans="1:11" ht="16" x14ac:dyDescent="0.25">
      <c r="A55" t="s">
        <v>40</v>
      </c>
      <c r="B55">
        <v>6</v>
      </c>
      <c r="C55">
        <v>2022</v>
      </c>
      <c r="D55" t="s">
        <v>56</v>
      </c>
      <c r="E55">
        <v>4.0999999999999996</v>
      </c>
      <c r="F55">
        <v>733276</v>
      </c>
      <c r="G55" s="1" t="str">
        <f t="shared" si="0"/>
        <v>Alaska2022</v>
      </c>
      <c r="H55">
        <f>+INDEX(Sheet1!C:C, MATCH(Hoja1!G55, Sheet1!D:D, 0))</f>
        <v>66271.899999999994</v>
      </c>
      <c r="I55">
        <f>+INDEX(Sheet1!G:G, MATCH(Hoja1!G55, Sheet1!I:I, 0))</f>
        <v>94802</v>
      </c>
      <c r="J55" s="2">
        <f>+INDEX(Sheet1!H:H, MATCH(Hoja1!G55, Sheet1!I:I, 0))</f>
        <v>-1.3352760576572826E-2</v>
      </c>
      <c r="K55" s="2">
        <f>+INDEX(Sheet1!L:L, MATCH(Hoja1!G55,Sheet1!M:M, 0))</f>
        <v>9.6</v>
      </c>
    </row>
    <row r="56" spans="1:11" ht="16" x14ac:dyDescent="0.25">
      <c r="A56" t="s">
        <v>40</v>
      </c>
      <c r="B56">
        <v>7</v>
      </c>
      <c r="C56">
        <v>2022</v>
      </c>
      <c r="D56" t="s">
        <v>57</v>
      </c>
      <c r="E56">
        <v>4</v>
      </c>
      <c r="F56">
        <v>733276</v>
      </c>
      <c r="G56" s="1" t="str">
        <f t="shared" si="0"/>
        <v>Alaska2022</v>
      </c>
      <c r="H56">
        <f>+INDEX(Sheet1!C:C, MATCH(Hoja1!G56, Sheet1!D:D, 0))</f>
        <v>66271.899999999994</v>
      </c>
      <c r="I56">
        <f>+INDEX(Sheet1!G:G, MATCH(Hoja1!G56, Sheet1!I:I, 0))</f>
        <v>94802</v>
      </c>
      <c r="J56" s="2">
        <f>+INDEX(Sheet1!H:H, MATCH(Hoja1!G56, Sheet1!I:I, 0))</f>
        <v>-1.3352760576572826E-2</v>
      </c>
      <c r="K56" s="2">
        <f>+INDEX(Sheet1!L:L, MATCH(Hoja1!G56,Sheet1!M:M, 0))</f>
        <v>9.6</v>
      </c>
    </row>
    <row r="57" spans="1:11" ht="16" x14ac:dyDescent="0.25">
      <c r="A57" t="s">
        <v>40</v>
      </c>
      <c r="B57">
        <v>8</v>
      </c>
      <c r="C57">
        <v>2022</v>
      </c>
      <c r="D57" t="s">
        <v>58</v>
      </c>
      <c r="E57">
        <v>3.8</v>
      </c>
      <c r="F57">
        <v>733276</v>
      </c>
      <c r="G57" s="1" t="str">
        <f t="shared" si="0"/>
        <v>Alaska2022</v>
      </c>
      <c r="H57">
        <f>+INDEX(Sheet1!C:C, MATCH(Hoja1!G57, Sheet1!D:D, 0))</f>
        <v>66271.899999999994</v>
      </c>
      <c r="I57">
        <f>+INDEX(Sheet1!G:G, MATCH(Hoja1!G57, Sheet1!I:I, 0))</f>
        <v>94802</v>
      </c>
      <c r="J57" s="2">
        <f>+INDEX(Sheet1!H:H, MATCH(Hoja1!G57, Sheet1!I:I, 0))</f>
        <v>-1.3352760576572826E-2</v>
      </c>
      <c r="K57" s="2">
        <f>+INDEX(Sheet1!L:L, MATCH(Hoja1!G57,Sheet1!M:M, 0))</f>
        <v>9.6</v>
      </c>
    </row>
    <row r="58" spans="1:11" ht="16" x14ac:dyDescent="0.25">
      <c r="A58" t="s">
        <v>40</v>
      </c>
      <c r="B58">
        <v>9</v>
      </c>
      <c r="C58">
        <v>2022</v>
      </c>
      <c r="D58" t="s">
        <v>59</v>
      </c>
      <c r="E58">
        <v>3.9</v>
      </c>
      <c r="F58">
        <v>733276</v>
      </c>
      <c r="G58" s="1" t="str">
        <f t="shared" si="0"/>
        <v>Alaska2022</v>
      </c>
      <c r="H58">
        <f>+INDEX(Sheet1!C:C, MATCH(Hoja1!G58, Sheet1!D:D, 0))</f>
        <v>66271.899999999994</v>
      </c>
      <c r="I58">
        <f>+INDEX(Sheet1!G:G, MATCH(Hoja1!G58, Sheet1!I:I, 0))</f>
        <v>94802</v>
      </c>
      <c r="J58" s="2">
        <f>+INDEX(Sheet1!H:H, MATCH(Hoja1!G58, Sheet1!I:I, 0))</f>
        <v>-1.3352760576572826E-2</v>
      </c>
      <c r="K58" s="2">
        <f>+INDEX(Sheet1!L:L, MATCH(Hoja1!G58,Sheet1!M:M, 0))</f>
        <v>9.6</v>
      </c>
    </row>
    <row r="59" spans="1:11" ht="16" x14ac:dyDescent="0.25">
      <c r="A59" t="s">
        <v>40</v>
      </c>
      <c r="B59">
        <v>10</v>
      </c>
      <c r="C59">
        <v>2022</v>
      </c>
      <c r="D59" t="s">
        <v>59</v>
      </c>
      <c r="E59">
        <v>4</v>
      </c>
      <c r="F59">
        <v>733276</v>
      </c>
      <c r="G59" s="1" t="str">
        <f t="shared" si="0"/>
        <v>Alaska2022</v>
      </c>
      <c r="H59">
        <f>+INDEX(Sheet1!C:C, MATCH(Hoja1!G59, Sheet1!D:D, 0))</f>
        <v>66271.899999999994</v>
      </c>
      <c r="I59">
        <f>+INDEX(Sheet1!G:G, MATCH(Hoja1!G59, Sheet1!I:I, 0))</f>
        <v>94802</v>
      </c>
      <c r="J59" s="2">
        <f>+INDEX(Sheet1!H:H, MATCH(Hoja1!G59, Sheet1!I:I, 0))</f>
        <v>-1.3352760576572826E-2</v>
      </c>
      <c r="K59" s="2">
        <f>+INDEX(Sheet1!L:L, MATCH(Hoja1!G59,Sheet1!M:M, 0))</f>
        <v>9.6</v>
      </c>
    </row>
    <row r="60" spans="1:11" ht="16" x14ac:dyDescent="0.25">
      <c r="A60" t="s">
        <v>40</v>
      </c>
      <c r="B60">
        <v>11</v>
      </c>
      <c r="C60">
        <v>2022</v>
      </c>
      <c r="D60" t="s">
        <v>60</v>
      </c>
      <c r="E60">
        <v>4</v>
      </c>
      <c r="F60">
        <v>733276</v>
      </c>
      <c r="G60" s="1" t="str">
        <f t="shared" si="0"/>
        <v>Alaska2022</v>
      </c>
      <c r="H60">
        <f>+INDEX(Sheet1!C:C, MATCH(Hoja1!G60, Sheet1!D:D, 0))</f>
        <v>66271.899999999994</v>
      </c>
      <c r="I60">
        <f>+INDEX(Sheet1!G:G, MATCH(Hoja1!G60, Sheet1!I:I, 0))</f>
        <v>94802</v>
      </c>
      <c r="J60" s="2">
        <f>+INDEX(Sheet1!H:H, MATCH(Hoja1!G60, Sheet1!I:I, 0))</f>
        <v>-1.3352760576572826E-2</v>
      </c>
      <c r="K60" s="2">
        <f>+INDEX(Sheet1!L:L, MATCH(Hoja1!G60,Sheet1!M:M, 0))</f>
        <v>9.6</v>
      </c>
    </row>
    <row r="61" spans="1:11" ht="16" x14ac:dyDescent="0.25">
      <c r="A61" t="s">
        <v>40</v>
      </c>
      <c r="B61">
        <v>12</v>
      </c>
      <c r="C61">
        <v>2022</v>
      </c>
      <c r="D61" t="s">
        <v>61</v>
      </c>
      <c r="E61">
        <v>4</v>
      </c>
      <c r="F61">
        <v>733276</v>
      </c>
      <c r="G61" s="1" t="str">
        <f t="shared" si="0"/>
        <v>Alaska2022</v>
      </c>
      <c r="H61">
        <f>+INDEX(Sheet1!C:C, MATCH(Hoja1!G61, Sheet1!D:D, 0))</f>
        <v>66271.899999999994</v>
      </c>
      <c r="I61">
        <f>+INDEX(Sheet1!G:G, MATCH(Hoja1!G61, Sheet1!I:I, 0))</f>
        <v>94802</v>
      </c>
      <c r="J61" s="2">
        <f>+INDEX(Sheet1!H:H, MATCH(Hoja1!G61, Sheet1!I:I, 0))</f>
        <v>-1.3352760576572826E-2</v>
      </c>
      <c r="K61" s="2">
        <f>+INDEX(Sheet1!L:L, MATCH(Hoja1!G61,Sheet1!M:M, 0))</f>
        <v>9.6</v>
      </c>
    </row>
    <row r="62" spans="1:11" ht="16" x14ac:dyDescent="0.25">
      <c r="A62" t="s">
        <v>40</v>
      </c>
      <c r="B62">
        <v>1</v>
      </c>
      <c r="C62">
        <v>2023</v>
      </c>
      <c r="D62" t="s">
        <v>62</v>
      </c>
      <c r="E62">
        <v>3.9</v>
      </c>
      <c r="F62">
        <v>733406</v>
      </c>
      <c r="G62" s="1" t="str">
        <f t="shared" si="0"/>
        <v>Alaska2023</v>
      </c>
      <c r="H62">
        <f>+INDEX(Sheet1!C:C, MATCH(Hoja1!G62, Sheet1!D:D, 0))</f>
        <v>68056</v>
      </c>
      <c r="I62">
        <f>+INDEX(Sheet1!G:G, MATCH(Hoja1!G62, Sheet1!I:I, 0))</f>
        <v>100950</v>
      </c>
      <c r="J62" s="2">
        <f>+INDEX(Sheet1!H:H, MATCH(Hoja1!G62, Sheet1!I:I, 0))</f>
        <v>6.4850952511550389E-2</v>
      </c>
      <c r="K62" s="2">
        <f>+INDEX(Sheet1!L:L, MATCH(Hoja1!G62,Sheet1!M:M, 0))</f>
        <v>10.1</v>
      </c>
    </row>
    <row r="63" spans="1:11" ht="16" x14ac:dyDescent="0.25">
      <c r="A63" t="s">
        <v>40</v>
      </c>
      <c r="B63">
        <v>2</v>
      </c>
      <c r="C63">
        <v>2023</v>
      </c>
      <c r="D63" t="s">
        <v>63</v>
      </c>
      <c r="E63">
        <v>3.9</v>
      </c>
      <c r="F63">
        <v>733406</v>
      </c>
      <c r="G63" s="1" t="str">
        <f t="shared" si="0"/>
        <v>Alaska2023</v>
      </c>
      <c r="H63">
        <f>+INDEX(Sheet1!C:C, MATCH(Hoja1!G63, Sheet1!D:D, 0))</f>
        <v>68056</v>
      </c>
      <c r="I63">
        <f>+INDEX(Sheet1!G:G, MATCH(Hoja1!G63, Sheet1!I:I, 0))</f>
        <v>100950</v>
      </c>
      <c r="J63" s="2">
        <f>+INDEX(Sheet1!H:H, MATCH(Hoja1!G63, Sheet1!I:I, 0))</f>
        <v>6.4850952511550389E-2</v>
      </c>
      <c r="K63" s="2">
        <f>+INDEX(Sheet1!L:L, MATCH(Hoja1!G63,Sheet1!M:M, 0))</f>
        <v>10.1</v>
      </c>
    </row>
    <row r="64" spans="1:11" ht="16" x14ac:dyDescent="0.25">
      <c r="A64" t="s">
        <v>40</v>
      </c>
      <c r="B64">
        <v>3</v>
      </c>
      <c r="C64">
        <v>2023</v>
      </c>
      <c r="D64" t="s">
        <v>64</v>
      </c>
      <c r="E64">
        <v>3.8</v>
      </c>
      <c r="F64">
        <v>733406</v>
      </c>
      <c r="G64" s="1" t="str">
        <f t="shared" si="0"/>
        <v>Alaska2023</v>
      </c>
      <c r="H64">
        <f>+INDEX(Sheet1!C:C, MATCH(Hoja1!G64, Sheet1!D:D, 0))</f>
        <v>68056</v>
      </c>
      <c r="I64">
        <f>+INDEX(Sheet1!G:G, MATCH(Hoja1!G64, Sheet1!I:I, 0))</f>
        <v>100950</v>
      </c>
      <c r="J64" s="2">
        <f>+INDEX(Sheet1!H:H, MATCH(Hoja1!G64, Sheet1!I:I, 0))</f>
        <v>6.4850952511550389E-2</v>
      </c>
      <c r="K64" s="2">
        <f>+INDEX(Sheet1!L:L, MATCH(Hoja1!G64,Sheet1!M:M, 0))</f>
        <v>10.1</v>
      </c>
    </row>
    <row r="65" spans="1:11" ht="16" x14ac:dyDescent="0.25">
      <c r="A65" t="s">
        <v>40</v>
      </c>
      <c r="B65">
        <v>4</v>
      </c>
      <c r="C65">
        <v>2023</v>
      </c>
      <c r="D65" t="s">
        <v>65</v>
      </c>
      <c r="E65">
        <v>3.9</v>
      </c>
      <c r="F65">
        <v>733406</v>
      </c>
      <c r="G65" s="1" t="str">
        <f t="shared" si="0"/>
        <v>Alaska2023</v>
      </c>
      <c r="H65">
        <f>+INDEX(Sheet1!C:C, MATCH(Hoja1!G65, Sheet1!D:D, 0))</f>
        <v>68056</v>
      </c>
      <c r="I65">
        <f>+INDEX(Sheet1!G:G, MATCH(Hoja1!G65, Sheet1!I:I, 0))</f>
        <v>100950</v>
      </c>
      <c r="J65" s="2">
        <f>+INDEX(Sheet1!H:H, MATCH(Hoja1!G65, Sheet1!I:I, 0))</f>
        <v>6.4850952511550389E-2</v>
      </c>
      <c r="K65" s="2">
        <f>+INDEX(Sheet1!L:L, MATCH(Hoja1!G65,Sheet1!M:M, 0))</f>
        <v>10.1</v>
      </c>
    </row>
    <row r="66" spans="1:11" ht="16" x14ac:dyDescent="0.25">
      <c r="A66" t="s">
        <v>40</v>
      </c>
      <c r="B66">
        <v>5</v>
      </c>
      <c r="C66">
        <v>2023</v>
      </c>
      <c r="D66" t="s">
        <v>66</v>
      </c>
      <c r="E66">
        <v>4</v>
      </c>
      <c r="F66">
        <v>733406</v>
      </c>
      <c r="G66" s="1" t="str">
        <f t="shared" si="0"/>
        <v>Alaska2023</v>
      </c>
      <c r="H66">
        <f>+INDEX(Sheet1!C:C, MATCH(Hoja1!G66, Sheet1!D:D, 0))</f>
        <v>68056</v>
      </c>
      <c r="I66">
        <f>+INDEX(Sheet1!G:G, MATCH(Hoja1!G66, Sheet1!I:I, 0))</f>
        <v>100950</v>
      </c>
      <c r="J66" s="2">
        <f>+INDEX(Sheet1!H:H, MATCH(Hoja1!G66, Sheet1!I:I, 0))</f>
        <v>6.4850952511550389E-2</v>
      </c>
      <c r="K66" s="2">
        <f>+INDEX(Sheet1!L:L, MATCH(Hoja1!G66,Sheet1!M:M, 0))</f>
        <v>10.1</v>
      </c>
    </row>
    <row r="67" spans="1:11" ht="16" x14ac:dyDescent="0.25">
      <c r="A67" t="s">
        <v>40</v>
      </c>
      <c r="B67">
        <v>6</v>
      </c>
      <c r="C67">
        <v>2023</v>
      </c>
      <c r="D67" t="s">
        <v>67</v>
      </c>
      <c r="E67">
        <v>4.0999999999999996</v>
      </c>
      <c r="F67">
        <v>733406</v>
      </c>
      <c r="G67" s="1" t="str">
        <f t="shared" ref="G67:G130" si="1">+A67&amp;C67</f>
        <v>Alaska2023</v>
      </c>
      <c r="H67">
        <f>+INDEX(Sheet1!C:C, MATCH(Hoja1!G67, Sheet1!D:D, 0))</f>
        <v>68056</v>
      </c>
      <c r="I67">
        <f>+INDEX(Sheet1!G:G, MATCH(Hoja1!G67, Sheet1!I:I, 0))</f>
        <v>100950</v>
      </c>
      <c r="J67" s="2">
        <f>+INDEX(Sheet1!H:H, MATCH(Hoja1!G67, Sheet1!I:I, 0))</f>
        <v>6.4850952511550389E-2</v>
      </c>
      <c r="K67" s="2">
        <f>+INDEX(Sheet1!L:L, MATCH(Hoja1!G67,Sheet1!M:M, 0))</f>
        <v>10.1</v>
      </c>
    </row>
    <row r="68" spans="1:11" ht="16" x14ac:dyDescent="0.25">
      <c r="A68" t="s">
        <v>40</v>
      </c>
      <c r="B68">
        <v>7</v>
      </c>
      <c r="C68">
        <v>2023</v>
      </c>
      <c r="D68" t="s">
        <v>68</v>
      </c>
      <c r="E68">
        <v>4.3</v>
      </c>
      <c r="F68">
        <v>733406</v>
      </c>
      <c r="G68" s="1" t="str">
        <f t="shared" si="1"/>
        <v>Alaska2023</v>
      </c>
      <c r="H68">
        <f>+INDEX(Sheet1!C:C, MATCH(Hoja1!G68, Sheet1!D:D, 0))</f>
        <v>68056</v>
      </c>
      <c r="I68">
        <f>+INDEX(Sheet1!G:G, MATCH(Hoja1!G68, Sheet1!I:I, 0))</f>
        <v>100950</v>
      </c>
      <c r="J68" s="2">
        <f>+INDEX(Sheet1!H:H, MATCH(Hoja1!G68, Sheet1!I:I, 0))</f>
        <v>6.4850952511550389E-2</v>
      </c>
      <c r="K68" s="2">
        <f>+INDEX(Sheet1!L:L, MATCH(Hoja1!G68,Sheet1!M:M, 0))</f>
        <v>10.1</v>
      </c>
    </row>
    <row r="69" spans="1:11" ht="16" x14ac:dyDescent="0.25">
      <c r="A69" t="s">
        <v>40</v>
      </c>
      <c r="B69">
        <v>8</v>
      </c>
      <c r="C69">
        <v>2023</v>
      </c>
      <c r="D69" t="s">
        <v>69</v>
      </c>
      <c r="E69">
        <v>4.4000000000000004</v>
      </c>
      <c r="F69">
        <v>733406</v>
      </c>
      <c r="G69" s="1" t="str">
        <f t="shared" si="1"/>
        <v>Alaska2023</v>
      </c>
      <c r="H69">
        <f>+INDEX(Sheet1!C:C, MATCH(Hoja1!G69, Sheet1!D:D, 0))</f>
        <v>68056</v>
      </c>
      <c r="I69">
        <f>+INDEX(Sheet1!G:G, MATCH(Hoja1!G69, Sheet1!I:I, 0))</f>
        <v>100950</v>
      </c>
      <c r="J69" s="2">
        <f>+INDEX(Sheet1!H:H, MATCH(Hoja1!G69, Sheet1!I:I, 0))</f>
        <v>6.4850952511550389E-2</v>
      </c>
      <c r="K69" s="2">
        <f>+INDEX(Sheet1!L:L, MATCH(Hoja1!G69,Sheet1!M:M, 0))</f>
        <v>10.1</v>
      </c>
    </row>
    <row r="70" spans="1:11" ht="16" x14ac:dyDescent="0.25">
      <c r="A70" t="s">
        <v>40</v>
      </c>
      <c r="B70">
        <v>9</v>
      </c>
      <c r="C70">
        <v>2023</v>
      </c>
      <c r="D70" t="s">
        <v>67</v>
      </c>
      <c r="E70">
        <v>4.5</v>
      </c>
      <c r="F70">
        <v>733406</v>
      </c>
      <c r="G70" s="1" t="str">
        <f t="shared" si="1"/>
        <v>Alaska2023</v>
      </c>
      <c r="H70">
        <f>+INDEX(Sheet1!C:C, MATCH(Hoja1!G70, Sheet1!D:D, 0))</f>
        <v>68056</v>
      </c>
      <c r="I70">
        <f>+INDEX(Sheet1!G:G, MATCH(Hoja1!G70, Sheet1!I:I, 0))</f>
        <v>100950</v>
      </c>
      <c r="J70" s="2">
        <f>+INDEX(Sheet1!H:H, MATCH(Hoja1!G70, Sheet1!I:I, 0))</f>
        <v>6.4850952511550389E-2</v>
      </c>
      <c r="K70" s="2">
        <f>+INDEX(Sheet1!L:L, MATCH(Hoja1!G70,Sheet1!M:M, 0))</f>
        <v>10.1</v>
      </c>
    </row>
    <row r="71" spans="1:11" ht="16" x14ac:dyDescent="0.25">
      <c r="A71" t="s">
        <v>40</v>
      </c>
      <c r="B71">
        <v>10</v>
      </c>
      <c r="C71">
        <v>2023</v>
      </c>
      <c r="D71" t="s">
        <v>70</v>
      </c>
      <c r="E71">
        <v>4.5999999999999996</v>
      </c>
      <c r="F71">
        <v>733406</v>
      </c>
      <c r="G71" s="1" t="str">
        <f t="shared" si="1"/>
        <v>Alaska2023</v>
      </c>
      <c r="H71">
        <f>+INDEX(Sheet1!C:C, MATCH(Hoja1!G71, Sheet1!D:D, 0))</f>
        <v>68056</v>
      </c>
      <c r="I71">
        <f>+INDEX(Sheet1!G:G, MATCH(Hoja1!G71, Sheet1!I:I, 0))</f>
        <v>100950</v>
      </c>
      <c r="J71" s="2">
        <f>+INDEX(Sheet1!H:H, MATCH(Hoja1!G71, Sheet1!I:I, 0))</f>
        <v>6.4850952511550389E-2</v>
      </c>
      <c r="K71" s="2">
        <f>+INDEX(Sheet1!L:L, MATCH(Hoja1!G71,Sheet1!M:M, 0))</f>
        <v>10.1</v>
      </c>
    </row>
    <row r="72" spans="1:11" ht="16" x14ac:dyDescent="0.25">
      <c r="A72" t="s">
        <v>40</v>
      </c>
      <c r="B72">
        <v>11</v>
      </c>
      <c r="C72">
        <v>2023</v>
      </c>
      <c r="D72" t="s">
        <v>71</v>
      </c>
      <c r="E72">
        <v>4.5999999999999996</v>
      </c>
      <c r="F72">
        <v>733406</v>
      </c>
      <c r="G72" s="1" t="str">
        <f t="shared" si="1"/>
        <v>Alaska2023</v>
      </c>
      <c r="H72">
        <f>+INDEX(Sheet1!C:C, MATCH(Hoja1!G72, Sheet1!D:D, 0))</f>
        <v>68056</v>
      </c>
      <c r="I72">
        <f>+INDEX(Sheet1!G:G, MATCH(Hoja1!G72, Sheet1!I:I, 0))</f>
        <v>100950</v>
      </c>
      <c r="J72" s="2">
        <f>+INDEX(Sheet1!H:H, MATCH(Hoja1!G72, Sheet1!I:I, 0))</f>
        <v>6.4850952511550389E-2</v>
      </c>
      <c r="K72" s="2">
        <f>+INDEX(Sheet1!L:L, MATCH(Hoja1!G72,Sheet1!M:M, 0))</f>
        <v>10.1</v>
      </c>
    </row>
    <row r="73" spans="1:11" ht="16" x14ac:dyDescent="0.25">
      <c r="A73" t="s">
        <v>40</v>
      </c>
      <c r="B73">
        <v>12</v>
      </c>
      <c r="C73">
        <v>2023</v>
      </c>
      <c r="D73" t="s">
        <v>72</v>
      </c>
      <c r="E73">
        <v>4.5999999999999996</v>
      </c>
      <c r="F73">
        <v>733406</v>
      </c>
      <c r="G73" s="1" t="str">
        <f t="shared" si="1"/>
        <v>Alaska2023</v>
      </c>
      <c r="H73">
        <f>+INDEX(Sheet1!C:C, MATCH(Hoja1!G73, Sheet1!D:D, 0))</f>
        <v>68056</v>
      </c>
      <c r="I73">
        <f>+INDEX(Sheet1!G:G, MATCH(Hoja1!G73, Sheet1!I:I, 0))</f>
        <v>100950</v>
      </c>
      <c r="J73" s="2">
        <f>+INDEX(Sheet1!H:H, MATCH(Hoja1!G73, Sheet1!I:I, 0))</f>
        <v>6.4850952511550389E-2</v>
      </c>
      <c r="K73" s="2">
        <f>+INDEX(Sheet1!L:L, MATCH(Hoja1!G73,Sheet1!M:M, 0))</f>
        <v>10.1</v>
      </c>
    </row>
    <row r="74" spans="1:11" ht="16" x14ac:dyDescent="0.25">
      <c r="A74" t="s">
        <v>73</v>
      </c>
      <c r="B74">
        <v>1</v>
      </c>
      <c r="C74">
        <v>2021</v>
      </c>
      <c r="D74" t="s">
        <v>74</v>
      </c>
      <c r="E74">
        <v>6.4</v>
      </c>
      <c r="F74">
        <v>7272487</v>
      </c>
      <c r="G74" s="1" t="str">
        <f t="shared" si="1"/>
        <v>Arizona2021</v>
      </c>
      <c r="H74">
        <f>+INDEX(Sheet1!C:C, MATCH(Hoja1!G74, Sheet1!D:D, 0))</f>
        <v>436778.6</v>
      </c>
      <c r="I74">
        <f>+INDEX(Sheet1!G:G, MATCH(Hoja1!G74, Sheet1!I:I, 0))</f>
        <v>118594</v>
      </c>
      <c r="J74" s="2">
        <f>+INDEX(Sheet1!H:H, MATCH(Hoja1!G74, Sheet1!I:I, 0))</f>
        <v>8.2210156499520917E-2</v>
      </c>
      <c r="K74" s="2">
        <f>+INDEX(Sheet1!L:L, MATCH(Hoja1!G74,Sheet1!M:M, 0))</f>
        <v>12.6</v>
      </c>
    </row>
    <row r="75" spans="1:11" ht="16" x14ac:dyDescent="0.25">
      <c r="A75" t="s">
        <v>73</v>
      </c>
      <c r="B75">
        <v>2</v>
      </c>
      <c r="C75">
        <v>2021</v>
      </c>
      <c r="D75" t="s">
        <v>75</v>
      </c>
      <c r="E75">
        <v>6.2</v>
      </c>
      <c r="F75">
        <v>7272487</v>
      </c>
      <c r="G75" s="1" t="str">
        <f t="shared" si="1"/>
        <v>Arizona2021</v>
      </c>
      <c r="H75">
        <f>+INDEX(Sheet1!C:C, MATCH(Hoja1!G75, Sheet1!D:D, 0))</f>
        <v>436778.6</v>
      </c>
      <c r="I75">
        <f>+INDEX(Sheet1!G:G, MATCH(Hoja1!G75, Sheet1!I:I, 0))</f>
        <v>118594</v>
      </c>
      <c r="J75" s="2">
        <f>+INDEX(Sheet1!H:H, MATCH(Hoja1!G75, Sheet1!I:I, 0))</f>
        <v>8.2210156499520917E-2</v>
      </c>
      <c r="K75" s="2">
        <f>+INDEX(Sheet1!L:L, MATCH(Hoja1!G75,Sheet1!M:M, 0))</f>
        <v>12.6</v>
      </c>
    </row>
    <row r="76" spans="1:11" ht="16" x14ac:dyDescent="0.25">
      <c r="A76" t="s">
        <v>73</v>
      </c>
      <c r="B76">
        <v>3</v>
      </c>
      <c r="C76">
        <v>2021</v>
      </c>
      <c r="D76" t="s">
        <v>76</v>
      </c>
      <c r="E76">
        <v>6</v>
      </c>
      <c r="F76">
        <v>7272487</v>
      </c>
      <c r="G76" s="1" t="str">
        <f t="shared" si="1"/>
        <v>Arizona2021</v>
      </c>
      <c r="H76">
        <f>+INDEX(Sheet1!C:C, MATCH(Hoja1!G76, Sheet1!D:D, 0))</f>
        <v>436778.6</v>
      </c>
      <c r="I76">
        <f>+INDEX(Sheet1!G:G, MATCH(Hoja1!G76, Sheet1!I:I, 0))</f>
        <v>118594</v>
      </c>
      <c r="J76" s="2">
        <f>+INDEX(Sheet1!H:H, MATCH(Hoja1!G76, Sheet1!I:I, 0))</f>
        <v>8.2210156499520917E-2</v>
      </c>
      <c r="K76" s="2">
        <f>+INDEX(Sheet1!L:L, MATCH(Hoja1!G76,Sheet1!M:M, 0))</f>
        <v>12.6</v>
      </c>
    </row>
    <row r="77" spans="1:11" ht="16" x14ac:dyDescent="0.25">
      <c r="A77" t="s">
        <v>73</v>
      </c>
      <c r="B77">
        <v>4</v>
      </c>
      <c r="C77">
        <v>2021</v>
      </c>
      <c r="D77" t="s">
        <v>77</v>
      </c>
      <c r="E77">
        <v>5.8</v>
      </c>
      <c r="F77">
        <v>7272487</v>
      </c>
      <c r="G77" s="1" t="str">
        <f t="shared" si="1"/>
        <v>Arizona2021</v>
      </c>
      <c r="H77">
        <f>+INDEX(Sheet1!C:C, MATCH(Hoja1!G77, Sheet1!D:D, 0))</f>
        <v>436778.6</v>
      </c>
      <c r="I77">
        <f>+INDEX(Sheet1!G:G, MATCH(Hoja1!G77, Sheet1!I:I, 0))</f>
        <v>118594</v>
      </c>
      <c r="J77" s="2">
        <f>+INDEX(Sheet1!H:H, MATCH(Hoja1!G77, Sheet1!I:I, 0))</f>
        <v>8.2210156499520917E-2</v>
      </c>
      <c r="K77" s="2">
        <f>+INDEX(Sheet1!L:L, MATCH(Hoja1!G77,Sheet1!M:M, 0))</f>
        <v>12.6</v>
      </c>
    </row>
    <row r="78" spans="1:11" ht="16" x14ac:dyDescent="0.25">
      <c r="A78" t="s">
        <v>73</v>
      </c>
      <c r="B78">
        <v>5</v>
      </c>
      <c r="C78">
        <v>2021</v>
      </c>
      <c r="D78" t="s">
        <v>78</v>
      </c>
      <c r="E78">
        <v>5.5</v>
      </c>
      <c r="F78">
        <v>7272487</v>
      </c>
      <c r="G78" s="1" t="str">
        <f t="shared" si="1"/>
        <v>Arizona2021</v>
      </c>
      <c r="H78">
        <f>+INDEX(Sheet1!C:C, MATCH(Hoja1!G78, Sheet1!D:D, 0))</f>
        <v>436778.6</v>
      </c>
      <c r="I78">
        <f>+INDEX(Sheet1!G:G, MATCH(Hoja1!G78, Sheet1!I:I, 0))</f>
        <v>118594</v>
      </c>
      <c r="J78" s="2">
        <f>+INDEX(Sheet1!H:H, MATCH(Hoja1!G78, Sheet1!I:I, 0))</f>
        <v>8.2210156499520917E-2</v>
      </c>
      <c r="K78" s="2">
        <f>+INDEX(Sheet1!L:L, MATCH(Hoja1!G78,Sheet1!M:M, 0))</f>
        <v>12.6</v>
      </c>
    </row>
    <row r="79" spans="1:11" ht="16" x14ac:dyDescent="0.25">
      <c r="A79" t="s">
        <v>73</v>
      </c>
      <c r="B79">
        <v>6</v>
      </c>
      <c r="C79">
        <v>2021</v>
      </c>
      <c r="D79" t="s">
        <v>79</v>
      </c>
      <c r="E79">
        <v>5.3</v>
      </c>
      <c r="F79">
        <v>7272487</v>
      </c>
      <c r="G79" s="1" t="str">
        <f t="shared" si="1"/>
        <v>Arizona2021</v>
      </c>
      <c r="H79">
        <f>+INDEX(Sheet1!C:C, MATCH(Hoja1!G79, Sheet1!D:D, 0))</f>
        <v>436778.6</v>
      </c>
      <c r="I79">
        <f>+INDEX(Sheet1!G:G, MATCH(Hoja1!G79, Sheet1!I:I, 0))</f>
        <v>118594</v>
      </c>
      <c r="J79" s="2">
        <f>+INDEX(Sheet1!H:H, MATCH(Hoja1!G79, Sheet1!I:I, 0))</f>
        <v>8.2210156499520917E-2</v>
      </c>
      <c r="K79" s="2">
        <f>+INDEX(Sheet1!L:L, MATCH(Hoja1!G79,Sheet1!M:M, 0))</f>
        <v>12.6</v>
      </c>
    </row>
    <row r="80" spans="1:11" ht="16" x14ac:dyDescent="0.25">
      <c r="A80" t="s">
        <v>73</v>
      </c>
      <c r="B80">
        <v>7</v>
      </c>
      <c r="C80">
        <v>2021</v>
      </c>
      <c r="D80" t="s">
        <v>80</v>
      </c>
      <c r="E80">
        <v>5</v>
      </c>
      <c r="F80">
        <v>7272487</v>
      </c>
      <c r="G80" s="1" t="str">
        <f t="shared" si="1"/>
        <v>Arizona2021</v>
      </c>
      <c r="H80">
        <f>+INDEX(Sheet1!C:C, MATCH(Hoja1!G80, Sheet1!D:D, 0))</f>
        <v>436778.6</v>
      </c>
      <c r="I80">
        <f>+INDEX(Sheet1!G:G, MATCH(Hoja1!G80, Sheet1!I:I, 0))</f>
        <v>118594</v>
      </c>
      <c r="J80" s="2">
        <f>+INDEX(Sheet1!H:H, MATCH(Hoja1!G80, Sheet1!I:I, 0))</f>
        <v>8.2210156499520917E-2</v>
      </c>
      <c r="K80" s="2">
        <f>+INDEX(Sheet1!L:L, MATCH(Hoja1!G80,Sheet1!M:M, 0))</f>
        <v>12.6</v>
      </c>
    </row>
    <row r="81" spans="1:11" ht="16" x14ac:dyDescent="0.25">
      <c r="A81" t="s">
        <v>73</v>
      </c>
      <c r="B81">
        <v>8</v>
      </c>
      <c r="C81">
        <v>2021</v>
      </c>
      <c r="D81" t="s">
        <v>81</v>
      </c>
      <c r="E81">
        <v>4.5999999999999996</v>
      </c>
      <c r="F81">
        <v>7272487</v>
      </c>
      <c r="G81" s="1" t="str">
        <f t="shared" si="1"/>
        <v>Arizona2021</v>
      </c>
      <c r="H81">
        <f>+INDEX(Sheet1!C:C, MATCH(Hoja1!G81, Sheet1!D:D, 0))</f>
        <v>436778.6</v>
      </c>
      <c r="I81">
        <f>+INDEX(Sheet1!G:G, MATCH(Hoja1!G81, Sheet1!I:I, 0))</f>
        <v>118594</v>
      </c>
      <c r="J81" s="2">
        <f>+INDEX(Sheet1!H:H, MATCH(Hoja1!G81, Sheet1!I:I, 0))</f>
        <v>8.2210156499520917E-2</v>
      </c>
      <c r="K81" s="2">
        <f>+INDEX(Sheet1!L:L, MATCH(Hoja1!G81,Sheet1!M:M, 0))</f>
        <v>12.6</v>
      </c>
    </row>
    <row r="82" spans="1:11" ht="16" x14ac:dyDescent="0.25">
      <c r="A82" t="s">
        <v>73</v>
      </c>
      <c r="B82">
        <v>9</v>
      </c>
      <c r="C82">
        <v>2021</v>
      </c>
      <c r="D82" t="s">
        <v>82</v>
      </c>
      <c r="E82">
        <v>4.3</v>
      </c>
      <c r="F82">
        <v>7272487</v>
      </c>
      <c r="G82" s="1" t="str">
        <f t="shared" si="1"/>
        <v>Arizona2021</v>
      </c>
      <c r="H82">
        <f>+INDEX(Sheet1!C:C, MATCH(Hoja1!G82, Sheet1!D:D, 0))</f>
        <v>436778.6</v>
      </c>
      <c r="I82">
        <f>+INDEX(Sheet1!G:G, MATCH(Hoja1!G82, Sheet1!I:I, 0))</f>
        <v>118594</v>
      </c>
      <c r="J82" s="2">
        <f>+INDEX(Sheet1!H:H, MATCH(Hoja1!G82, Sheet1!I:I, 0))</f>
        <v>8.2210156499520917E-2</v>
      </c>
      <c r="K82" s="2">
        <f>+INDEX(Sheet1!L:L, MATCH(Hoja1!G82,Sheet1!M:M, 0))</f>
        <v>12.6</v>
      </c>
    </row>
    <row r="83" spans="1:11" ht="16" x14ac:dyDescent="0.25">
      <c r="A83" t="s">
        <v>73</v>
      </c>
      <c r="B83">
        <v>10</v>
      </c>
      <c r="C83">
        <v>2021</v>
      </c>
      <c r="D83" t="s">
        <v>83</v>
      </c>
      <c r="E83">
        <v>4.0999999999999996</v>
      </c>
      <c r="F83">
        <v>7272487</v>
      </c>
      <c r="G83" s="1" t="str">
        <f t="shared" si="1"/>
        <v>Arizona2021</v>
      </c>
      <c r="H83">
        <f>+INDEX(Sheet1!C:C, MATCH(Hoja1!G83, Sheet1!D:D, 0))</f>
        <v>436778.6</v>
      </c>
      <c r="I83">
        <f>+INDEX(Sheet1!G:G, MATCH(Hoja1!G83, Sheet1!I:I, 0))</f>
        <v>118594</v>
      </c>
      <c r="J83" s="2">
        <f>+INDEX(Sheet1!H:H, MATCH(Hoja1!G83, Sheet1!I:I, 0))</f>
        <v>8.2210156499520917E-2</v>
      </c>
      <c r="K83" s="2">
        <f>+INDEX(Sheet1!L:L, MATCH(Hoja1!G83,Sheet1!M:M, 0))</f>
        <v>12.6</v>
      </c>
    </row>
    <row r="84" spans="1:11" ht="16" x14ac:dyDescent="0.25">
      <c r="A84" t="s">
        <v>73</v>
      </c>
      <c r="B84">
        <v>11</v>
      </c>
      <c r="C84">
        <v>2021</v>
      </c>
      <c r="D84" t="s">
        <v>84</v>
      </c>
      <c r="E84">
        <v>3.9</v>
      </c>
      <c r="F84">
        <v>7272487</v>
      </c>
      <c r="G84" s="1" t="str">
        <f t="shared" si="1"/>
        <v>Arizona2021</v>
      </c>
      <c r="H84">
        <f>+INDEX(Sheet1!C:C, MATCH(Hoja1!G84, Sheet1!D:D, 0))</f>
        <v>436778.6</v>
      </c>
      <c r="I84">
        <f>+INDEX(Sheet1!G:G, MATCH(Hoja1!G84, Sheet1!I:I, 0))</f>
        <v>118594</v>
      </c>
      <c r="J84" s="2">
        <f>+INDEX(Sheet1!H:H, MATCH(Hoja1!G84, Sheet1!I:I, 0))</f>
        <v>8.2210156499520917E-2</v>
      </c>
      <c r="K84" s="2">
        <f>+INDEX(Sheet1!L:L, MATCH(Hoja1!G84,Sheet1!M:M, 0))</f>
        <v>12.6</v>
      </c>
    </row>
    <row r="85" spans="1:11" ht="16" x14ac:dyDescent="0.25">
      <c r="A85" t="s">
        <v>73</v>
      </c>
      <c r="B85">
        <v>12</v>
      </c>
      <c r="C85">
        <v>2021</v>
      </c>
      <c r="D85" t="s">
        <v>85</v>
      </c>
      <c r="E85">
        <v>3.7</v>
      </c>
      <c r="F85">
        <v>7272487</v>
      </c>
      <c r="G85" s="1" t="str">
        <f t="shared" si="1"/>
        <v>Arizona2021</v>
      </c>
      <c r="H85">
        <f>+INDEX(Sheet1!C:C, MATCH(Hoja1!G85, Sheet1!D:D, 0))</f>
        <v>436778.6</v>
      </c>
      <c r="I85">
        <f>+INDEX(Sheet1!G:G, MATCH(Hoja1!G85, Sheet1!I:I, 0))</f>
        <v>118594</v>
      </c>
      <c r="J85" s="2">
        <f>+INDEX(Sheet1!H:H, MATCH(Hoja1!G85, Sheet1!I:I, 0))</f>
        <v>8.2210156499520917E-2</v>
      </c>
      <c r="K85" s="2">
        <f>+INDEX(Sheet1!L:L, MATCH(Hoja1!G85,Sheet1!M:M, 0))</f>
        <v>12.6</v>
      </c>
    </row>
    <row r="86" spans="1:11" ht="16" x14ac:dyDescent="0.25">
      <c r="A86" t="s">
        <v>73</v>
      </c>
      <c r="B86">
        <v>1</v>
      </c>
      <c r="C86">
        <v>2022</v>
      </c>
      <c r="D86" t="s">
        <v>86</v>
      </c>
      <c r="E86">
        <v>3.7</v>
      </c>
      <c r="F86">
        <v>7365684</v>
      </c>
      <c r="G86" s="1" t="str">
        <f t="shared" si="1"/>
        <v>Arizona2022</v>
      </c>
      <c r="H86">
        <f>+INDEX(Sheet1!C:C, MATCH(Hoja1!G86, Sheet1!D:D, 0))</f>
        <v>484052.2</v>
      </c>
      <c r="I86">
        <f>+INDEX(Sheet1!G:G, MATCH(Hoja1!G86, Sheet1!I:I, 0))</f>
        <v>123155</v>
      </c>
      <c r="J86" s="2">
        <f>+INDEX(Sheet1!H:H, MATCH(Hoja1!G86, Sheet1!I:I, 0))</f>
        <v>3.8458943960065432E-2</v>
      </c>
      <c r="K86" s="2">
        <f>+INDEX(Sheet1!L:L, MATCH(Hoja1!G86,Sheet1!M:M, 0))</f>
        <v>12.7</v>
      </c>
    </row>
    <row r="87" spans="1:11" ht="16" x14ac:dyDescent="0.25">
      <c r="A87" t="s">
        <v>73</v>
      </c>
      <c r="B87">
        <v>2</v>
      </c>
      <c r="C87">
        <v>2022</v>
      </c>
      <c r="D87" t="s">
        <v>87</v>
      </c>
      <c r="E87">
        <v>3.6</v>
      </c>
      <c r="F87">
        <v>7365684</v>
      </c>
      <c r="G87" s="1" t="str">
        <f t="shared" si="1"/>
        <v>Arizona2022</v>
      </c>
      <c r="H87">
        <f>+INDEX(Sheet1!C:C, MATCH(Hoja1!G87, Sheet1!D:D, 0))</f>
        <v>484052.2</v>
      </c>
      <c r="I87">
        <f>+INDEX(Sheet1!G:G, MATCH(Hoja1!G87, Sheet1!I:I, 0))</f>
        <v>123155</v>
      </c>
      <c r="J87" s="2">
        <f>+INDEX(Sheet1!H:H, MATCH(Hoja1!G87, Sheet1!I:I, 0))</f>
        <v>3.8458943960065432E-2</v>
      </c>
      <c r="K87" s="2">
        <f>+INDEX(Sheet1!L:L, MATCH(Hoja1!G87,Sheet1!M:M, 0))</f>
        <v>12.7</v>
      </c>
    </row>
    <row r="88" spans="1:11" ht="16" x14ac:dyDescent="0.25">
      <c r="A88" t="s">
        <v>73</v>
      </c>
      <c r="B88">
        <v>3</v>
      </c>
      <c r="C88">
        <v>2022</v>
      </c>
      <c r="D88" t="s">
        <v>88</v>
      </c>
      <c r="E88">
        <v>3.6</v>
      </c>
      <c r="F88">
        <v>7365684</v>
      </c>
      <c r="G88" s="1" t="str">
        <f t="shared" si="1"/>
        <v>Arizona2022</v>
      </c>
      <c r="H88">
        <f>+INDEX(Sheet1!C:C, MATCH(Hoja1!G88, Sheet1!D:D, 0))</f>
        <v>484052.2</v>
      </c>
      <c r="I88">
        <f>+INDEX(Sheet1!G:G, MATCH(Hoja1!G88, Sheet1!I:I, 0))</f>
        <v>123155</v>
      </c>
      <c r="J88" s="2">
        <f>+INDEX(Sheet1!H:H, MATCH(Hoja1!G88, Sheet1!I:I, 0))</f>
        <v>3.8458943960065432E-2</v>
      </c>
      <c r="K88" s="2">
        <f>+INDEX(Sheet1!L:L, MATCH(Hoja1!G88,Sheet1!M:M, 0))</f>
        <v>12.7</v>
      </c>
    </row>
    <row r="89" spans="1:11" ht="16" x14ac:dyDescent="0.25">
      <c r="A89" t="s">
        <v>73</v>
      </c>
      <c r="B89">
        <v>4</v>
      </c>
      <c r="C89">
        <v>2022</v>
      </c>
      <c r="D89" t="s">
        <v>89</v>
      </c>
      <c r="E89">
        <v>3.6</v>
      </c>
      <c r="F89">
        <v>7365684</v>
      </c>
      <c r="G89" s="1" t="str">
        <f t="shared" si="1"/>
        <v>Arizona2022</v>
      </c>
      <c r="H89">
        <f>+INDEX(Sheet1!C:C, MATCH(Hoja1!G89, Sheet1!D:D, 0))</f>
        <v>484052.2</v>
      </c>
      <c r="I89">
        <f>+INDEX(Sheet1!G:G, MATCH(Hoja1!G89, Sheet1!I:I, 0))</f>
        <v>123155</v>
      </c>
      <c r="J89" s="2">
        <f>+INDEX(Sheet1!H:H, MATCH(Hoja1!G89, Sheet1!I:I, 0))</f>
        <v>3.8458943960065432E-2</v>
      </c>
      <c r="K89" s="2">
        <f>+INDEX(Sheet1!L:L, MATCH(Hoja1!G89,Sheet1!M:M, 0))</f>
        <v>12.7</v>
      </c>
    </row>
    <row r="90" spans="1:11" ht="16" x14ac:dyDescent="0.25">
      <c r="A90" t="s">
        <v>73</v>
      </c>
      <c r="B90">
        <v>5</v>
      </c>
      <c r="C90">
        <v>2022</v>
      </c>
      <c r="D90" t="s">
        <v>90</v>
      </c>
      <c r="E90">
        <v>3.7</v>
      </c>
      <c r="F90">
        <v>7365684</v>
      </c>
      <c r="G90" s="1" t="str">
        <f t="shared" si="1"/>
        <v>Arizona2022</v>
      </c>
      <c r="H90">
        <f>+INDEX(Sheet1!C:C, MATCH(Hoja1!G90, Sheet1!D:D, 0))</f>
        <v>484052.2</v>
      </c>
      <c r="I90">
        <f>+INDEX(Sheet1!G:G, MATCH(Hoja1!G90, Sheet1!I:I, 0))</f>
        <v>123155</v>
      </c>
      <c r="J90" s="2">
        <f>+INDEX(Sheet1!H:H, MATCH(Hoja1!G90, Sheet1!I:I, 0))</f>
        <v>3.8458943960065432E-2</v>
      </c>
      <c r="K90" s="2">
        <f>+INDEX(Sheet1!L:L, MATCH(Hoja1!G90,Sheet1!M:M, 0))</f>
        <v>12.7</v>
      </c>
    </row>
    <row r="91" spans="1:11" ht="16" x14ac:dyDescent="0.25">
      <c r="A91" t="s">
        <v>73</v>
      </c>
      <c r="B91">
        <v>6</v>
      </c>
      <c r="C91">
        <v>2022</v>
      </c>
      <c r="D91" t="s">
        <v>91</v>
      </c>
      <c r="E91">
        <v>3.7</v>
      </c>
      <c r="F91">
        <v>7365684</v>
      </c>
      <c r="G91" s="1" t="str">
        <f t="shared" si="1"/>
        <v>Arizona2022</v>
      </c>
      <c r="H91">
        <f>+INDEX(Sheet1!C:C, MATCH(Hoja1!G91, Sheet1!D:D, 0))</f>
        <v>484052.2</v>
      </c>
      <c r="I91">
        <f>+INDEX(Sheet1!G:G, MATCH(Hoja1!G91, Sheet1!I:I, 0))</f>
        <v>123155</v>
      </c>
      <c r="J91" s="2">
        <f>+INDEX(Sheet1!H:H, MATCH(Hoja1!G91, Sheet1!I:I, 0))</f>
        <v>3.8458943960065432E-2</v>
      </c>
      <c r="K91" s="2">
        <f>+INDEX(Sheet1!L:L, MATCH(Hoja1!G91,Sheet1!M:M, 0))</f>
        <v>12.7</v>
      </c>
    </row>
    <row r="92" spans="1:11" ht="16" x14ac:dyDescent="0.25">
      <c r="A92" t="s">
        <v>73</v>
      </c>
      <c r="B92">
        <v>7</v>
      </c>
      <c r="C92">
        <v>2022</v>
      </c>
      <c r="D92" t="s">
        <v>92</v>
      </c>
      <c r="E92">
        <v>3.8</v>
      </c>
      <c r="F92">
        <v>7365684</v>
      </c>
      <c r="G92" s="1" t="str">
        <f t="shared" si="1"/>
        <v>Arizona2022</v>
      </c>
      <c r="H92">
        <f>+INDEX(Sheet1!C:C, MATCH(Hoja1!G92, Sheet1!D:D, 0))</f>
        <v>484052.2</v>
      </c>
      <c r="I92">
        <f>+INDEX(Sheet1!G:G, MATCH(Hoja1!G92, Sheet1!I:I, 0))</f>
        <v>123155</v>
      </c>
      <c r="J92" s="2">
        <f>+INDEX(Sheet1!H:H, MATCH(Hoja1!G92, Sheet1!I:I, 0))</f>
        <v>3.8458943960065432E-2</v>
      </c>
      <c r="K92" s="2">
        <f>+INDEX(Sheet1!L:L, MATCH(Hoja1!G92,Sheet1!M:M, 0))</f>
        <v>12.7</v>
      </c>
    </row>
    <row r="93" spans="1:11" ht="16" x14ac:dyDescent="0.25">
      <c r="A93" t="s">
        <v>73</v>
      </c>
      <c r="B93">
        <v>8</v>
      </c>
      <c r="C93">
        <v>2022</v>
      </c>
      <c r="D93" t="s">
        <v>93</v>
      </c>
      <c r="E93">
        <v>3.9</v>
      </c>
      <c r="F93">
        <v>7365684</v>
      </c>
      <c r="G93" s="1" t="str">
        <f t="shared" si="1"/>
        <v>Arizona2022</v>
      </c>
      <c r="H93">
        <f>+INDEX(Sheet1!C:C, MATCH(Hoja1!G93, Sheet1!D:D, 0))</f>
        <v>484052.2</v>
      </c>
      <c r="I93">
        <f>+INDEX(Sheet1!G:G, MATCH(Hoja1!G93, Sheet1!I:I, 0))</f>
        <v>123155</v>
      </c>
      <c r="J93" s="2">
        <f>+INDEX(Sheet1!H:H, MATCH(Hoja1!G93, Sheet1!I:I, 0))</f>
        <v>3.8458943960065432E-2</v>
      </c>
      <c r="K93" s="2">
        <f>+INDEX(Sheet1!L:L, MATCH(Hoja1!G93,Sheet1!M:M, 0))</f>
        <v>12.7</v>
      </c>
    </row>
    <row r="94" spans="1:11" ht="16" x14ac:dyDescent="0.25">
      <c r="A94" t="s">
        <v>73</v>
      </c>
      <c r="B94">
        <v>9</v>
      </c>
      <c r="C94">
        <v>2022</v>
      </c>
      <c r="D94" t="s">
        <v>94</v>
      </c>
      <c r="E94">
        <v>4</v>
      </c>
      <c r="F94">
        <v>7365684</v>
      </c>
      <c r="G94" s="1" t="str">
        <f t="shared" si="1"/>
        <v>Arizona2022</v>
      </c>
      <c r="H94">
        <f>+INDEX(Sheet1!C:C, MATCH(Hoja1!G94, Sheet1!D:D, 0))</f>
        <v>484052.2</v>
      </c>
      <c r="I94">
        <f>+INDEX(Sheet1!G:G, MATCH(Hoja1!G94, Sheet1!I:I, 0))</f>
        <v>123155</v>
      </c>
      <c r="J94" s="2">
        <f>+INDEX(Sheet1!H:H, MATCH(Hoja1!G94, Sheet1!I:I, 0))</f>
        <v>3.8458943960065432E-2</v>
      </c>
      <c r="K94" s="2">
        <f>+INDEX(Sheet1!L:L, MATCH(Hoja1!G94,Sheet1!M:M, 0))</f>
        <v>12.7</v>
      </c>
    </row>
    <row r="95" spans="1:11" ht="16" x14ac:dyDescent="0.25">
      <c r="A95" t="s">
        <v>73</v>
      </c>
      <c r="B95">
        <v>10</v>
      </c>
      <c r="C95">
        <v>2022</v>
      </c>
      <c r="D95" t="s">
        <v>95</v>
      </c>
      <c r="E95">
        <v>4</v>
      </c>
      <c r="F95">
        <v>7365684</v>
      </c>
      <c r="G95" s="1" t="str">
        <f t="shared" si="1"/>
        <v>Arizona2022</v>
      </c>
      <c r="H95">
        <f>+INDEX(Sheet1!C:C, MATCH(Hoja1!G95, Sheet1!D:D, 0))</f>
        <v>484052.2</v>
      </c>
      <c r="I95">
        <f>+INDEX(Sheet1!G:G, MATCH(Hoja1!G95, Sheet1!I:I, 0))</f>
        <v>123155</v>
      </c>
      <c r="J95" s="2">
        <f>+INDEX(Sheet1!H:H, MATCH(Hoja1!G95, Sheet1!I:I, 0))</f>
        <v>3.8458943960065432E-2</v>
      </c>
      <c r="K95" s="2">
        <f>+INDEX(Sheet1!L:L, MATCH(Hoja1!G95,Sheet1!M:M, 0))</f>
        <v>12.7</v>
      </c>
    </row>
    <row r="96" spans="1:11" ht="16" x14ac:dyDescent="0.25">
      <c r="A96" t="s">
        <v>73</v>
      </c>
      <c r="B96">
        <v>11</v>
      </c>
      <c r="C96">
        <v>2022</v>
      </c>
      <c r="D96" t="s">
        <v>96</v>
      </c>
      <c r="E96">
        <v>3.9</v>
      </c>
      <c r="F96">
        <v>7365684</v>
      </c>
      <c r="G96" s="1" t="str">
        <f t="shared" si="1"/>
        <v>Arizona2022</v>
      </c>
      <c r="H96">
        <f>+INDEX(Sheet1!C:C, MATCH(Hoja1!G96, Sheet1!D:D, 0))</f>
        <v>484052.2</v>
      </c>
      <c r="I96">
        <f>+INDEX(Sheet1!G:G, MATCH(Hoja1!G96, Sheet1!I:I, 0))</f>
        <v>123155</v>
      </c>
      <c r="J96" s="2">
        <f>+INDEX(Sheet1!H:H, MATCH(Hoja1!G96, Sheet1!I:I, 0))</f>
        <v>3.8458943960065432E-2</v>
      </c>
      <c r="K96" s="2">
        <f>+INDEX(Sheet1!L:L, MATCH(Hoja1!G96,Sheet1!M:M, 0))</f>
        <v>12.7</v>
      </c>
    </row>
    <row r="97" spans="1:11" ht="16" x14ac:dyDescent="0.25">
      <c r="A97" t="s">
        <v>73</v>
      </c>
      <c r="B97">
        <v>12</v>
      </c>
      <c r="C97">
        <v>2022</v>
      </c>
      <c r="D97" t="s">
        <v>97</v>
      </c>
      <c r="E97">
        <v>3.8</v>
      </c>
      <c r="F97">
        <v>7365684</v>
      </c>
      <c r="G97" s="1" t="str">
        <f t="shared" si="1"/>
        <v>Arizona2022</v>
      </c>
      <c r="H97">
        <f>+INDEX(Sheet1!C:C, MATCH(Hoja1!G97, Sheet1!D:D, 0))</f>
        <v>484052.2</v>
      </c>
      <c r="I97">
        <f>+INDEX(Sheet1!G:G, MATCH(Hoja1!G97, Sheet1!I:I, 0))</f>
        <v>123155</v>
      </c>
      <c r="J97" s="2">
        <f>+INDEX(Sheet1!H:H, MATCH(Hoja1!G97, Sheet1!I:I, 0))</f>
        <v>3.8458943960065432E-2</v>
      </c>
      <c r="K97" s="2">
        <f>+INDEX(Sheet1!L:L, MATCH(Hoja1!G97,Sheet1!M:M, 0))</f>
        <v>12.7</v>
      </c>
    </row>
    <row r="98" spans="1:11" ht="16" x14ac:dyDescent="0.25">
      <c r="A98" t="s">
        <v>73</v>
      </c>
      <c r="B98">
        <v>1</v>
      </c>
      <c r="C98">
        <v>2023</v>
      </c>
      <c r="D98" t="s">
        <v>98</v>
      </c>
      <c r="E98">
        <v>3.7</v>
      </c>
      <c r="F98">
        <v>7431344</v>
      </c>
      <c r="G98" s="1" t="str">
        <f t="shared" si="1"/>
        <v>Arizona2023</v>
      </c>
      <c r="H98">
        <f>+INDEX(Sheet1!C:C, MATCH(Hoja1!G98, Sheet1!D:D, 0))</f>
        <v>522767.2</v>
      </c>
      <c r="I98">
        <f>+INDEX(Sheet1!G:G, MATCH(Hoja1!G98, Sheet1!I:I, 0))</f>
        <v>126809</v>
      </c>
      <c r="J98" s="2">
        <f>+INDEX(Sheet1!H:H, MATCH(Hoja1!G98, Sheet1!I:I, 0))</f>
        <v>2.966992813933661E-2</v>
      </c>
      <c r="K98" s="2">
        <f>+INDEX(Sheet1!L:L, MATCH(Hoja1!G98,Sheet1!M:M, 0))</f>
        <v>11.9</v>
      </c>
    </row>
    <row r="99" spans="1:11" ht="16" x14ac:dyDescent="0.25">
      <c r="A99" t="s">
        <v>73</v>
      </c>
      <c r="B99">
        <v>2</v>
      </c>
      <c r="C99">
        <v>2023</v>
      </c>
      <c r="D99" t="s">
        <v>99</v>
      </c>
      <c r="E99">
        <v>3.7</v>
      </c>
      <c r="F99">
        <v>7431344</v>
      </c>
      <c r="G99" s="1" t="str">
        <f t="shared" si="1"/>
        <v>Arizona2023</v>
      </c>
      <c r="H99">
        <f>+INDEX(Sheet1!C:C, MATCH(Hoja1!G99, Sheet1!D:D, 0))</f>
        <v>522767.2</v>
      </c>
      <c r="I99">
        <f>+INDEX(Sheet1!G:G, MATCH(Hoja1!G99, Sheet1!I:I, 0))</f>
        <v>126809</v>
      </c>
      <c r="J99" s="2">
        <f>+INDEX(Sheet1!H:H, MATCH(Hoja1!G99, Sheet1!I:I, 0))</f>
        <v>2.966992813933661E-2</v>
      </c>
      <c r="K99" s="2">
        <f>+INDEX(Sheet1!L:L, MATCH(Hoja1!G99,Sheet1!M:M, 0))</f>
        <v>11.9</v>
      </c>
    </row>
    <row r="100" spans="1:11" ht="16" x14ac:dyDescent="0.25">
      <c r="A100" t="s">
        <v>73</v>
      </c>
      <c r="B100">
        <v>3</v>
      </c>
      <c r="C100">
        <v>2023</v>
      </c>
      <c r="D100" t="s">
        <v>100</v>
      </c>
      <c r="E100">
        <v>3.6</v>
      </c>
      <c r="F100">
        <v>7431344</v>
      </c>
      <c r="G100" s="1" t="str">
        <f t="shared" si="1"/>
        <v>Arizona2023</v>
      </c>
      <c r="H100">
        <f>+INDEX(Sheet1!C:C, MATCH(Hoja1!G100, Sheet1!D:D, 0))</f>
        <v>522767.2</v>
      </c>
      <c r="I100">
        <f>+INDEX(Sheet1!G:G, MATCH(Hoja1!G100, Sheet1!I:I, 0))</f>
        <v>126809</v>
      </c>
      <c r="J100" s="2">
        <f>+INDEX(Sheet1!H:H, MATCH(Hoja1!G100, Sheet1!I:I, 0))</f>
        <v>2.966992813933661E-2</v>
      </c>
      <c r="K100" s="2">
        <f>+INDEX(Sheet1!L:L, MATCH(Hoja1!G100,Sheet1!M:M, 0))</f>
        <v>11.9</v>
      </c>
    </row>
    <row r="101" spans="1:11" ht="16" x14ac:dyDescent="0.25">
      <c r="A101" t="s">
        <v>73</v>
      </c>
      <c r="B101">
        <v>4</v>
      </c>
      <c r="C101">
        <v>2023</v>
      </c>
      <c r="D101" t="s">
        <v>101</v>
      </c>
      <c r="E101">
        <v>3.6</v>
      </c>
      <c r="F101">
        <v>7431344</v>
      </c>
      <c r="G101" s="1" t="str">
        <f t="shared" si="1"/>
        <v>Arizona2023</v>
      </c>
      <c r="H101">
        <f>+INDEX(Sheet1!C:C, MATCH(Hoja1!G101, Sheet1!D:D, 0))</f>
        <v>522767.2</v>
      </c>
      <c r="I101">
        <f>+INDEX(Sheet1!G:G, MATCH(Hoja1!G101, Sheet1!I:I, 0))</f>
        <v>126809</v>
      </c>
      <c r="J101" s="2">
        <f>+INDEX(Sheet1!H:H, MATCH(Hoja1!G101, Sheet1!I:I, 0))</f>
        <v>2.966992813933661E-2</v>
      </c>
      <c r="K101" s="2">
        <f>+INDEX(Sheet1!L:L, MATCH(Hoja1!G101,Sheet1!M:M, 0))</f>
        <v>11.9</v>
      </c>
    </row>
    <row r="102" spans="1:11" ht="16" x14ac:dyDescent="0.25">
      <c r="A102" t="s">
        <v>73</v>
      </c>
      <c r="B102">
        <v>5</v>
      </c>
      <c r="C102">
        <v>2023</v>
      </c>
      <c r="D102" t="s">
        <v>102</v>
      </c>
      <c r="E102">
        <v>3.7</v>
      </c>
      <c r="F102">
        <v>7431344</v>
      </c>
      <c r="G102" s="1" t="str">
        <f t="shared" si="1"/>
        <v>Arizona2023</v>
      </c>
      <c r="H102">
        <f>+INDEX(Sheet1!C:C, MATCH(Hoja1!G102, Sheet1!D:D, 0))</f>
        <v>522767.2</v>
      </c>
      <c r="I102">
        <f>+INDEX(Sheet1!G:G, MATCH(Hoja1!G102, Sheet1!I:I, 0))</f>
        <v>126809</v>
      </c>
      <c r="J102" s="2">
        <f>+INDEX(Sheet1!H:H, MATCH(Hoja1!G102, Sheet1!I:I, 0))</f>
        <v>2.966992813933661E-2</v>
      </c>
      <c r="K102" s="2">
        <f>+INDEX(Sheet1!L:L, MATCH(Hoja1!G102,Sheet1!M:M, 0))</f>
        <v>11.9</v>
      </c>
    </row>
    <row r="103" spans="1:11" ht="16" x14ac:dyDescent="0.25">
      <c r="A103" t="s">
        <v>73</v>
      </c>
      <c r="B103">
        <v>6</v>
      </c>
      <c r="C103">
        <v>2023</v>
      </c>
      <c r="D103" t="s">
        <v>103</v>
      </c>
      <c r="E103">
        <v>3.8</v>
      </c>
      <c r="F103">
        <v>7431344</v>
      </c>
      <c r="G103" s="1" t="str">
        <f t="shared" si="1"/>
        <v>Arizona2023</v>
      </c>
      <c r="H103">
        <f>+INDEX(Sheet1!C:C, MATCH(Hoja1!G103, Sheet1!D:D, 0))</f>
        <v>522767.2</v>
      </c>
      <c r="I103">
        <f>+INDEX(Sheet1!G:G, MATCH(Hoja1!G103, Sheet1!I:I, 0))</f>
        <v>126809</v>
      </c>
      <c r="J103" s="2">
        <f>+INDEX(Sheet1!H:H, MATCH(Hoja1!G103, Sheet1!I:I, 0))</f>
        <v>2.966992813933661E-2</v>
      </c>
      <c r="K103" s="2">
        <f>+INDEX(Sheet1!L:L, MATCH(Hoja1!G103,Sheet1!M:M, 0))</f>
        <v>11.9</v>
      </c>
    </row>
    <row r="104" spans="1:11" ht="16" x14ac:dyDescent="0.25">
      <c r="A104" t="s">
        <v>73</v>
      </c>
      <c r="B104">
        <v>7</v>
      </c>
      <c r="C104">
        <v>2023</v>
      </c>
      <c r="D104" t="s">
        <v>104</v>
      </c>
      <c r="E104">
        <v>3.9</v>
      </c>
      <c r="F104">
        <v>7431344</v>
      </c>
      <c r="G104" s="1" t="str">
        <f t="shared" si="1"/>
        <v>Arizona2023</v>
      </c>
      <c r="H104">
        <f>+INDEX(Sheet1!C:C, MATCH(Hoja1!G104, Sheet1!D:D, 0))</f>
        <v>522767.2</v>
      </c>
      <c r="I104">
        <f>+INDEX(Sheet1!G:G, MATCH(Hoja1!G104, Sheet1!I:I, 0))</f>
        <v>126809</v>
      </c>
      <c r="J104" s="2">
        <f>+INDEX(Sheet1!H:H, MATCH(Hoja1!G104, Sheet1!I:I, 0))</f>
        <v>2.966992813933661E-2</v>
      </c>
      <c r="K104" s="2">
        <f>+INDEX(Sheet1!L:L, MATCH(Hoja1!G104,Sheet1!M:M, 0))</f>
        <v>11.9</v>
      </c>
    </row>
    <row r="105" spans="1:11" ht="16" x14ac:dyDescent="0.25">
      <c r="A105" t="s">
        <v>73</v>
      </c>
      <c r="B105">
        <v>8</v>
      </c>
      <c r="C105">
        <v>2023</v>
      </c>
      <c r="D105" t="s">
        <v>105</v>
      </c>
      <c r="E105">
        <v>4.0999999999999996</v>
      </c>
      <c r="F105">
        <v>7431344</v>
      </c>
      <c r="G105" s="1" t="str">
        <f t="shared" si="1"/>
        <v>Arizona2023</v>
      </c>
      <c r="H105">
        <f>+INDEX(Sheet1!C:C, MATCH(Hoja1!G105, Sheet1!D:D, 0))</f>
        <v>522767.2</v>
      </c>
      <c r="I105">
        <f>+INDEX(Sheet1!G:G, MATCH(Hoja1!G105, Sheet1!I:I, 0))</f>
        <v>126809</v>
      </c>
      <c r="J105" s="2">
        <f>+INDEX(Sheet1!H:H, MATCH(Hoja1!G105, Sheet1!I:I, 0))</f>
        <v>2.966992813933661E-2</v>
      </c>
      <c r="K105" s="2">
        <f>+INDEX(Sheet1!L:L, MATCH(Hoja1!G105,Sheet1!M:M, 0))</f>
        <v>11.9</v>
      </c>
    </row>
    <row r="106" spans="1:11" ht="16" x14ac:dyDescent="0.25">
      <c r="A106" t="s">
        <v>73</v>
      </c>
      <c r="B106">
        <v>9</v>
      </c>
      <c r="C106">
        <v>2023</v>
      </c>
      <c r="D106" t="s">
        <v>106</v>
      </c>
      <c r="E106">
        <v>4.2</v>
      </c>
      <c r="F106">
        <v>7431344</v>
      </c>
      <c r="G106" s="1" t="str">
        <f t="shared" si="1"/>
        <v>Arizona2023</v>
      </c>
      <c r="H106">
        <f>+INDEX(Sheet1!C:C, MATCH(Hoja1!G106, Sheet1!D:D, 0))</f>
        <v>522767.2</v>
      </c>
      <c r="I106">
        <f>+INDEX(Sheet1!G:G, MATCH(Hoja1!G106, Sheet1!I:I, 0))</f>
        <v>126809</v>
      </c>
      <c r="J106" s="2">
        <f>+INDEX(Sheet1!H:H, MATCH(Hoja1!G106, Sheet1!I:I, 0))</f>
        <v>2.966992813933661E-2</v>
      </c>
      <c r="K106" s="2">
        <f>+INDEX(Sheet1!L:L, MATCH(Hoja1!G106,Sheet1!M:M, 0))</f>
        <v>11.9</v>
      </c>
    </row>
    <row r="107" spans="1:11" ht="16" x14ac:dyDescent="0.25">
      <c r="A107" t="s">
        <v>73</v>
      </c>
      <c r="B107">
        <v>10</v>
      </c>
      <c r="C107">
        <v>2023</v>
      </c>
      <c r="D107" t="s">
        <v>107</v>
      </c>
      <c r="E107">
        <v>4.2</v>
      </c>
      <c r="F107">
        <v>7431344</v>
      </c>
      <c r="G107" s="1" t="str">
        <f t="shared" si="1"/>
        <v>Arizona2023</v>
      </c>
      <c r="H107">
        <f>+INDEX(Sheet1!C:C, MATCH(Hoja1!G107, Sheet1!D:D, 0))</f>
        <v>522767.2</v>
      </c>
      <c r="I107">
        <f>+INDEX(Sheet1!G:G, MATCH(Hoja1!G107, Sheet1!I:I, 0))</f>
        <v>126809</v>
      </c>
      <c r="J107" s="2">
        <f>+INDEX(Sheet1!H:H, MATCH(Hoja1!G107, Sheet1!I:I, 0))</f>
        <v>2.966992813933661E-2</v>
      </c>
      <c r="K107" s="2">
        <f>+INDEX(Sheet1!L:L, MATCH(Hoja1!G107,Sheet1!M:M, 0))</f>
        <v>11.9</v>
      </c>
    </row>
    <row r="108" spans="1:11" ht="16" x14ac:dyDescent="0.25">
      <c r="A108" t="s">
        <v>73</v>
      </c>
      <c r="B108">
        <v>11</v>
      </c>
      <c r="C108">
        <v>2023</v>
      </c>
      <c r="D108" t="s">
        <v>108</v>
      </c>
      <c r="E108">
        <v>4.2</v>
      </c>
      <c r="F108">
        <v>7431344</v>
      </c>
      <c r="G108" s="1" t="str">
        <f t="shared" si="1"/>
        <v>Arizona2023</v>
      </c>
      <c r="H108">
        <f>+INDEX(Sheet1!C:C, MATCH(Hoja1!G108, Sheet1!D:D, 0))</f>
        <v>522767.2</v>
      </c>
      <c r="I108">
        <f>+INDEX(Sheet1!G:G, MATCH(Hoja1!G108, Sheet1!I:I, 0))</f>
        <v>126809</v>
      </c>
      <c r="J108" s="2">
        <f>+INDEX(Sheet1!H:H, MATCH(Hoja1!G108, Sheet1!I:I, 0))</f>
        <v>2.966992813933661E-2</v>
      </c>
      <c r="K108" s="2">
        <f>+INDEX(Sheet1!L:L, MATCH(Hoja1!G108,Sheet1!M:M, 0))</f>
        <v>11.9</v>
      </c>
    </row>
    <row r="109" spans="1:11" ht="16" x14ac:dyDescent="0.25">
      <c r="A109" t="s">
        <v>73</v>
      </c>
      <c r="B109">
        <v>12</v>
      </c>
      <c r="C109">
        <v>2023</v>
      </c>
      <c r="D109" t="s">
        <v>109</v>
      </c>
      <c r="E109">
        <v>4.2</v>
      </c>
      <c r="F109">
        <v>7431344</v>
      </c>
      <c r="G109" s="1" t="str">
        <f t="shared" si="1"/>
        <v>Arizona2023</v>
      </c>
      <c r="H109">
        <f>+INDEX(Sheet1!C:C, MATCH(Hoja1!G109, Sheet1!D:D, 0))</f>
        <v>522767.2</v>
      </c>
      <c r="I109">
        <f>+INDEX(Sheet1!G:G, MATCH(Hoja1!G109, Sheet1!I:I, 0))</f>
        <v>126809</v>
      </c>
      <c r="J109" s="2">
        <f>+INDEX(Sheet1!H:H, MATCH(Hoja1!G109, Sheet1!I:I, 0))</f>
        <v>2.966992813933661E-2</v>
      </c>
      <c r="K109" s="2">
        <f>+INDEX(Sheet1!L:L, MATCH(Hoja1!G109,Sheet1!M:M, 0))</f>
        <v>11.9</v>
      </c>
    </row>
    <row r="110" spans="1:11" ht="16" x14ac:dyDescent="0.25">
      <c r="A110" t="s">
        <v>110</v>
      </c>
      <c r="B110">
        <v>1</v>
      </c>
      <c r="C110">
        <v>2021</v>
      </c>
      <c r="D110" t="s">
        <v>111</v>
      </c>
      <c r="E110">
        <v>4.9000000000000004</v>
      </c>
      <c r="F110">
        <v>3028443</v>
      </c>
      <c r="G110" s="1" t="str">
        <f t="shared" si="1"/>
        <v>Arkansas2021</v>
      </c>
      <c r="H110">
        <f>+INDEX(Sheet1!C:C, MATCH(Hoja1!G110, Sheet1!D:D, 0))</f>
        <v>154052.5</v>
      </c>
      <c r="I110">
        <f>+INDEX(Sheet1!G:G, MATCH(Hoja1!G110, Sheet1!I:I, 0))</f>
        <v>110963</v>
      </c>
      <c r="J110" s="2">
        <f>+INDEX(Sheet1!H:H, MATCH(Hoja1!G110, Sheet1!I:I, 0))</f>
        <v>7.1081767198525075E-2</v>
      </c>
      <c r="K110" s="2">
        <f>+INDEX(Sheet1!L:L, MATCH(Hoja1!G110,Sheet1!M:M, 0))</f>
        <v>16.8</v>
      </c>
    </row>
    <row r="111" spans="1:11" ht="16" x14ac:dyDescent="0.25">
      <c r="A111" t="s">
        <v>110</v>
      </c>
      <c r="B111">
        <v>2</v>
      </c>
      <c r="C111">
        <v>2021</v>
      </c>
      <c r="D111" t="s">
        <v>112</v>
      </c>
      <c r="E111">
        <v>4.8</v>
      </c>
      <c r="F111">
        <v>3028443</v>
      </c>
      <c r="G111" s="1" t="str">
        <f t="shared" si="1"/>
        <v>Arkansas2021</v>
      </c>
      <c r="H111">
        <f>+INDEX(Sheet1!C:C, MATCH(Hoja1!G111, Sheet1!D:D, 0))</f>
        <v>154052.5</v>
      </c>
      <c r="I111">
        <f>+INDEX(Sheet1!G:G, MATCH(Hoja1!G111, Sheet1!I:I, 0))</f>
        <v>110963</v>
      </c>
      <c r="J111" s="2">
        <f>+INDEX(Sheet1!H:H, MATCH(Hoja1!G111, Sheet1!I:I, 0))</f>
        <v>7.1081767198525075E-2</v>
      </c>
      <c r="K111" s="2">
        <f>+INDEX(Sheet1!L:L, MATCH(Hoja1!G111,Sheet1!M:M, 0))</f>
        <v>16.8</v>
      </c>
    </row>
    <row r="112" spans="1:11" ht="16" x14ac:dyDescent="0.25">
      <c r="A112" t="s">
        <v>110</v>
      </c>
      <c r="B112">
        <v>3</v>
      </c>
      <c r="C112">
        <v>2021</v>
      </c>
      <c r="D112" t="s">
        <v>113</v>
      </c>
      <c r="E112">
        <v>4.7</v>
      </c>
      <c r="F112">
        <v>3028443</v>
      </c>
      <c r="G112" s="1" t="str">
        <f t="shared" si="1"/>
        <v>Arkansas2021</v>
      </c>
      <c r="H112">
        <f>+INDEX(Sheet1!C:C, MATCH(Hoja1!G112, Sheet1!D:D, 0))</f>
        <v>154052.5</v>
      </c>
      <c r="I112">
        <f>+INDEX(Sheet1!G:G, MATCH(Hoja1!G112, Sheet1!I:I, 0))</f>
        <v>110963</v>
      </c>
      <c r="J112" s="2">
        <f>+INDEX(Sheet1!H:H, MATCH(Hoja1!G112, Sheet1!I:I, 0))</f>
        <v>7.1081767198525075E-2</v>
      </c>
      <c r="K112" s="2">
        <f>+INDEX(Sheet1!L:L, MATCH(Hoja1!G112,Sheet1!M:M, 0))</f>
        <v>16.8</v>
      </c>
    </row>
    <row r="113" spans="1:11" ht="16" x14ac:dyDescent="0.25">
      <c r="A113" t="s">
        <v>110</v>
      </c>
      <c r="B113">
        <v>4</v>
      </c>
      <c r="C113">
        <v>2021</v>
      </c>
      <c r="D113" t="s">
        <v>114</v>
      </c>
      <c r="E113">
        <v>4.5</v>
      </c>
      <c r="F113">
        <v>3028443</v>
      </c>
      <c r="G113" s="1" t="str">
        <f t="shared" si="1"/>
        <v>Arkansas2021</v>
      </c>
      <c r="H113">
        <f>+INDEX(Sheet1!C:C, MATCH(Hoja1!G113, Sheet1!D:D, 0))</f>
        <v>154052.5</v>
      </c>
      <c r="I113">
        <f>+INDEX(Sheet1!G:G, MATCH(Hoja1!G113, Sheet1!I:I, 0))</f>
        <v>110963</v>
      </c>
      <c r="J113" s="2">
        <f>+INDEX(Sheet1!H:H, MATCH(Hoja1!G113, Sheet1!I:I, 0))</f>
        <v>7.1081767198525075E-2</v>
      </c>
      <c r="K113" s="2">
        <f>+INDEX(Sheet1!L:L, MATCH(Hoja1!G113,Sheet1!M:M, 0))</f>
        <v>16.8</v>
      </c>
    </row>
    <row r="114" spans="1:11" ht="16" x14ac:dyDescent="0.25">
      <c r="A114" t="s">
        <v>110</v>
      </c>
      <c r="B114">
        <v>5</v>
      </c>
      <c r="C114">
        <v>2021</v>
      </c>
      <c r="D114" t="s">
        <v>115</v>
      </c>
      <c r="E114">
        <v>4.4000000000000004</v>
      </c>
      <c r="F114">
        <v>3028443</v>
      </c>
      <c r="G114" s="1" t="str">
        <f t="shared" si="1"/>
        <v>Arkansas2021</v>
      </c>
      <c r="H114">
        <f>+INDEX(Sheet1!C:C, MATCH(Hoja1!G114, Sheet1!D:D, 0))</f>
        <v>154052.5</v>
      </c>
      <c r="I114">
        <f>+INDEX(Sheet1!G:G, MATCH(Hoja1!G114, Sheet1!I:I, 0))</f>
        <v>110963</v>
      </c>
      <c r="J114" s="2">
        <f>+INDEX(Sheet1!H:H, MATCH(Hoja1!G114, Sheet1!I:I, 0))</f>
        <v>7.1081767198525075E-2</v>
      </c>
      <c r="K114" s="2">
        <f>+INDEX(Sheet1!L:L, MATCH(Hoja1!G114,Sheet1!M:M, 0))</f>
        <v>16.8</v>
      </c>
    </row>
    <row r="115" spans="1:11" ht="16" x14ac:dyDescent="0.25">
      <c r="A115" t="s">
        <v>110</v>
      </c>
      <c r="B115">
        <v>6</v>
      </c>
      <c r="C115">
        <v>2021</v>
      </c>
      <c r="D115" t="s">
        <v>116</v>
      </c>
      <c r="E115">
        <v>4.2</v>
      </c>
      <c r="F115">
        <v>3028443</v>
      </c>
      <c r="G115" s="1" t="str">
        <f t="shared" si="1"/>
        <v>Arkansas2021</v>
      </c>
      <c r="H115">
        <f>+INDEX(Sheet1!C:C, MATCH(Hoja1!G115, Sheet1!D:D, 0))</f>
        <v>154052.5</v>
      </c>
      <c r="I115">
        <f>+INDEX(Sheet1!G:G, MATCH(Hoja1!G115, Sheet1!I:I, 0))</f>
        <v>110963</v>
      </c>
      <c r="J115" s="2">
        <f>+INDEX(Sheet1!H:H, MATCH(Hoja1!G115, Sheet1!I:I, 0))</f>
        <v>7.1081767198525075E-2</v>
      </c>
      <c r="K115" s="2">
        <f>+INDEX(Sheet1!L:L, MATCH(Hoja1!G115,Sheet1!M:M, 0))</f>
        <v>16.8</v>
      </c>
    </row>
    <row r="116" spans="1:11" ht="16" x14ac:dyDescent="0.25">
      <c r="A116" t="s">
        <v>110</v>
      </c>
      <c r="B116">
        <v>7</v>
      </c>
      <c r="C116">
        <v>2021</v>
      </c>
      <c r="D116" t="s">
        <v>117</v>
      </c>
      <c r="E116">
        <v>3.9</v>
      </c>
      <c r="F116">
        <v>3028443</v>
      </c>
      <c r="G116" s="1" t="str">
        <f t="shared" si="1"/>
        <v>Arkansas2021</v>
      </c>
      <c r="H116">
        <f>+INDEX(Sheet1!C:C, MATCH(Hoja1!G116, Sheet1!D:D, 0))</f>
        <v>154052.5</v>
      </c>
      <c r="I116">
        <f>+INDEX(Sheet1!G:G, MATCH(Hoja1!G116, Sheet1!I:I, 0))</f>
        <v>110963</v>
      </c>
      <c r="J116" s="2">
        <f>+INDEX(Sheet1!H:H, MATCH(Hoja1!G116, Sheet1!I:I, 0))</f>
        <v>7.1081767198525075E-2</v>
      </c>
      <c r="K116" s="2">
        <f>+INDEX(Sheet1!L:L, MATCH(Hoja1!G116,Sheet1!M:M, 0))</f>
        <v>16.8</v>
      </c>
    </row>
    <row r="117" spans="1:11" ht="16" x14ac:dyDescent="0.25">
      <c r="A117" t="s">
        <v>110</v>
      </c>
      <c r="B117">
        <v>8</v>
      </c>
      <c r="C117">
        <v>2021</v>
      </c>
      <c r="D117" t="s">
        <v>118</v>
      </c>
      <c r="E117">
        <v>3.7</v>
      </c>
      <c r="F117">
        <v>3028443</v>
      </c>
      <c r="G117" s="1" t="str">
        <f t="shared" si="1"/>
        <v>Arkansas2021</v>
      </c>
      <c r="H117">
        <f>+INDEX(Sheet1!C:C, MATCH(Hoja1!G117, Sheet1!D:D, 0))</f>
        <v>154052.5</v>
      </c>
      <c r="I117">
        <f>+INDEX(Sheet1!G:G, MATCH(Hoja1!G117, Sheet1!I:I, 0))</f>
        <v>110963</v>
      </c>
      <c r="J117" s="2">
        <f>+INDEX(Sheet1!H:H, MATCH(Hoja1!G117, Sheet1!I:I, 0))</f>
        <v>7.1081767198525075E-2</v>
      </c>
      <c r="K117" s="2">
        <f>+INDEX(Sheet1!L:L, MATCH(Hoja1!G117,Sheet1!M:M, 0))</f>
        <v>16.8</v>
      </c>
    </row>
    <row r="118" spans="1:11" ht="16" x14ac:dyDescent="0.25">
      <c r="A118" t="s">
        <v>110</v>
      </c>
      <c r="B118">
        <v>9</v>
      </c>
      <c r="C118">
        <v>2021</v>
      </c>
      <c r="D118" t="s">
        <v>119</v>
      </c>
      <c r="E118">
        <v>3.5</v>
      </c>
      <c r="F118">
        <v>3028443</v>
      </c>
      <c r="G118" s="1" t="str">
        <f t="shared" si="1"/>
        <v>Arkansas2021</v>
      </c>
      <c r="H118">
        <f>+INDEX(Sheet1!C:C, MATCH(Hoja1!G118, Sheet1!D:D, 0))</f>
        <v>154052.5</v>
      </c>
      <c r="I118">
        <f>+INDEX(Sheet1!G:G, MATCH(Hoja1!G118, Sheet1!I:I, 0))</f>
        <v>110963</v>
      </c>
      <c r="J118" s="2">
        <f>+INDEX(Sheet1!H:H, MATCH(Hoja1!G118, Sheet1!I:I, 0))</f>
        <v>7.1081767198525075E-2</v>
      </c>
      <c r="K118" s="2">
        <f>+INDEX(Sheet1!L:L, MATCH(Hoja1!G118,Sheet1!M:M, 0))</f>
        <v>16.8</v>
      </c>
    </row>
    <row r="119" spans="1:11" ht="16" x14ac:dyDescent="0.25">
      <c r="A119" t="s">
        <v>110</v>
      </c>
      <c r="B119">
        <v>10</v>
      </c>
      <c r="C119">
        <v>2021</v>
      </c>
      <c r="D119" t="s">
        <v>120</v>
      </c>
      <c r="E119">
        <v>3.4</v>
      </c>
      <c r="F119">
        <v>3028443</v>
      </c>
      <c r="G119" s="1" t="str">
        <f t="shared" si="1"/>
        <v>Arkansas2021</v>
      </c>
      <c r="H119">
        <f>+INDEX(Sheet1!C:C, MATCH(Hoja1!G119, Sheet1!D:D, 0))</f>
        <v>154052.5</v>
      </c>
      <c r="I119">
        <f>+INDEX(Sheet1!G:G, MATCH(Hoja1!G119, Sheet1!I:I, 0))</f>
        <v>110963</v>
      </c>
      <c r="J119" s="2">
        <f>+INDEX(Sheet1!H:H, MATCH(Hoja1!G119, Sheet1!I:I, 0))</f>
        <v>7.1081767198525075E-2</v>
      </c>
      <c r="K119" s="2">
        <f>+INDEX(Sheet1!L:L, MATCH(Hoja1!G119,Sheet1!M:M, 0))</f>
        <v>16.8</v>
      </c>
    </row>
    <row r="120" spans="1:11" ht="16" x14ac:dyDescent="0.25">
      <c r="A120" t="s">
        <v>110</v>
      </c>
      <c r="B120">
        <v>11</v>
      </c>
      <c r="C120">
        <v>2021</v>
      </c>
      <c r="D120" t="s">
        <v>121</v>
      </c>
      <c r="E120">
        <v>3.3</v>
      </c>
      <c r="F120">
        <v>3028443</v>
      </c>
      <c r="G120" s="1" t="str">
        <f t="shared" si="1"/>
        <v>Arkansas2021</v>
      </c>
      <c r="H120">
        <f>+INDEX(Sheet1!C:C, MATCH(Hoja1!G120, Sheet1!D:D, 0))</f>
        <v>154052.5</v>
      </c>
      <c r="I120">
        <f>+INDEX(Sheet1!G:G, MATCH(Hoja1!G120, Sheet1!I:I, 0))</f>
        <v>110963</v>
      </c>
      <c r="J120" s="2">
        <f>+INDEX(Sheet1!H:H, MATCH(Hoja1!G120, Sheet1!I:I, 0))</f>
        <v>7.1081767198525075E-2</v>
      </c>
      <c r="K120" s="2">
        <f>+INDEX(Sheet1!L:L, MATCH(Hoja1!G120,Sheet1!M:M, 0))</f>
        <v>16.8</v>
      </c>
    </row>
    <row r="121" spans="1:11" ht="16" x14ac:dyDescent="0.25">
      <c r="A121" t="s">
        <v>110</v>
      </c>
      <c r="B121">
        <v>12</v>
      </c>
      <c r="C121">
        <v>2021</v>
      </c>
      <c r="D121" t="s">
        <v>122</v>
      </c>
      <c r="E121">
        <v>3.2</v>
      </c>
      <c r="F121">
        <v>3028443</v>
      </c>
      <c r="G121" s="1" t="str">
        <f t="shared" si="1"/>
        <v>Arkansas2021</v>
      </c>
      <c r="H121">
        <f>+INDEX(Sheet1!C:C, MATCH(Hoja1!G121, Sheet1!D:D, 0))</f>
        <v>154052.5</v>
      </c>
      <c r="I121">
        <f>+INDEX(Sheet1!G:G, MATCH(Hoja1!G121, Sheet1!I:I, 0))</f>
        <v>110963</v>
      </c>
      <c r="J121" s="2">
        <f>+INDEX(Sheet1!H:H, MATCH(Hoja1!G121, Sheet1!I:I, 0))</f>
        <v>7.1081767198525075E-2</v>
      </c>
      <c r="K121" s="2">
        <f>+INDEX(Sheet1!L:L, MATCH(Hoja1!G121,Sheet1!M:M, 0))</f>
        <v>16.8</v>
      </c>
    </row>
    <row r="122" spans="1:11" ht="16" x14ac:dyDescent="0.25">
      <c r="A122" t="s">
        <v>110</v>
      </c>
      <c r="B122">
        <v>1</v>
      </c>
      <c r="C122">
        <v>2022</v>
      </c>
      <c r="D122" t="s">
        <v>123</v>
      </c>
      <c r="E122">
        <v>3.2</v>
      </c>
      <c r="F122">
        <v>3046404</v>
      </c>
      <c r="G122" s="1" t="str">
        <f t="shared" si="1"/>
        <v>Arkansas2022</v>
      </c>
      <c r="H122">
        <f>+INDEX(Sheet1!C:C, MATCH(Hoja1!G122, Sheet1!D:D, 0))</f>
        <v>168605.8</v>
      </c>
      <c r="I122">
        <f>+INDEX(Sheet1!G:G, MATCH(Hoja1!G122, Sheet1!I:I, 0))</f>
        <v>112656</v>
      </c>
      <c r="J122" s="2">
        <f>+INDEX(Sheet1!H:H, MATCH(Hoja1!G122, Sheet1!I:I, 0))</f>
        <v>1.5257338031596117E-2</v>
      </c>
      <c r="K122" s="2">
        <f>+INDEX(Sheet1!L:L, MATCH(Hoja1!G122,Sheet1!M:M, 0))</f>
        <v>16.600000000000001</v>
      </c>
    </row>
    <row r="123" spans="1:11" ht="16" x14ac:dyDescent="0.25">
      <c r="A123" t="s">
        <v>110</v>
      </c>
      <c r="B123">
        <v>2</v>
      </c>
      <c r="C123">
        <v>2022</v>
      </c>
      <c r="D123" t="s">
        <v>124</v>
      </c>
      <c r="E123">
        <v>3.2</v>
      </c>
      <c r="F123">
        <v>3046404</v>
      </c>
      <c r="G123" s="1" t="str">
        <f t="shared" si="1"/>
        <v>Arkansas2022</v>
      </c>
      <c r="H123">
        <f>+INDEX(Sheet1!C:C, MATCH(Hoja1!G123, Sheet1!D:D, 0))</f>
        <v>168605.8</v>
      </c>
      <c r="I123">
        <f>+INDEX(Sheet1!G:G, MATCH(Hoja1!G123, Sheet1!I:I, 0))</f>
        <v>112656</v>
      </c>
      <c r="J123" s="2">
        <f>+INDEX(Sheet1!H:H, MATCH(Hoja1!G123, Sheet1!I:I, 0))</f>
        <v>1.5257338031596117E-2</v>
      </c>
      <c r="K123" s="2">
        <f>+INDEX(Sheet1!L:L, MATCH(Hoja1!G123,Sheet1!M:M, 0))</f>
        <v>16.600000000000001</v>
      </c>
    </row>
    <row r="124" spans="1:11" ht="16" x14ac:dyDescent="0.25">
      <c r="A124" t="s">
        <v>110</v>
      </c>
      <c r="B124">
        <v>3</v>
      </c>
      <c r="C124">
        <v>2022</v>
      </c>
      <c r="D124" t="s">
        <v>125</v>
      </c>
      <c r="E124">
        <v>3.2</v>
      </c>
      <c r="F124">
        <v>3046404</v>
      </c>
      <c r="G124" s="1" t="str">
        <f t="shared" si="1"/>
        <v>Arkansas2022</v>
      </c>
      <c r="H124">
        <f>+INDEX(Sheet1!C:C, MATCH(Hoja1!G124, Sheet1!D:D, 0))</f>
        <v>168605.8</v>
      </c>
      <c r="I124">
        <f>+INDEX(Sheet1!G:G, MATCH(Hoja1!G124, Sheet1!I:I, 0))</f>
        <v>112656</v>
      </c>
      <c r="J124" s="2">
        <f>+INDEX(Sheet1!H:H, MATCH(Hoja1!G124, Sheet1!I:I, 0))</f>
        <v>1.5257338031596117E-2</v>
      </c>
      <c r="K124" s="2">
        <f>+INDEX(Sheet1!L:L, MATCH(Hoja1!G124,Sheet1!M:M, 0))</f>
        <v>16.600000000000001</v>
      </c>
    </row>
    <row r="125" spans="1:11" ht="16" x14ac:dyDescent="0.25">
      <c r="A125" t="s">
        <v>110</v>
      </c>
      <c r="B125">
        <v>4</v>
      </c>
      <c r="C125">
        <v>2022</v>
      </c>
      <c r="D125" t="s">
        <v>126</v>
      </c>
      <c r="E125">
        <v>3.1</v>
      </c>
      <c r="F125">
        <v>3046404</v>
      </c>
      <c r="G125" s="1" t="str">
        <f t="shared" si="1"/>
        <v>Arkansas2022</v>
      </c>
      <c r="H125">
        <f>+INDEX(Sheet1!C:C, MATCH(Hoja1!G125, Sheet1!D:D, 0))</f>
        <v>168605.8</v>
      </c>
      <c r="I125">
        <f>+INDEX(Sheet1!G:G, MATCH(Hoja1!G125, Sheet1!I:I, 0))</f>
        <v>112656</v>
      </c>
      <c r="J125" s="2">
        <f>+INDEX(Sheet1!H:H, MATCH(Hoja1!G125, Sheet1!I:I, 0))</f>
        <v>1.5257338031596117E-2</v>
      </c>
      <c r="K125" s="2">
        <f>+INDEX(Sheet1!L:L, MATCH(Hoja1!G125,Sheet1!M:M, 0))</f>
        <v>16.600000000000001</v>
      </c>
    </row>
    <row r="126" spans="1:11" ht="16" x14ac:dyDescent="0.25">
      <c r="A126" t="s">
        <v>110</v>
      </c>
      <c r="B126">
        <v>5</v>
      </c>
      <c r="C126">
        <v>2022</v>
      </c>
      <c r="D126" t="s">
        <v>127</v>
      </c>
      <c r="E126">
        <v>3.2</v>
      </c>
      <c r="F126">
        <v>3046404</v>
      </c>
      <c r="G126" s="1" t="str">
        <f t="shared" si="1"/>
        <v>Arkansas2022</v>
      </c>
      <c r="H126">
        <f>+INDEX(Sheet1!C:C, MATCH(Hoja1!G126, Sheet1!D:D, 0))</f>
        <v>168605.8</v>
      </c>
      <c r="I126">
        <f>+INDEX(Sheet1!G:G, MATCH(Hoja1!G126, Sheet1!I:I, 0))</f>
        <v>112656</v>
      </c>
      <c r="J126" s="2">
        <f>+INDEX(Sheet1!H:H, MATCH(Hoja1!G126, Sheet1!I:I, 0))</f>
        <v>1.5257338031596117E-2</v>
      </c>
      <c r="K126" s="2">
        <f>+INDEX(Sheet1!L:L, MATCH(Hoja1!G126,Sheet1!M:M, 0))</f>
        <v>16.600000000000001</v>
      </c>
    </row>
    <row r="127" spans="1:11" ht="16" x14ac:dyDescent="0.25">
      <c r="A127" t="s">
        <v>110</v>
      </c>
      <c r="B127">
        <v>6</v>
      </c>
      <c r="C127">
        <v>2022</v>
      </c>
      <c r="D127" t="s">
        <v>128</v>
      </c>
      <c r="E127">
        <v>3.2</v>
      </c>
      <c r="F127">
        <v>3046404</v>
      </c>
      <c r="G127" s="1" t="str">
        <f t="shared" si="1"/>
        <v>Arkansas2022</v>
      </c>
      <c r="H127">
        <f>+INDEX(Sheet1!C:C, MATCH(Hoja1!G127, Sheet1!D:D, 0))</f>
        <v>168605.8</v>
      </c>
      <c r="I127">
        <f>+INDEX(Sheet1!G:G, MATCH(Hoja1!G127, Sheet1!I:I, 0))</f>
        <v>112656</v>
      </c>
      <c r="J127" s="2">
        <f>+INDEX(Sheet1!H:H, MATCH(Hoja1!G127, Sheet1!I:I, 0))</f>
        <v>1.5257338031596117E-2</v>
      </c>
      <c r="K127" s="2">
        <f>+INDEX(Sheet1!L:L, MATCH(Hoja1!G127,Sheet1!M:M, 0))</f>
        <v>16.600000000000001</v>
      </c>
    </row>
    <row r="128" spans="1:11" ht="16" x14ac:dyDescent="0.25">
      <c r="A128" t="s">
        <v>110</v>
      </c>
      <c r="B128">
        <v>7</v>
      </c>
      <c r="C128">
        <v>2022</v>
      </c>
      <c r="D128" t="s">
        <v>129</v>
      </c>
      <c r="E128">
        <v>3.2</v>
      </c>
      <c r="F128">
        <v>3046404</v>
      </c>
      <c r="G128" s="1" t="str">
        <f t="shared" si="1"/>
        <v>Arkansas2022</v>
      </c>
      <c r="H128">
        <f>+INDEX(Sheet1!C:C, MATCH(Hoja1!G128, Sheet1!D:D, 0))</f>
        <v>168605.8</v>
      </c>
      <c r="I128">
        <f>+INDEX(Sheet1!G:G, MATCH(Hoja1!G128, Sheet1!I:I, 0))</f>
        <v>112656</v>
      </c>
      <c r="J128" s="2">
        <f>+INDEX(Sheet1!H:H, MATCH(Hoja1!G128, Sheet1!I:I, 0))</f>
        <v>1.5257338031596117E-2</v>
      </c>
      <c r="K128" s="2">
        <f>+INDEX(Sheet1!L:L, MATCH(Hoja1!G128,Sheet1!M:M, 0))</f>
        <v>16.600000000000001</v>
      </c>
    </row>
    <row r="129" spans="1:11" ht="16" x14ac:dyDescent="0.25">
      <c r="A129" t="s">
        <v>110</v>
      </c>
      <c r="B129">
        <v>8</v>
      </c>
      <c r="C129">
        <v>2022</v>
      </c>
      <c r="D129" t="s">
        <v>130</v>
      </c>
      <c r="E129">
        <v>3.3</v>
      </c>
      <c r="F129">
        <v>3046404</v>
      </c>
      <c r="G129" s="1" t="str">
        <f t="shared" si="1"/>
        <v>Arkansas2022</v>
      </c>
      <c r="H129">
        <f>+INDEX(Sheet1!C:C, MATCH(Hoja1!G129, Sheet1!D:D, 0))</f>
        <v>168605.8</v>
      </c>
      <c r="I129">
        <f>+INDEX(Sheet1!G:G, MATCH(Hoja1!G129, Sheet1!I:I, 0))</f>
        <v>112656</v>
      </c>
      <c r="J129" s="2">
        <f>+INDEX(Sheet1!H:H, MATCH(Hoja1!G129, Sheet1!I:I, 0))</f>
        <v>1.5257338031596117E-2</v>
      </c>
      <c r="K129" s="2">
        <f>+INDEX(Sheet1!L:L, MATCH(Hoja1!G129,Sheet1!M:M, 0))</f>
        <v>16.600000000000001</v>
      </c>
    </row>
    <row r="130" spans="1:11" ht="16" x14ac:dyDescent="0.25">
      <c r="A130" t="s">
        <v>110</v>
      </c>
      <c r="B130">
        <v>9</v>
      </c>
      <c r="C130">
        <v>2022</v>
      </c>
      <c r="D130" t="s">
        <v>131</v>
      </c>
      <c r="E130">
        <v>3.3</v>
      </c>
      <c r="F130">
        <v>3046404</v>
      </c>
      <c r="G130" s="1" t="str">
        <f t="shared" si="1"/>
        <v>Arkansas2022</v>
      </c>
      <c r="H130">
        <f>+INDEX(Sheet1!C:C, MATCH(Hoja1!G130, Sheet1!D:D, 0))</f>
        <v>168605.8</v>
      </c>
      <c r="I130">
        <f>+INDEX(Sheet1!G:G, MATCH(Hoja1!G130, Sheet1!I:I, 0))</f>
        <v>112656</v>
      </c>
      <c r="J130" s="2">
        <f>+INDEX(Sheet1!H:H, MATCH(Hoja1!G130, Sheet1!I:I, 0))</f>
        <v>1.5257338031596117E-2</v>
      </c>
      <c r="K130" s="2">
        <f>+INDEX(Sheet1!L:L, MATCH(Hoja1!G130,Sheet1!M:M, 0))</f>
        <v>16.600000000000001</v>
      </c>
    </row>
    <row r="131" spans="1:11" ht="16" x14ac:dyDescent="0.25">
      <c r="A131" t="s">
        <v>110</v>
      </c>
      <c r="B131">
        <v>10</v>
      </c>
      <c r="C131">
        <v>2022</v>
      </c>
      <c r="D131" t="s">
        <v>132</v>
      </c>
      <c r="E131">
        <v>3.3</v>
      </c>
      <c r="F131">
        <v>3046404</v>
      </c>
      <c r="G131" s="1" t="str">
        <f t="shared" ref="G131:G194" si="2">+A131&amp;C131</f>
        <v>Arkansas2022</v>
      </c>
      <c r="H131">
        <f>+INDEX(Sheet1!C:C, MATCH(Hoja1!G131, Sheet1!D:D, 0))</f>
        <v>168605.8</v>
      </c>
      <c r="I131">
        <f>+INDEX(Sheet1!G:G, MATCH(Hoja1!G131, Sheet1!I:I, 0))</f>
        <v>112656</v>
      </c>
      <c r="J131" s="2">
        <f>+INDEX(Sheet1!H:H, MATCH(Hoja1!G131, Sheet1!I:I, 0))</f>
        <v>1.5257338031596117E-2</v>
      </c>
      <c r="K131" s="2">
        <f>+INDEX(Sheet1!L:L, MATCH(Hoja1!G131,Sheet1!M:M, 0))</f>
        <v>16.600000000000001</v>
      </c>
    </row>
    <row r="132" spans="1:11" ht="16" x14ac:dyDescent="0.25">
      <c r="A132" t="s">
        <v>110</v>
      </c>
      <c r="B132">
        <v>11</v>
      </c>
      <c r="C132">
        <v>2022</v>
      </c>
      <c r="D132" t="s">
        <v>133</v>
      </c>
      <c r="E132">
        <v>3.2</v>
      </c>
      <c r="F132">
        <v>3046404</v>
      </c>
      <c r="G132" s="1" t="str">
        <f t="shared" si="2"/>
        <v>Arkansas2022</v>
      </c>
      <c r="H132">
        <f>+INDEX(Sheet1!C:C, MATCH(Hoja1!G132, Sheet1!D:D, 0))</f>
        <v>168605.8</v>
      </c>
      <c r="I132">
        <f>+INDEX(Sheet1!G:G, MATCH(Hoja1!G132, Sheet1!I:I, 0))</f>
        <v>112656</v>
      </c>
      <c r="J132" s="2">
        <f>+INDEX(Sheet1!H:H, MATCH(Hoja1!G132, Sheet1!I:I, 0))</f>
        <v>1.5257338031596117E-2</v>
      </c>
      <c r="K132" s="2">
        <f>+INDEX(Sheet1!L:L, MATCH(Hoja1!G132,Sheet1!M:M, 0))</f>
        <v>16.600000000000001</v>
      </c>
    </row>
    <row r="133" spans="1:11" ht="16" x14ac:dyDescent="0.25">
      <c r="A133" t="s">
        <v>110</v>
      </c>
      <c r="B133">
        <v>12</v>
      </c>
      <c r="C133">
        <v>2022</v>
      </c>
      <c r="D133" t="s">
        <v>134</v>
      </c>
      <c r="E133">
        <v>3.1</v>
      </c>
      <c r="F133">
        <v>3046404</v>
      </c>
      <c r="G133" s="1" t="str">
        <f t="shared" si="2"/>
        <v>Arkansas2022</v>
      </c>
      <c r="H133">
        <f>+INDEX(Sheet1!C:C, MATCH(Hoja1!G133, Sheet1!D:D, 0))</f>
        <v>168605.8</v>
      </c>
      <c r="I133">
        <f>+INDEX(Sheet1!G:G, MATCH(Hoja1!G133, Sheet1!I:I, 0))</f>
        <v>112656</v>
      </c>
      <c r="J133" s="2">
        <f>+INDEX(Sheet1!H:H, MATCH(Hoja1!G133, Sheet1!I:I, 0))</f>
        <v>1.5257338031596117E-2</v>
      </c>
      <c r="K133" s="2">
        <f>+INDEX(Sheet1!L:L, MATCH(Hoja1!G133,Sheet1!M:M, 0))</f>
        <v>16.600000000000001</v>
      </c>
    </row>
    <row r="134" spans="1:11" ht="16" x14ac:dyDescent="0.25">
      <c r="A134" t="s">
        <v>110</v>
      </c>
      <c r="B134">
        <v>1</v>
      </c>
      <c r="C134">
        <v>2023</v>
      </c>
      <c r="D134" t="s">
        <v>135</v>
      </c>
      <c r="E134">
        <v>3</v>
      </c>
      <c r="F134">
        <v>3067732</v>
      </c>
      <c r="G134" s="1" t="str">
        <f t="shared" si="2"/>
        <v>Arkansas2023</v>
      </c>
      <c r="H134">
        <f>+INDEX(Sheet1!C:C, MATCH(Hoja1!G134, Sheet1!D:D, 0))</f>
        <v>178606.4</v>
      </c>
      <c r="I134">
        <f>+INDEX(Sheet1!G:G, MATCH(Hoja1!G134, Sheet1!I:I, 0))</f>
        <v>115319</v>
      </c>
      <c r="J134" s="2">
        <f>+INDEX(Sheet1!H:H, MATCH(Hoja1!G134, Sheet1!I:I, 0))</f>
        <v>2.3638332623206932E-2</v>
      </c>
      <c r="K134" s="2">
        <f>+INDEX(Sheet1!L:L, MATCH(Hoja1!G134,Sheet1!M:M, 0))</f>
        <v>13.8</v>
      </c>
    </row>
    <row r="135" spans="1:11" ht="16" x14ac:dyDescent="0.25">
      <c r="A135" t="s">
        <v>110</v>
      </c>
      <c r="B135">
        <v>2</v>
      </c>
      <c r="C135">
        <v>2023</v>
      </c>
      <c r="D135" t="s">
        <v>136</v>
      </c>
      <c r="E135">
        <v>2.9</v>
      </c>
      <c r="F135">
        <v>3067732</v>
      </c>
      <c r="G135" s="1" t="str">
        <f t="shared" si="2"/>
        <v>Arkansas2023</v>
      </c>
      <c r="H135">
        <f>+INDEX(Sheet1!C:C, MATCH(Hoja1!G135, Sheet1!D:D, 0))</f>
        <v>178606.4</v>
      </c>
      <c r="I135">
        <f>+INDEX(Sheet1!G:G, MATCH(Hoja1!G135, Sheet1!I:I, 0))</f>
        <v>115319</v>
      </c>
      <c r="J135" s="2">
        <f>+INDEX(Sheet1!H:H, MATCH(Hoja1!G135, Sheet1!I:I, 0))</f>
        <v>2.3638332623206932E-2</v>
      </c>
      <c r="K135" s="2">
        <f>+INDEX(Sheet1!L:L, MATCH(Hoja1!G135,Sheet1!M:M, 0))</f>
        <v>13.8</v>
      </c>
    </row>
    <row r="136" spans="1:11" ht="16" x14ac:dyDescent="0.25">
      <c r="A136" t="s">
        <v>110</v>
      </c>
      <c r="B136">
        <v>3</v>
      </c>
      <c r="C136">
        <v>2023</v>
      </c>
      <c r="D136" t="s">
        <v>137</v>
      </c>
      <c r="E136">
        <v>2.8</v>
      </c>
      <c r="F136">
        <v>3067732</v>
      </c>
      <c r="G136" s="1" t="str">
        <f t="shared" si="2"/>
        <v>Arkansas2023</v>
      </c>
      <c r="H136">
        <f>+INDEX(Sheet1!C:C, MATCH(Hoja1!G136, Sheet1!D:D, 0))</f>
        <v>178606.4</v>
      </c>
      <c r="I136">
        <f>+INDEX(Sheet1!G:G, MATCH(Hoja1!G136, Sheet1!I:I, 0))</f>
        <v>115319</v>
      </c>
      <c r="J136" s="2">
        <f>+INDEX(Sheet1!H:H, MATCH(Hoja1!G136, Sheet1!I:I, 0))</f>
        <v>2.3638332623206932E-2</v>
      </c>
      <c r="K136" s="2">
        <f>+INDEX(Sheet1!L:L, MATCH(Hoja1!G136,Sheet1!M:M, 0))</f>
        <v>13.8</v>
      </c>
    </row>
    <row r="137" spans="1:11" ht="16" x14ac:dyDescent="0.25">
      <c r="A137" t="s">
        <v>110</v>
      </c>
      <c r="B137">
        <v>4</v>
      </c>
      <c r="C137">
        <v>2023</v>
      </c>
      <c r="D137" t="s">
        <v>138</v>
      </c>
      <c r="E137">
        <v>2.8</v>
      </c>
      <c r="F137">
        <v>3067732</v>
      </c>
      <c r="G137" s="1" t="str">
        <f t="shared" si="2"/>
        <v>Arkansas2023</v>
      </c>
      <c r="H137">
        <f>+INDEX(Sheet1!C:C, MATCH(Hoja1!G137, Sheet1!D:D, 0))</f>
        <v>178606.4</v>
      </c>
      <c r="I137">
        <f>+INDEX(Sheet1!G:G, MATCH(Hoja1!G137, Sheet1!I:I, 0))</f>
        <v>115319</v>
      </c>
      <c r="J137" s="2">
        <f>+INDEX(Sheet1!H:H, MATCH(Hoja1!G137, Sheet1!I:I, 0))</f>
        <v>2.3638332623206932E-2</v>
      </c>
      <c r="K137" s="2">
        <f>+INDEX(Sheet1!L:L, MATCH(Hoja1!G137,Sheet1!M:M, 0))</f>
        <v>13.8</v>
      </c>
    </row>
    <row r="138" spans="1:11" ht="16" x14ac:dyDescent="0.25">
      <c r="A138" t="s">
        <v>110</v>
      </c>
      <c r="B138">
        <v>5</v>
      </c>
      <c r="C138">
        <v>2023</v>
      </c>
      <c r="D138" t="s">
        <v>139</v>
      </c>
      <c r="E138">
        <v>2.9</v>
      </c>
      <c r="F138">
        <v>3067732</v>
      </c>
      <c r="G138" s="1" t="str">
        <f t="shared" si="2"/>
        <v>Arkansas2023</v>
      </c>
      <c r="H138">
        <f>+INDEX(Sheet1!C:C, MATCH(Hoja1!G138, Sheet1!D:D, 0))</f>
        <v>178606.4</v>
      </c>
      <c r="I138">
        <f>+INDEX(Sheet1!G:G, MATCH(Hoja1!G138, Sheet1!I:I, 0))</f>
        <v>115319</v>
      </c>
      <c r="J138" s="2">
        <f>+INDEX(Sheet1!H:H, MATCH(Hoja1!G138, Sheet1!I:I, 0))</f>
        <v>2.3638332623206932E-2</v>
      </c>
      <c r="K138" s="2">
        <f>+INDEX(Sheet1!L:L, MATCH(Hoja1!G138,Sheet1!M:M, 0))</f>
        <v>13.8</v>
      </c>
    </row>
    <row r="139" spans="1:11" ht="16" x14ac:dyDescent="0.25">
      <c r="A139" t="s">
        <v>110</v>
      </c>
      <c r="B139">
        <v>6</v>
      </c>
      <c r="C139">
        <v>2023</v>
      </c>
      <c r="D139" t="s">
        <v>140</v>
      </c>
      <c r="E139">
        <v>3</v>
      </c>
      <c r="F139">
        <v>3067732</v>
      </c>
      <c r="G139" s="1" t="str">
        <f t="shared" si="2"/>
        <v>Arkansas2023</v>
      </c>
      <c r="H139">
        <f>+INDEX(Sheet1!C:C, MATCH(Hoja1!G139, Sheet1!D:D, 0))</f>
        <v>178606.4</v>
      </c>
      <c r="I139">
        <f>+INDEX(Sheet1!G:G, MATCH(Hoja1!G139, Sheet1!I:I, 0))</f>
        <v>115319</v>
      </c>
      <c r="J139" s="2">
        <f>+INDEX(Sheet1!H:H, MATCH(Hoja1!G139, Sheet1!I:I, 0))</f>
        <v>2.3638332623206932E-2</v>
      </c>
      <c r="K139" s="2">
        <f>+INDEX(Sheet1!L:L, MATCH(Hoja1!G139,Sheet1!M:M, 0))</f>
        <v>13.8</v>
      </c>
    </row>
    <row r="140" spans="1:11" ht="16" x14ac:dyDescent="0.25">
      <c r="A140" t="s">
        <v>110</v>
      </c>
      <c r="B140">
        <v>7</v>
      </c>
      <c r="C140">
        <v>2023</v>
      </c>
      <c r="D140" t="s">
        <v>141</v>
      </c>
      <c r="E140">
        <v>3.2</v>
      </c>
      <c r="F140">
        <v>3067732</v>
      </c>
      <c r="G140" s="1" t="str">
        <f t="shared" si="2"/>
        <v>Arkansas2023</v>
      </c>
      <c r="H140">
        <f>+INDEX(Sheet1!C:C, MATCH(Hoja1!G140, Sheet1!D:D, 0))</f>
        <v>178606.4</v>
      </c>
      <c r="I140">
        <f>+INDEX(Sheet1!G:G, MATCH(Hoja1!G140, Sheet1!I:I, 0))</f>
        <v>115319</v>
      </c>
      <c r="J140" s="2">
        <f>+INDEX(Sheet1!H:H, MATCH(Hoja1!G140, Sheet1!I:I, 0))</f>
        <v>2.3638332623206932E-2</v>
      </c>
      <c r="K140" s="2">
        <f>+INDEX(Sheet1!L:L, MATCH(Hoja1!G140,Sheet1!M:M, 0))</f>
        <v>13.8</v>
      </c>
    </row>
    <row r="141" spans="1:11" ht="16" x14ac:dyDescent="0.25">
      <c r="A141" t="s">
        <v>110</v>
      </c>
      <c r="B141">
        <v>8</v>
      </c>
      <c r="C141">
        <v>2023</v>
      </c>
      <c r="D141" t="s">
        <v>142</v>
      </c>
      <c r="E141">
        <v>3.4</v>
      </c>
      <c r="F141">
        <v>3067732</v>
      </c>
      <c r="G141" s="1" t="str">
        <f t="shared" si="2"/>
        <v>Arkansas2023</v>
      </c>
      <c r="H141">
        <f>+INDEX(Sheet1!C:C, MATCH(Hoja1!G141, Sheet1!D:D, 0))</f>
        <v>178606.4</v>
      </c>
      <c r="I141">
        <f>+INDEX(Sheet1!G:G, MATCH(Hoja1!G141, Sheet1!I:I, 0))</f>
        <v>115319</v>
      </c>
      <c r="J141" s="2">
        <f>+INDEX(Sheet1!H:H, MATCH(Hoja1!G141, Sheet1!I:I, 0))</f>
        <v>2.3638332623206932E-2</v>
      </c>
      <c r="K141" s="2">
        <f>+INDEX(Sheet1!L:L, MATCH(Hoja1!G141,Sheet1!M:M, 0))</f>
        <v>13.8</v>
      </c>
    </row>
    <row r="142" spans="1:11" ht="16" x14ac:dyDescent="0.25">
      <c r="A142" t="s">
        <v>110</v>
      </c>
      <c r="B142">
        <v>9</v>
      </c>
      <c r="C142">
        <v>2023</v>
      </c>
      <c r="D142" t="s">
        <v>143</v>
      </c>
      <c r="E142">
        <v>3.6</v>
      </c>
      <c r="F142">
        <v>3067732</v>
      </c>
      <c r="G142" s="1" t="str">
        <f t="shared" si="2"/>
        <v>Arkansas2023</v>
      </c>
      <c r="H142">
        <f>+INDEX(Sheet1!C:C, MATCH(Hoja1!G142, Sheet1!D:D, 0))</f>
        <v>178606.4</v>
      </c>
      <c r="I142">
        <f>+INDEX(Sheet1!G:G, MATCH(Hoja1!G142, Sheet1!I:I, 0))</f>
        <v>115319</v>
      </c>
      <c r="J142" s="2">
        <f>+INDEX(Sheet1!H:H, MATCH(Hoja1!G142, Sheet1!I:I, 0))</f>
        <v>2.3638332623206932E-2</v>
      </c>
      <c r="K142" s="2">
        <f>+INDEX(Sheet1!L:L, MATCH(Hoja1!G142,Sheet1!M:M, 0))</f>
        <v>13.8</v>
      </c>
    </row>
    <row r="143" spans="1:11" ht="16" x14ac:dyDescent="0.25">
      <c r="A143" t="s">
        <v>110</v>
      </c>
      <c r="B143">
        <v>10</v>
      </c>
      <c r="C143">
        <v>2023</v>
      </c>
      <c r="D143" t="s">
        <v>144</v>
      </c>
      <c r="E143">
        <v>3.7</v>
      </c>
      <c r="F143">
        <v>3067732</v>
      </c>
      <c r="G143" s="1" t="str">
        <f t="shared" si="2"/>
        <v>Arkansas2023</v>
      </c>
      <c r="H143">
        <f>+INDEX(Sheet1!C:C, MATCH(Hoja1!G143, Sheet1!D:D, 0))</f>
        <v>178606.4</v>
      </c>
      <c r="I143">
        <f>+INDEX(Sheet1!G:G, MATCH(Hoja1!G143, Sheet1!I:I, 0))</f>
        <v>115319</v>
      </c>
      <c r="J143" s="2">
        <f>+INDEX(Sheet1!H:H, MATCH(Hoja1!G143, Sheet1!I:I, 0))</f>
        <v>2.3638332623206932E-2</v>
      </c>
      <c r="K143" s="2">
        <f>+INDEX(Sheet1!L:L, MATCH(Hoja1!G143,Sheet1!M:M, 0))</f>
        <v>13.8</v>
      </c>
    </row>
    <row r="144" spans="1:11" ht="16" x14ac:dyDescent="0.25">
      <c r="A144" t="s">
        <v>110</v>
      </c>
      <c r="B144">
        <v>11</v>
      </c>
      <c r="C144">
        <v>2023</v>
      </c>
      <c r="D144" t="s">
        <v>145</v>
      </c>
      <c r="E144">
        <v>3.7</v>
      </c>
      <c r="F144">
        <v>3067732</v>
      </c>
      <c r="G144" s="1" t="str">
        <f t="shared" si="2"/>
        <v>Arkansas2023</v>
      </c>
      <c r="H144">
        <f>+INDEX(Sheet1!C:C, MATCH(Hoja1!G144, Sheet1!D:D, 0))</f>
        <v>178606.4</v>
      </c>
      <c r="I144">
        <f>+INDEX(Sheet1!G:G, MATCH(Hoja1!G144, Sheet1!I:I, 0))</f>
        <v>115319</v>
      </c>
      <c r="J144" s="2">
        <f>+INDEX(Sheet1!H:H, MATCH(Hoja1!G144, Sheet1!I:I, 0))</f>
        <v>2.3638332623206932E-2</v>
      </c>
      <c r="K144" s="2">
        <f>+INDEX(Sheet1!L:L, MATCH(Hoja1!G144,Sheet1!M:M, 0))</f>
        <v>13.8</v>
      </c>
    </row>
    <row r="145" spans="1:11" ht="16" x14ac:dyDescent="0.25">
      <c r="A145" t="s">
        <v>110</v>
      </c>
      <c r="B145">
        <v>12</v>
      </c>
      <c r="C145">
        <v>2023</v>
      </c>
      <c r="D145" t="s">
        <v>35</v>
      </c>
      <c r="E145">
        <v>3.7</v>
      </c>
      <c r="F145">
        <v>3067732</v>
      </c>
      <c r="G145" s="1" t="str">
        <f t="shared" si="2"/>
        <v>Arkansas2023</v>
      </c>
      <c r="H145">
        <f>+INDEX(Sheet1!C:C, MATCH(Hoja1!G145, Sheet1!D:D, 0))</f>
        <v>178606.4</v>
      </c>
      <c r="I145">
        <f>+INDEX(Sheet1!G:G, MATCH(Hoja1!G145, Sheet1!I:I, 0))</f>
        <v>115319</v>
      </c>
      <c r="J145" s="2">
        <f>+INDEX(Sheet1!H:H, MATCH(Hoja1!G145, Sheet1!I:I, 0))</f>
        <v>2.3638332623206932E-2</v>
      </c>
      <c r="K145" s="2">
        <f>+INDEX(Sheet1!L:L, MATCH(Hoja1!G145,Sheet1!M:M, 0))</f>
        <v>13.8</v>
      </c>
    </row>
    <row r="146" spans="1:11" ht="16" x14ac:dyDescent="0.25">
      <c r="A146" t="s">
        <v>146</v>
      </c>
      <c r="B146">
        <v>1</v>
      </c>
      <c r="C146">
        <v>2021</v>
      </c>
      <c r="D146" t="s">
        <v>147</v>
      </c>
      <c r="E146">
        <v>8.6999999999999993</v>
      </c>
      <c r="F146">
        <v>39145060</v>
      </c>
      <c r="G146" s="1" t="str">
        <f t="shared" si="2"/>
        <v>California2021</v>
      </c>
      <c r="H146">
        <f>+INDEX(Sheet1!C:C, MATCH(Hoja1!G146, Sheet1!D:D, 0))</f>
        <v>3423958.3</v>
      </c>
      <c r="I146">
        <f>+INDEX(Sheet1!G:G, MATCH(Hoja1!G146, Sheet1!I:I, 0))</f>
        <v>115093</v>
      </c>
      <c r="J146" s="2">
        <f>+INDEX(Sheet1!H:H, MATCH(Hoja1!G146, Sheet1!I:I, 0))</f>
        <v>7.5293831866509703E-2</v>
      </c>
      <c r="K146" s="2">
        <f>+INDEX(Sheet1!L:L, MATCH(Hoja1!G146,Sheet1!M:M, 0))</f>
        <v>11.9</v>
      </c>
    </row>
    <row r="147" spans="1:11" ht="16" x14ac:dyDescent="0.25">
      <c r="A147" t="s">
        <v>146</v>
      </c>
      <c r="B147">
        <v>2</v>
      </c>
      <c r="C147">
        <v>2021</v>
      </c>
      <c r="D147" t="s">
        <v>148</v>
      </c>
      <c r="E147">
        <v>8.6</v>
      </c>
      <c r="F147">
        <v>39145060</v>
      </c>
      <c r="G147" s="1" t="str">
        <f t="shared" si="2"/>
        <v>California2021</v>
      </c>
      <c r="H147">
        <f>+INDEX(Sheet1!C:C, MATCH(Hoja1!G147, Sheet1!D:D, 0))</f>
        <v>3423958.3</v>
      </c>
      <c r="I147">
        <f>+INDEX(Sheet1!G:G, MATCH(Hoja1!G147, Sheet1!I:I, 0))</f>
        <v>115093</v>
      </c>
      <c r="J147" s="2">
        <f>+INDEX(Sheet1!H:H, MATCH(Hoja1!G147, Sheet1!I:I, 0))</f>
        <v>7.5293831866509703E-2</v>
      </c>
      <c r="K147" s="2">
        <f>+INDEX(Sheet1!L:L, MATCH(Hoja1!G147,Sheet1!M:M, 0))</f>
        <v>11.9</v>
      </c>
    </row>
    <row r="148" spans="1:11" ht="16" x14ac:dyDescent="0.25">
      <c r="A148" t="s">
        <v>146</v>
      </c>
      <c r="B148">
        <v>3</v>
      </c>
      <c r="C148">
        <v>2021</v>
      </c>
      <c r="D148" t="s">
        <v>149</v>
      </c>
      <c r="E148">
        <v>8.4</v>
      </c>
      <c r="F148">
        <v>39145060</v>
      </c>
      <c r="G148" s="1" t="str">
        <f t="shared" si="2"/>
        <v>California2021</v>
      </c>
      <c r="H148">
        <f>+INDEX(Sheet1!C:C, MATCH(Hoja1!G148, Sheet1!D:D, 0))</f>
        <v>3423958.3</v>
      </c>
      <c r="I148">
        <f>+INDEX(Sheet1!G:G, MATCH(Hoja1!G148, Sheet1!I:I, 0))</f>
        <v>115093</v>
      </c>
      <c r="J148" s="2">
        <f>+INDEX(Sheet1!H:H, MATCH(Hoja1!G148, Sheet1!I:I, 0))</f>
        <v>7.5293831866509703E-2</v>
      </c>
      <c r="K148" s="2">
        <f>+INDEX(Sheet1!L:L, MATCH(Hoja1!G148,Sheet1!M:M, 0))</f>
        <v>11.9</v>
      </c>
    </row>
    <row r="149" spans="1:11" ht="16" x14ac:dyDescent="0.25">
      <c r="A149" t="s">
        <v>146</v>
      </c>
      <c r="B149">
        <v>4</v>
      </c>
      <c r="C149">
        <v>2021</v>
      </c>
      <c r="D149">
        <v>10</v>
      </c>
      <c r="E149">
        <v>8.3000000000000007</v>
      </c>
      <c r="F149">
        <v>39145060</v>
      </c>
      <c r="G149" s="1" t="str">
        <f t="shared" si="2"/>
        <v>California2021</v>
      </c>
      <c r="H149">
        <f>+INDEX(Sheet1!C:C, MATCH(Hoja1!G149, Sheet1!D:D, 0))</f>
        <v>3423958.3</v>
      </c>
      <c r="I149">
        <f>+INDEX(Sheet1!G:G, MATCH(Hoja1!G149, Sheet1!I:I, 0))</f>
        <v>115093</v>
      </c>
      <c r="J149" s="2">
        <f>+INDEX(Sheet1!H:H, MATCH(Hoja1!G149, Sheet1!I:I, 0))</f>
        <v>7.5293831866509703E-2</v>
      </c>
      <c r="K149" s="2">
        <f>+INDEX(Sheet1!L:L, MATCH(Hoja1!G149,Sheet1!M:M, 0))</f>
        <v>11.9</v>
      </c>
    </row>
    <row r="150" spans="1:11" ht="16" x14ac:dyDescent="0.25">
      <c r="A150" t="s">
        <v>146</v>
      </c>
      <c r="B150">
        <v>5</v>
      </c>
      <c r="C150">
        <v>2021</v>
      </c>
      <c r="D150" t="s">
        <v>150</v>
      </c>
      <c r="E150">
        <v>7.9</v>
      </c>
      <c r="F150">
        <v>39145060</v>
      </c>
      <c r="G150" s="1" t="str">
        <f t="shared" si="2"/>
        <v>California2021</v>
      </c>
      <c r="H150">
        <f>+INDEX(Sheet1!C:C, MATCH(Hoja1!G150, Sheet1!D:D, 0))</f>
        <v>3423958.3</v>
      </c>
      <c r="I150">
        <f>+INDEX(Sheet1!G:G, MATCH(Hoja1!G150, Sheet1!I:I, 0))</f>
        <v>115093</v>
      </c>
      <c r="J150" s="2">
        <f>+INDEX(Sheet1!H:H, MATCH(Hoja1!G150, Sheet1!I:I, 0))</f>
        <v>7.5293831866509703E-2</v>
      </c>
      <c r="K150" s="2">
        <f>+INDEX(Sheet1!L:L, MATCH(Hoja1!G150,Sheet1!M:M, 0))</f>
        <v>11.9</v>
      </c>
    </row>
    <row r="151" spans="1:11" ht="16" x14ac:dyDescent="0.25">
      <c r="A151" t="s">
        <v>146</v>
      </c>
      <c r="B151">
        <v>6</v>
      </c>
      <c r="C151">
        <v>2021</v>
      </c>
      <c r="D151" t="s">
        <v>151</v>
      </c>
      <c r="E151">
        <v>7.8</v>
      </c>
      <c r="F151">
        <v>39145060</v>
      </c>
      <c r="G151" s="1" t="str">
        <f t="shared" si="2"/>
        <v>California2021</v>
      </c>
      <c r="H151">
        <f>+INDEX(Sheet1!C:C, MATCH(Hoja1!G151, Sheet1!D:D, 0))</f>
        <v>3423958.3</v>
      </c>
      <c r="I151">
        <f>+INDEX(Sheet1!G:G, MATCH(Hoja1!G151, Sheet1!I:I, 0))</f>
        <v>115093</v>
      </c>
      <c r="J151" s="2">
        <f>+INDEX(Sheet1!H:H, MATCH(Hoja1!G151, Sheet1!I:I, 0))</f>
        <v>7.5293831866509703E-2</v>
      </c>
      <c r="K151" s="2">
        <f>+INDEX(Sheet1!L:L, MATCH(Hoja1!G151,Sheet1!M:M, 0))</f>
        <v>11.9</v>
      </c>
    </row>
    <row r="152" spans="1:11" ht="16" x14ac:dyDescent="0.25">
      <c r="A152" t="s">
        <v>146</v>
      </c>
      <c r="B152">
        <v>7</v>
      </c>
      <c r="C152">
        <v>2021</v>
      </c>
      <c r="D152" t="s">
        <v>152</v>
      </c>
      <c r="E152">
        <v>7.4</v>
      </c>
      <c r="F152">
        <v>39145060</v>
      </c>
      <c r="G152" s="1" t="str">
        <f t="shared" si="2"/>
        <v>California2021</v>
      </c>
      <c r="H152">
        <f>+INDEX(Sheet1!C:C, MATCH(Hoja1!G152, Sheet1!D:D, 0))</f>
        <v>3423958.3</v>
      </c>
      <c r="I152">
        <f>+INDEX(Sheet1!G:G, MATCH(Hoja1!G152, Sheet1!I:I, 0))</f>
        <v>115093</v>
      </c>
      <c r="J152" s="2">
        <f>+INDEX(Sheet1!H:H, MATCH(Hoja1!G152, Sheet1!I:I, 0))</f>
        <v>7.5293831866509703E-2</v>
      </c>
      <c r="K152" s="2">
        <f>+INDEX(Sheet1!L:L, MATCH(Hoja1!G152,Sheet1!M:M, 0))</f>
        <v>11.9</v>
      </c>
    </row>
    <row r="153" spans="1:11" ht="16" x14ac:dyDescent="0.25">
      <c r="A153" t="s">
        <v>146</v>
      </c>
      <c r="B153">
        <v>8</v>
      </c>
      <c r="C153">
        <v>2021</v>
      </c>
      <c r="D153" t="s">
        <v>153</v>
      </c>
      <c r="E153">
        <v>7</v>
      </c>
      <c r="F153">
        <v>39145060</v>
      </c>
      <c r="G153" s="1" t="str">
        <f t="shared" si="2"/>
        <v>California2021</v>
      </c>
      <c r="H153">
        <f>+INDEX(Sheet1!C:C, MATCH(Hoja1!G153, Sheet1!D:D, 0))</f>
        <v>3423958.3</v>
      </c>
      <c r="I153">
        <f>+INDEX(Sheet1!G:G, MATCH(Hoja1!G153, Sheet1!I:I, 0))</f>
        <v>115093</v>
      </c>
      <c r="J153" s="2">
        <f>+INDEX(Sheet1!H:H, MATCH(Hoja1!G153, Sheet1!I:I, 0))</f>
        <v>7.5293831866509703E-2</v>
      </c>
      <c r="K153" s="2">
        <f>+INDEX(Sheet1!L:L, MATCH(Hoja1!G153,Sheet1!M:M, 0))</f>
        <v>11.9</v>
      </c>
    </row>
    <row r="154" spans="1:11" ht="16" x14ac:dyDescent="0.25">
      <c r="A154" t="s">
        <v>146</v>
      </c>
      <c r="B154">
        <v>9</v>
      </c>
      <c r="C154">
        <v>2021</v>
      </c>
      <c r="D154" t="s">
        <v>154</v>
      </c>
      <c r="E154">
        <v>6.5</v>
      </c>
      <c r="F154">
        <v>39145060</v>
      </c>
      <c r="G154" s="1" t="str">
        <f t="shared" si="2"/>
        <v>California2021</v>
      </c>
      <c r="H154">
        <f>+INDEX(Sheet1!C:C, MATCH(Hoja1!G154, Sheet1!D:D, 0))</f>
        <v>3423958.3</v>
      </c>
      <c r="I154">
        <f>+INDEX(Sheet1!G:G, MATCH(Hoja1!G154, Sheet1!I:I, 0))</f>
        <v>115093</v>
      </c>
      <c r="J154" s="2">
        <f>+INDEX(Sheet1!H:H, MATCH(Hoja1!G154, Sheet1!I:I, 0))</f>
        <v>7.5293831866509703E-2</v>
      </c>
      <c r="K154" s="2">
        <f>+INDEX(Sheet1!L:L, MATCH(Hoja1!G154,Sheet1!M:M, 0))</f>
        <v>11.9</v>
      </c>
    </row>
    <row r="155" spans="1:11" ht="16" x14ac:dyDescent="0.25">
      <c r="A155" t="s">
        <v>146</v>
      </c>
      <c r="B155">
        <v>10</v>
      </c>
      <c r="C155">
        <v>2021</v>
      </c>
      <c r="D155" t="s">
        <v>155</v>
      </c>
      <c r="E155">
        <v>6.1</v>
      </c>
      <c r="F155">
        <v>39145060</v>
      </c>
      <c r="G155" s="1" t="str">
        <f t="shared" si="2"/>
        <v>California2021</v>
      </c>
      <c r="H155">
        <f>+INDEX(Sheet1!C:C, MATCH(Hoja1!G155, Sheet1!D:D, 0))</f>
        <v>3423958.3</v>
      </c>
      <c r="I155">
        <f>+INDEX(Sheet1!G:G, MATCH(Hoja1!G155, Sheet1!I:I, 0))</f>
        <v>115093</v>
      </c>
      <c r="J155" s="2">
        <f>+INDEX(Sheet1!H:H, MATCH(Hoja1!G155, Sheet1!I:I, 0))</f>
        <v>7.5293831866509703E-2</v>
      </c>
      <c r="K155" s="2">
        <f>+INDEX(Sheet1!L:L, MATCH(Hoja1!G155,Sheet1!M:M, 0))</f>
        <v>11.9</v>
      </c>
    </row>
    <row r="156" spans="1:11" ht="16" x14ac:dyDescent="0.25">
      <c r="A156" t="s">
        <v>146</v>
      </c>
      <c r="B156">
        <v>11</v>
      </c>
      <c r="C156">
        <v>2021</v>
      </c>
      <c r="D156" t="s">
        <v>156</v>
      </c>
      <c r="E156">
        <v>5.7</v>
      </c>
      <c r="F156">
        <v>39145060</v>
      </c>
      <c r="G156" s="1" t="str">
        <f t="shared" si="2"/>
        <v>California2021</v>
      </c>
      <c r="H156">
        <f>+INDEX(Sheet1!C:C, MATCH(Hoja1!G156, Sheet1!D:D, 0))</f>
        <v>3423958.3</v>
      </c>
      <c r="I156">
        <f>+INDEX(Sheet1!G:G, MATCH(Hoja1!G156, Sheet1!I:I, 0))</f>
        <v>115093</v>
      </c>
      <c r="J156" s="2">
        <f>+INDEX(Sheet1!H:H, MATCH(Hoja1!G156, Sheet1!I:I, 0))</f>
        <v>7.5293831866509703E-2</v>
      </c>
      <c r="K156" s="2">
        <f>+INDEX(Sheet1!L:L, MATCH(Hoja1!G156,Sheet1!M:M, 0))</f>
        <v>11.9</v>
      </c>
    </row>
    <row r="157" spans="1:11" ht="16" x14ac:dyDescent="0.25">
      <c r="A157" t="s">
        <v>146</v>
      </c>
      <c r="B157">
        <v>12</v>
      </c>
      <c r="C157">
        <v>2021</v>
      </c>
      <c r="D157" t="s">
        <v>157</v>
      </c>
      <c r="E157">
        <v>5.5</v>
      </c>
      <c r="F157">
        <v>39145060</v>
      </c>
      <c r="G157" s="1" t="str">
        <f t="shared" si="2"/>
        <v>California2021</v>
      </c>
      <c r="H157">
        <f>+INDEX(Sheet1!C:C, MATCH(Hoja1!G157, Sheet1!D:D, 0))</f>
        <v>3423958.3</v>
      </c>
      <c r="I157">
        <f>+INDEX(Sheet1!G:G, MATCH(Hoja1!G157, Sheet1!I:I, 0))</f>
        <v>115093</v>
      </c>
      <c r="J157" s="2">
        <f>+INDEX(Sheet1!H:H, MATCH(Hoja1!G157, Sheet1!I:I, 0))</f>
        <v>7.5293831866509703E-2</v>
      </c>
      <c r="K157" s="2">
        <f>+INDEX(Sheet1!L:L, MATCH(Hoja1!G157,Sheet1!M:M, 0))</f>
        <v>11.9</v>
      </c>
    </row>
    <row r="158" spans="1:11" ht="16" x14ac:dyDescent="0.25">
      <c r="A158" t="s">
        <v>146</v>
      </c>
      <c r="B158">
        <v>1</v>
      </c>
      <c r="C158">
        <v>2022</v>
      </c>
      <c r="D158" t="s">
        <v>158</v>
      </c>
      <c r="E158">
        <v>5.2</v>
      </c>
      <c r="F158">
        <v>39040616</v>
      </c>
      <c r="G158" s="1" t="str">
        <f t="shared" si="2"/>
        <v>California2022</v>
      </c>
      <c r="H158">
        <f>+INDEX(Sheet1!C:C, MATCH(Hoja1!G158, Sheet1!D:D, 0))</f>
        <v>3660415.7</v>
      </c>
      <c r="I158">
        <f>+INDEX(Sheet1!G:G, MATCH(Hoja1!G158, Sheet1!I:I, 0))</f>
        <v>116181</v>
      </c>
      <c r="J158" s="2">
        <f>+INDEX(Sheet1!H:H, MATCH(Hoja1!G158, Sheet1!I:I, 0))</f>
        <v>9.4532247834360032E-3</v>
      </c>
      <c r="K158" s="2">
        <f>+INDEX(Sheet1!L:L, MATCH(Hoja1!G158,Sheet1!M:M, 0))</f>
        <v>11.2</v>
      </c>
    </row>
    <row r="159" spans="1:11" ht="16" x14ac:dyDescent="0.25">
      <c r="A159" t="s">
        <v>146</v>
      </c>
      <c r="B159">
        <v>2</v>
      </c>
      <c r="C159">
        <v>2022</v>
      </c>
      <c r="D159" t="s">
        <v>159</v>
      </c>
      <c r="E159">
        <v>4.8</v>
      </c>
      <c r="F159">
        <v>39040616</v>
      </c>
      <c r="G159" s="1" t="str">
        <f t="shared" si="2"/>
        <v>California2022</v>
      </c>
      <c r="H159">
        <f>+INDEX(Sheet1!C:C, MATCH(Hoja1!G159, Sheet1!D:D, 0))</f>
        <v>3660415.7</v>
      </c>
      <c r="I159">
        <f>+INDEX(Sheet1!G:G, MATCH(Hoja1!G159, Sheet1!I:I, 0))</f>
        <v>116181</v>
      </c>
      <c r="J159" s="2">
        <f>+INDEX(Sheet1!H:H, MATCH(Hoja1!G159, Sheet1!I:I, 0))</f>
        <v>9.4532247834360032E-3</v>
      </c>
      <c r="K159" s="2">
        <f>+INDEX(Sheet1!L:L, MATCH(Hoja1!G159,Sheet1!M:M, 0))</f>
        <v>11.2</v>
      </c>
    </row>
    <row r="160" spans="1:11" ht="16" x14ac:dyDescent="0.25">
      <c r="A160" t="s">
        <v>146</v>
      </c>
      <c r="B160">
        <v>3</v>
      </c>
      <c r="C160">
        <v>2022</v>
      </c>
      <c r="D160" t="s">
        <v>160</v>
      </c>
      <c r="E160">
        <v>4.4000000000000004</v>
      </c>
      <c r="F160">
        <v>39040616</v>
      </c>
      <c r="G160" s="1" t="str">
        <f t="shared" si="2"/>
        <v>California2022</v>
      </c>
      <c r="H160">
        <f>+INDEX(Sheet1!C:C, MATCH(Hoja1!G160, Sheet1!D:D, 0))</f>
        <v>3660415.7</v>
      </c>
      <c r="I160">
        <f>+INDEX(Sheet1!G:G, MATCH(Hoja1!G160, Sheet1!I:I, 0))</f>
        <v>116181</v>
      </c>
      <c r="J160" s="2">
        <f>+INDEX(Sheet1!H:H, MATCH(Hoja1!G160, Sheet1!I:I, 0))</f>
        <v>9.4532247834360032E-3</v>
      </c>
      <c r="K160" s="2">
        <f>+INDEX(Sheet1!L:L, MATCH(Hoja1!G160,Sheet1!M:M, 0))</f>
        <v>11.2</v>
      </c>
    </row>
    <row r="161" spans="1:11" ht="16" x14ac:dyDescent="0.25">
      <c r="A161" t="s">
        <v>146</v>
      </c>
      <c r="B161">
        <v>4</v>
      </c>
      <c r="C161">
        <v>2022</v>
      </c>
      <c r="D161" t="s">
        <v>161</v>
      </c>
      <c r="E161">
        <v>4.2</v>
      </c>
      <c r="F161">
        <v>39040616</v>
      </c>
      <c r="G161" s="1" t="str">
        <f t="shared" si="2"/>
        <v>California2022</v>
      </c>
      <c r="H161">
        <f>+INDEX(Sheet1!C:C, MATCH(Hoja1!G161, Sheet1!D:D, 0))</f>
        <v>3660415.7</v>
      </c>
      <c r="I161">
        <f>+INDEX(Sheet1!G:G, MATCH(Hoja1!G161, Sheet1!I:I, 0))</f>
        <v>116181</v>
      </c>
      <c r="J161" s="2">
        <f>+INDEX(Sheet1!H:H, MATCH(Hoja1!G161, Sheet1!I:I, 0))</f>
        <v>9.4532247834360032E-3</v>
      </c>
      <c r="K161" s="2">
        <f>+INDEX(Sheet1!L:L, MATCH(Hoja1!G161,Sheet1!M:M, 0))</f>
        <v>11.2</v>
      </c>
    </row>
    <row r="162" spans="1:11" ht="16" x14ac:dyDescent="0.25">
      <c r="A162" t="s">
        <v>146</v>
      </c>
      <c r="B162">
        <v>5</v>
      </c>
      <c r="C162">
        <v>2022</v>
      </c>
      <c r="D162" t="s">
        <v>162</v>
      </c>
      <c r="E162">
        <v>4.0999999999999996</v>
      </c>
      <c r="F162">
        <v>39040616</v>
      </c>
      <c r="G162" s="1" t="str">
        <f t="shared" si="2"/>
        <v>California2022</v>
      </c>
      <c r="H162">
        <f>+INDEX(Sheet1!C:C, MATCH(Hoja1!G162, Sheet1!D:D, 0))</f>
        <v>3660415.7</v>
      </c>
      <c r="I162">
        <f>+INDEX(Sheet1!G:G, MATCH(Hoja1!G162, Sheet1!I:I, 0))</f>
        <v>116181</v>
      </c>
      <c r="J162" s="2">
        <f>+INDEX(Sheet1!H:H, MATCH(Hoja1!G162, Sheet1!I:I, 0))</f>
        <v>9.4532247834360032E-3</v>
      </c>
      <c r="K162" s="2">
        <f>+INDEX(Sheet1!L:L, MATCH(Hoja1!G162,Sheet1!M:M, 0))</f>
        <v>11.2</v>
      </c>
    </row>
    <row r="163" spans="1:11" ht="16" x14ac:dyDescent="0.25">
      <c r="A163" t="s">
        <v>146</v>
      </c>
      <c r="B163">
        <v>6</v>
      </c>
      <c r="C163">
        <v>2022</v>
      </c>
      <c r="D163" t="s">
        <v>163</v>
      </c>
      <c r="E163">
        <v>4</v>
      </c>
      <c r="F163">
        <v>39040616</v>
      </c>
      <c r="G163" s="1" t="str">
        <f t="shared" si="2"/>
        <v>California2022</v>
      </c>
      <c r="H163">
        <f>+INDEX(Sheet1!C:C, MATCH(Hoja1!G163, Sheet1!D:D, 0))</f>
        <v>3660415.7</v>
      </c>
      <c r="I163">
        <f>+INDEX(Sheet1!G:G, MATCH(Hoja1!G163, Sheet1!I:I, 0))</f>
        <v>116181</v>
      </c>
      <c r="J163" s="2">
        <f>+INDEX(Sheet1!H:H, MATCH(Hoja1!G163, Sheet1!I:I, 0))</f>
        <v>9.4532247834360032E-3</v>
      </c>
      <c r="K163" s="2">
        <f>+INDEX(Sheet1!L:L, MATCH(Hoja1!G163,Sheet1!M:M, 0))</f>
        <v>11.2</v>
      </c>
    </row>
    <row r="164" spans="1:11" ht="16" x14ac:dyDescent="0.25">
      <c r="A164" t="s">
        <v>146</v>
      </c>
      <c r="B164">
        <v>7</v>
      </c>
      <c r="C164">
        <v>2022</v>
      </c>
      <c r="D164" t="s">
        <v>164</v>
      </c>
      <c r="E164">
        <v>3.9</v>
      </c>
      <c r="F164">
        <v>39040616</v>
      </c>
      <c r="G164" s="1" t="str">
        <f t="shared" si="2"/>
        <v>California2022</v>
      </c>
      <c r="H164">
        <f>+INDEX(Sheet1!C:C, MATCH(Hoja1!G164, Sheet1!D:D, 0))</f>
        <v>3660415.7</v>
      </c>
      <c r="I164">
        <f>+INDEX(Sheet1!G:G, MATCH(Hoja1!G164, Sheet1!I:I, 0))</f>
        <v>116181</v>
      </c>
      <c r="J164" s="2">
        <f>+INDEX(Sheet1!H:H, MATCH(Hoja1!G164, Sheet1!I:I, 0))</f>
        <v>9.4532247834360032E-3</v>
      </c>
      <c r="K164" s="2">
        <f>+INDEX(Sheet1!L:L, MATCH(Hoja1!G164,Sheet1!M:M, 0))</f>
        <v>11.2</v>
      </c>
    </row>
    <row r="165" spans="1:11" ht="16" x14ac:dyDescent="0.25">
      <c r="A165" t="s">
        <v>146</v>
      </c>
      <c r="B165">
        <v>8</v>
      </c>
      <c r="C165">
        <v>2022</v>
      </c>
      <c r="D165" t="s">
        <v>165</v>
      </c>
      <c r="E165">
        <v>3.8</v>
      </c>
      <c r="F165">
        <v>39040616</v>
      </c>
      <c r="G165" s="1" t="str">
        <f t="shared" si="2"/>
        <v>California2022</v>
      </c>
      <c r="H165">
        <f>+INDEX(Sheet1!C:C, MATCH(Hoja1!G165, Sheet1!D:D, 0))</f>
        <v>3660415.7</v>
      </c>
      <c r="I165">
        <f>+INDEX(Sheet1!G:G, MATCH(Hoja1!G165, Sheet1!I:I, 0))</f>
        <v>116181</v>
      </c>
      <c r="J165" s="2">
        <f>+INDEX(Sheet1!H:H, MATCH(Hoja1!G165, Sheet1!I:I, 0))</f>
        <v>9.4532247834360032E-3</v>
      </c>
      <c r="K165" s="2">
        <f>+INDEX(Sheet1!L:L, MATCH(Hoja1!G165,Sheet1!M:M, 0))</f>
        <v>11.2</v>
      </c>
    </row>
    <row r="166" spans="1:11" ht="16" x14ac:dyDescent="0.25">
      <c r="A166" t="s">
        <v>146</v>
      </c>
      <c r="B166">
        <v>9</v>
      </c>
      <c r="C166">
        <v>2022</v>
      </c>
      <c r="D166" t="s">
        <v>166</v>
      </c>
      <c r="E166">
        <v>4</v>
      </c>
      <c r="F166">
        <v>39040616</v>
      </c>
      <c r="G166" s="1" t="str">
        <f t="shared" si="2"/>
        <v>California2022</v>
      </c>
      <c r="H166">
        <f>+INDEX(Sheet1!C:C, MATCH(Hoja1!G166, Sheet1!D:D, 0))</f>
        <v>3660415.7</v>
      </c>
      <c r="I166">
        <f>+INDEX(Sheet1!G:G, MATCH(Hoja1!G166, Sheet1!I:I, 0))</f>
        <v>116181</v>
      </c>
      <c r="J166" s="2">
        <f>+INDEX(Sheet1!H:H, MATCH(Hoja1!G166, Sheet1!I:I, 0))</f>
        <v>9.4532247834360032E-3</v>
      </c>
      <c r="K166" s="2">
        <f>+INDEX(Sheet1!L:L, MATCH(Hoja1!G166,Sheet1!M:M, 0))</f>
        <v>11.2</v>
      </c>
    </row>
    <row r="167" spans="1:11" ht="16" x14ac:dyDescent="0.25">
      <c r="A167" t="s">
        <v>146</v>
      </c>
      <c r="B167">
        <v>10</v>
      </c>
      <c r="C167">
        <v>2022</v>
      </c>
      <c r="D167" t="s">
        <v>167</v>
      </c>
      <c r="E167">
        <v>4.2</v>
      </c>
      <c r="F167">
        <v>39040616</v>
      </c>
      <c r="G167" s="1" t="str">
        <f t="shared" si="2"/>
        <v>California2022</v>
      </c>
      <c r="H167">
        <f>+INDEX(Sheet1!C:C, MATCH(Hoja1!G167, Sheet1!D:D, 0))</f>
        <v>3660415.7</v>
      </c>
      <c r="I167">
        <f>+INDEX(Sheet1!G:G, MATCH(Hoja1!G167, Sheet1!I:I, 0))</f>
        <v>116181</v>
      </c>
      <c r="J167" s="2">
        <f>+INDEX(Sheet1!H:H, MATCH(Hoja1!G167, Sheet1!I:I, 0))</f>
        <v>9.4532247834360032E-3</v>
      </c>
      <c r="K167" s="2">
        <f>+INDEX(Sheet1!L:L, MATCH(Hoja1!G167,Sheet1!M:M, 0))</f>
        <v>11.2</v>
      </c>
    </row>
    <row r="168" spans="1:11" ht="16" x14ac:dyDescent="0.25">
      <c r="A168" t="s">
        <v>146</v>
      </c>
      <c r="B168">
        <v>11</v>
      </c>
      <c r="C168">
        <v>2022</v>
      </c>
      <c r="D168" t="s">
        <v>168</v>
      </c>
      <c r="E168">
        <v>4.3</v>
      </c>
      <c r="F168">
        <v>39040616</v>
      </c>
      <c r="G168" s="1" t="str">
        <f t="shared" si="2"/>
        <v>California2022</v>
      </c>
      <c r="H168">
        <f>+INDEX(Sheet1!C:C, MATCH(Hoja1!G168, Sheet1!D:D, 0))</f>
        <v>3660415.7</v>
      </c>
      <c r="I168">
        <f>+INDEX(Sheet1!G:G, MATCH(Hoja1!G168, Sheet1!I:I, 0))</f>
        <v>116181</v>
      </c>
      <c r="J168" s="2">
        <f>+INDEX(Sheet1!H:H, MATCH(Hoja1!G168, Sheet1!I:I, 0))</f>
        <v>9.4532247834360032E-3</v>
      </c>
      <c r="K168" s="2">
        <f>+INDEX(Sheet1!L:L, MATCH(Hoja1!G168,Sheet1!M:M, 0))</f>
        <v>11.2</v>
      </c>
    </row>
    <row r="169" spans="1:11" ht="16" x14ac:dyDescent="0.25">
      <c r="A169" t="s">
        <v>146</v>
      </c>
      <c r="B169">
        <v>12</v>
      </c>
      <c r="C169">
        <v>2022</v>
      </c>
      <c r="D169" t="s">
        <v>169</v>
      </c>
      <c r="E169">
        <v>4.4000000000000004</v>
      </c>
      <c r="F169">
        <v>39040616</v>
      </c>
      <c r="G169" s="1" t="str">
        <f t="shared" si="2"/>
        <v>California2022</v>
      </c>
      <c r="H169">
        <f>+INDEX(Sheet1!C:C, MATCH(Hoja1!G169, Sheet1!D:D, 0))</f>
        <v>3660415.7</v>
      </c>
      <c r="I169">
        <f>+INDEX(Sheet1!G:G, MATCH(Hoja1!G169, Sheet1!I:I, 0))</f>
        <v>116181</v>
      </c>
      <c r="J169" s="2">
        <f>+INDEX(Sheet1!H:H, MATCH(Hoja1!G169, Sheet1!I:I, 0))</f>
        <v>9.4532247834360032E-3</v>
      </c>
      <c r="K169" s="2">
        <f>+INDEX(Sheet1!L:L, MATCH(Hoja1!G169,Sheet1!M:M, 0))</f>
        <v>11.2</v>
      </c>
    </row>
    <row r="170" spans="1:11" ht="16" x14ac:dyDescent="0.25">
      <c r="A170" t="s">
        <v>146</v>
      </c>
      <c r="B170">
        <v>1</v>
      </c>
      <c r="C170">
        <v>2023</v>
      </c>
      <c r="D170" t="s">
        <v>170</v>
      </c>
      <c r="E170">
        <v>4.5</v>
      </c>
      <c r="F170">
        <v>38965193</v>
      </c>
      <c r="G170" s="1" t="str">
        <f t="shared" si="2"/>
        <v>California2023</v>
      </c>
      <c r="H170">
        <f>+INDEX(Sheet1!C:C, MATCH(Hoja1!G170, Sheet1!D:D, 0))</f>
        <v>3870378.9</v>
      </c>
      <c r="I170">
        <f>+INDEX(Sheet1!G:G, MATCH(Hoja1!G170, Sheet1!I:I, 0))</f>
        <v>118540</v>
      </c>
      <c r="J170" s="2">
        <f>+INDEX(Sheet1!H:H, MATCH(Hoja1!G170, Sheet1!I:I, 0))</f>
        <v>2.0304524836246892E-2</v>
      </c>
      <c r="K170" s="2">
        <f>+INDEX(Sheet1!L:L, MATCH(Hoja1!G170,Sheet1!M:M, 0))</f>
        <v>11.9</v>
      </c>
    </row>
    <row r="171" spans="1:11" ht="16" x14ac:dyDescent="0.25">
      <c r="A171" t="s">
        <v>146</v>
      </c>
      <c r="B171">
        <v>2</v>
      </c>
      <c r="C171">
        <v>2023</v>
      </c>
      <c r="D171" t="s">
        <v>171</v>
      </c>
      <c r="E171">
        <v>4.5</v>
      </c>
      <c r="F171">
        <v>38965193</v>
      </c>
      <c r="G171" s="1" t="str">
        <f t="shared" si="2"/>
        <v>California2023</v>
      </c>
      <c r="H171">
        <f>+INDEX(Sheet1!C:C, MATCH(Hoja1!G171, Sheet1!D:D, 0))</f>
        <v>3870378.9</v>
      </c>
      <c r="I171">
        <f>+INDEX(Sheet1!G:G, MATCH(Hoja1!G171, Sheet1!I:I, 0))</f>
        <v>118540</v>
      </c>
      <c r="J171" s="2">
        <f>+INDEX(Sheet1!H:H, MATCH(Hoja1!G171, Sheet1!I:I, 0))</f>
        <v>2.0304524836246892E-2</v>
      </c>
      <c r="K171" s="2">
        <f>+INDEX(Sheet1!L:L, MATCH(Hoja1!G171,Sheet1!M:M, 0))</f>
        <v>11.9</v>
      </c>
    </row>
    <row r="172" spans="1:11" ht="16" x14ac:dyDescent="0.25">
      <c r="A172" t="s">
        <v>146</v>
      </c>
      <c r="B172">
        <v>3</v>
      </c>
      <c r="C172">
        <v>2023</v>
      </c>
      <c r="D172" t="s">
        <v>172</v>
      </c>
      <c r="E172">
        <v>4.5</v>
      </c>
      <c r="F172">
        <v>38965193</v>
      </c>
      <c r="G172" s="1" t="str">
        <f t="shared" si="2"/>
        <v>California2023</v>
      </c>
      <c r="H172">
        <f>+INDEX(Sheet1!C:C, MATCH(Hoja1!G172, Sheet1!D:D, 0))</f>
        <v>3870378.9</v>
      </c>
      <c r="I172">
        <f>+INDEX(Sheet1!G:G, MATCH(Hoja1!G172, Sheet1!I:I, 0))</f>
        <v>118540</v>
      </c>
      <c r="J172" s="2">
        <f>+INDEX(Sheet1!H:H, MATCH(Hoja1!G172, Sheet1!I:I, 0))</f>
        <v>2.0304524836246892E-2</v>
      </c>
      <c r="K172" s="2">
        <f>+INDEX(Sheet1!L:L, MATCH(Hoja1!G172,Sheet1!M:M, 0))</f>
        <v>11.9</v>
      </c>
    </row>
    <row r="173" spans="1:11" ht="16" x14ac:dyDescent="0.25">
      <c r="A173" t="s">
        <v>146</v>
      </c>
      <c r="B173">
        <v>4</v>
      </c>
      <c r="C173">
        <v>2023</v>
      </c>
      <c r="D173" t="s">
        <v>173</v>
      </c>
      <c r="E173">
        <v>4.5</v>
      </c>
      <c r="F173">
        <v>38965193</v>
      </c>
      <c r="G173" s="1" t="str">
        <f t="shared" si="2"/>
        <v>California2023</v>
      </c>
      <c r="H173">
        <f>+INDEX(Sheet1!C:C, MATCH(Hoja1!G173, Sheet1!D:D, 0))</f>
        <v>3870378.9</v>
      </c>
      <c r="I173">
        <f>+INDEX(Sheet1!G:G, MATCH(Hoja1!G173, Sheet1!I:I, 0))</f>
        <v>118540</v>
      </c>
      <c r="J173" s="2">
        <f>+INDEX(Sheet1!H:H, MATCH(Hoja1!G173, Sheet1!I:I, 0))</f>
        <v>2.0304524836246892E-2</v>
      </c>
      <c r="K173" s="2">
        <f>+INDEX(Sheet1!L:L, MATCH(Hoja1!G173,Sheet1!M:M, 0))</f>
        <v>11.9</v>
      </c>
    </row>
    <row r="174" spans="1:11" ht="16" x14ac:dyDescent="0.25">
      <c r="A174" t="s">
        <v>146</v>
      </c>
      <c r="B174">
        <v>5</v>
      </c>
      <c r="C174">
        <v>2023</v>
      </c>
      <c r="D174" t="s">
        <v>174</v>
      </c>
      <c r="E174">
        <v>4.5</v>
      </c>
      <c r="F174">
        <v>38965193</v>
      </c>
      <c r="G174" s="1" t="str">
        <f t="shared" si="2"/>
        <v>California2023</v>
      </c>
      <c r="H174">
        <f>+INDEX(Sheet1!C:C, MATCH(Hoja1!G174, Sheet1!D:D, 0))</f>
        <v>3870378.9</v>
      </c>
      <c r="I174">
        <f>+INDEX(Sheet1!G:G, MATCH(Hoja1!G174, Sheet1!I:I, 0))</f>
        <v>118540</v>
      </c>
      <c r="J174" s="2">
        <f>+INDEX(Sheet1!H:H, MATCH(Hoja1!G174, Sheet1!I:I, 0))</f>
        <v>2.0304524836246892E-2</v>
      </c>
      <c r="K174" s="2">
        <f>+INDEX(Sheet1!L:L, MATCH(Hoja1!G174,Sheet1!M:M, 0))</f>
        <v>11.9</v>
      </c>
    </row>
    <row r="175" spans="1:11" ht="16" x14ac:dyDescent="0.25">
      <c r="A175" t="s">
        <v>146</v>
      </c>
      <c r="B175">
        <v>6</v>
      </c>
      <c r="C175">
        <v>2023</v>
      </c>
      <c r="D175" t="s">
        <v>175</v>
      </c>
      <c r="E175">
        <v>4.5999999999999996</v>
      </c>
      <c r="F175">
        <v>38965193</v>
      </c>
      <c r="G175" s="1" t="str">
        <f t="shared" si="2"/>
        <v>California2023</v>
      </c>
      <c r="H175">
        <f>+INDEX(Sheet1!C:C, MATCH(Hoja1!G175, Sheet1!D:D, 0))</f>
        <v>3870378.9</v>
      </c>
      <c r="I175">
        <f>+INDEX(Sheet1!G:G, MATCH(Hoja1!G175, Sheet1!I:I, 0))</f>
        <v>118540</v>
      </c>
      <c r="J175" s="2">
        <f>+INDEX(Sheet1!H:H, MATCH(Hoja1!G175, Sheet1!I:I, 0))</f>
        <v>2.0304524836246892E-2</v>
      </c>
      <c r="K175" s="2">
        <f>+INDEX(Sheet1!L:L, MATCH(Hoja1!G175,Sheet1!M:M, 0))</f>
        <v>11.9</v>
      </c>
    </row>
    <row r="176" spans="1:11" ht="16" x14ac:dyDescent="0.25">
      <c r="A176" t="s">
        <v>146</v>
      </c>
      <c r="B176">
        <v>7</v>
      </c>
      <c r="C176">
        <v>2023</v>
      </c>
      <c r="D176" t="s">
        <v>29</v>
      </c>
      <c r="E176">
        <v>4.7</v>
      </c>
      <c r="F176">
        <v>38965193</v>
      </c>
      <c r="G176" s="1" t="str">
        <f t="shared" si="2"/>
        <v>California2023</v>
      </c>
      <c r="H176">
        <f>+INDEX(Sheet1!C:C, MATCH(Hoja1!G176, Sheet1!D:D, 0))</f>
        <v>3870378.9</v>
      </c>
      <c r="I176">
        <f>+INDEX(Sheet1!G:G, MATCH(Hoja1!G176, Sheet1!I:I, 0))</f>
        <v>118540</v>
      </c>
      <c r="J176" s="2">
        <f>+INDEX(Sheet1!H:H, MATCH(Hoja1!G176, Sheet1!I:I, 0))</f>
        <v>2.0304524836246892E-2</v>
      </c>
      <c r="K176" s="2">
        <f>+INDEX(Sheet1!L:L, MATCH(Hoja1!G176,Sheet1!M:M, 0))</f>
        <v>11.9</v>
      </c>
    </row>
    <row r="177" spans="1:11" ht="16" x14ac:dyDescent="0.25">
      <c r="A177" t="s">
        <v>146</v>
      </c>
      <c r="B177">
        <v>8</v>
      </c>
      <c r="C177">
        <v>2023</v>
      </c>
      <c r="D177" t="s">
        <v>176</v>
      </c>
      <c r="E177">
        <v>4.8</v>
      </c>
      <c r="F177">
        <v>38965193</v>
      </c>
      <c r="G177" s="1" t="str">
        <f t="shared" si="2"/>
        <v>California2023</v>
      </c>
      <c r="H177">
        <f>+INDEX(Sheet1!C:C, MATCH(Hoja1!G177, Sheet1!D:D, 0))</f>
        <v>3870378.9</v>
      </c>
      <c r="I177">
        <f>+INDEX(Sheet1!G:G, MATCH(Hoja1!G177, Sheet1!I:I, 0))</f>
        <v>118540</v>
      </c>
      <c r="J177" s="2">
        <f>+INDEX(Sheet1!H:H, MATCH(Hoja1!G177, Sheet1!I:I, 0))</f>
        <v>2.0304524836246892E-2</v>
      </c>
      <c r="K177" s="2">
        <f>+INDEX(Sheet1!L:L, MATCH(Hoja1!G177,Sheet1!M:M, 0))</f>
        <v>11.9</v>
      </c>
    </row>
    <row r="178" spans="1:11" ht="16" x14ac:dyDescent="0.25">
      <c r="A178" t="s">
        <v>146</v>
      </c>
      <c r="B178">
        <v>9</v>
      </c>
      <c r="C178">
        <v>2023</v>
      </c>
      <c r="D178" t="s">
        <v>177</v>
      </c>
      <c r="E178">
        <v>5</v>
      </c>
      <c r="F178">
        <v>38965193</v>
      </c>
      <c r="G178" s="1" t="str">
        <f t="shared" si="2"/>
        <v>California2023</v>
      </c>
      <c r="H178">
        <f>+INDEX(Sheet1!C:C, MATCH(Hoja1!G178, Sheet1!D:D, 0))</f>
        <v>3870378.9</v>
      </c>
      <c r="I178">
        <f>+INDEX(Sheet1!G:G, MATCH(Hoja1!G178, Sheet1!I:I, 0))</f>
        <v>118540</v>
      </c>
      <c r="J178" s="2">
        <f>+INDEX(Sheet1!H:H, MATCH(Hoja1!G178, Sheet1!I:I, 0))</f>
        <v>2.0304524836246892E-2</v>
      </c>
      <c r="K178" s="2">
        <f>+INDEX(Sheet1!L:L, MATCH(Hoja1!G178,Sheet1!M:M, 0))</f>
        <v>11.9</v>
      </c>
    </row>
    <row r="179" spans="1:11" ht="16" x14ac:dyDescent="0.25">
      <c r="A179" t="s">
        <v>146</v>
      </c>
      <c r="B179">
        <v>10</v>
      </c>
      <c r="C179">
        <v>2023</v>
      </c>
      <c r="D179" t="s">
        <v>178</v>
      </c>
      <c r="E179">
        <v>5.0999999999999996</v>
      </c>
      <c r="F179">
        <v>38965193</v>
      </c>
      <c r="G179" s="1" t="str">
        <f t="shared" si="2"/>
        <v>California2023</v>
      </c>
      <c r="H179">
        <f>+INDEX(Sheet1!C:C, MATCH(Hoja1!G179, Sheet1!D:D, 0))</f>
        <v>3870378.9</v>
      </c>
      <c r="I179">
        <f>+INDEX(Sheet1!G:G, MATCH(Hoja1!G179, Sheet1!I:I, 0))</f>
        <v>118540</v>
      </c>
      <c r="J179" s="2">
        <f>+INDEX(Sheet1!H:H, MATCH(Hoja1!G179, Sheet1!I:I, 0))</f>
        <v>2.0304524836246892E-2</v>
      </c>
      <c r="K179" s="2">
        <f>+INDEX(Sheet1!L:L, MATCH(Hoja1!G179,Sheet1!M:M, 0))</f>
        <v>11.9</v>
      </c>
    </row>
    <row r="180" spans="1:11" ht="16" x14ac:dyDescent="0.25">
      <c r="A180" t="s">
        <v>146</v>
      </c>
      <c r="B180">
        <v>11</v>
      </c>
      <c r="C180">
        <v>2023</v>
      </c>
      <c r="D180" t="s">
        <v>179</v>
      </c>
      <c r="E180">
        <v>5.0999999999999996</v>
      </c>
      <c r="F180">
        <v>38965193</v>
      </c>
      <c r="G180" s="1" t="str">
        <f t="shared" si="2"/>
        <v>California2023</v>
      </c>
      <c r="H180">
        <f>+INDEX(Sheet1!C:C, MATCH(Hoja1!G180, Sheet1!D:D, 0))</f>
        <v>3870378.9</v>
      </c>
      <c r="I180">
        <f>+INDEX(Sheet1!G:G, MATCH(Hoja1!G180, Sheet1!I:I, 0))</f>
        <v>118540</v>
      </c>
      <c r="J180" s="2">
        <f>+INDEX(Sheet1!H:H, MATCH(Hoja1!G180, Sheet1!I:I, 0))</f>
        <v>2.0304524836246892E-2</v>
      </c>
      <c r="K180" s="2">
        <f>+INDEX(Sheet1!L:L, MATCH(Hoja1!G180,Sheet1!M:M, 0))</f>
        <v>11.9</v>
      </c>
    </row>
    <row r="181" spans="1:11" ht="16" x14ac:dyDescent="0.25">
      <c r="A181" t="s">
        <v>146</v>
      </c>
      <c r="B181">
        <v>12</v>
      </c>
      <c r="C181">
        <v>2023</v>
      </c>
      <c r="D181" t="s">
        <v>180</v>
      </c>
      <c r="E181">
        <v>5.0999999999999996</v>
      </c>
      <c r="F181">
        <v>38965193</v>
      </c>
      <c r="G181" s="1" t="str">
        <f t="shared" si="2"/>
        <v>California2023</v>
      </c>
      <c r="H181">
        <f>+INDEX(Sheet1!C:C, MATCH(Hoja1!G181, Sheet1!D:D, 0))</f>
        <v>3870378.9</v>
      </c>
      <c r="I181">
        <f>+INDEX(Sheet1!G:G, MATCH(Hoja1!G181, Sheet1!I:I, 0))</f>
        <v>118540</v>
      </c>
      <c r="J181" s="2">
        <f>+INDEX(Sheet1!H:H, MATCH(Hoja1!G181, Sheet1!I:I, 0))</f>
        <v>2.0304524836246892E-2</v>
      </c>
      <c r="K181" s="2">
        <f>+INDEX(Sheet1!L:L, MATCH(Hoja1!G181,Sheet1!M:M, 0))</f>
        <v>11.9</v>
      </c>
    </row>
    <row r="182" spans="1:11" ht="16" x14ac:dyDescent="0.25">
      <c r="A182" t="s">
        <v>181</v>
      </c>
      <c r="B182">
        <v>1</v>
      </c>
      <c r="C182">
        <v>2021</v>
      </c>
      <c r="D182" t="s">
        <v>182</v>
      </c>
      <c r="E182">
        <v>6.3</v>
      </c>
      <c r="F182">
        <v>5811596</v>
      </c>
      <c r="G182" s="1" t="str">
        <f t="shared" si="2"/>
        <v>Colorado2021</v>
      </c>
      <c r="H182">
        <f>+INDEX(Sheet1!C:C, MATCH(Hoja1!G182, Sheet1!D:D, 0))</f>
        <v>445835.7</v>
      </c>
      <c r="I182">
        <f>+INDEX(Sheet1!G:G, MATCH(Hoja1!G182, Sheet1!I:I, 0))</f>
        <v>116060</v>
      </c>
      <c r="J182" s="2">
        <f>+INDEX(Sheet1!H:H, MATCH(Hoja1!G182, Sheet1!I:I, 0))</f>
        <v>6.9076371809397477E-2</v>
      </c>
      <c r="K182" s="2">
        <f>+INDEX(Sheet1!L:L, MATCH(Hoja1!G182,Sheet1!M:M, 0))</f>
        <v>7.9</v>
      </c>
    </row>
    <row r="183" spans="1:11" ht="16" x14ac:dyDescent="0.25">
      <c r="A183" t="s">
        <v>181</v>
      </c>
      <c r="B183">
        <v>2</v>
      </c>
      <c r="C183">
        <v>2021</v>
      </c>
      <c r="D183" t="s">
        <v>183</v>
      </c>
      <c r="E183">
        <v>6.3</v>
      </c>
      <c r="F183">
        <v>5811596</v>
      </c>
      <c r="G183" s="1" t="str">
        <f t="shared" si="2"/>
        <v>Colorado2021</v>
      </c>
      <c r="H183">
        <f>+INDEX(Sheet1!C:C, MATCH(Hoja1!G183, Sheet1!D:D, 0))</f>
        <v>445835.7</v>
      </c>
      <c r="I183">
        <f>+INDEX(Sheet1!G:G, MATCH(Hoja1!G183, Sheet1!I:I, 0))</f>
        <v>116060</v>
      </c>
      <c r="J183" s="2">
        <f>+INDEX(Sheet1!H:H, MATCH(Hoja1!G183, Sheet1!I:I, 0))</f>
        <v>6.9076371809397477E-2</v>
      </c>
      <c r="K183" s="2">
        <f>+INDEX(Sheet1!L:L, MATCH(Hoja1!G183,Sheet1!M:M, 0))</f>
        <v>7.9</v>
      </c>
    </row>
    <row r="184" spans="1:11" ht="16" x14ac:dyDescent="0.25">
      <c r="A184" t="s">
        <v>181</v>
      </c>
      <c r="B184">
        <v>3</v>
      </c>
      <c r="C184">
        <v>2021</v>
      </c>
      <c r="D184" t="s">
        <v>184</v>
      </c>
      <c r="E184">
        <v>6.2</v>
      </c>
      <c r="F184">
        <v>5811596</v>
      </c>
      <c r="G184" s="1" t="str">
        <f t="shared" si="2"/>
        <v>Colorado2021</v>
      </c>
      <c r="H184">
        <f>+INDEX(Sheet1!C:C, MATCH(Hoja1!G184, Sheet1!D:D, 0))</f>
        <v>445835.7</v>
      </c>
      <c r="I184">
        <f>+INDEX(Sheet1!G:G, MATCH(Hoja1!G184, Sheet1!I:I, 0))</f>
        <v>116060</v>
      </c>
      <c r="J184" s="2">
        <f>+INDEX(Sheet1!H:H, MATCH(Hoja1!G184, Sheet1!I:I, 0))</f>
        <v>6.9076371809397477E-2</v>
      </c>
      <c r="K184" s="2">
        <f>+INDEX(Sheet1!L:L, MATCH(Hoja1!G184,Sheet1!M:M, 0))</f>
        <v>7.9</v>
      </c>
    </row>
    <row r="185" spans="1:11" ht="16" x14ac:dyDescent="0.25">
      <c r="A185" t="s">
        <v>181</v>
      </c>
      <c r="B185">
        <v>4</v>
      </c>
      <c r="C185">
        <v>2021</v>
      </c>
      <c r="D185" t="s">
        <v>171</v>
      </c>
      <c r="E185">
        <v>6.2</v>
      </c>
      <c r="F185">
        <v>5811596</v>
      </c>
      <c r="G185" s="1" t="str">
        <f t="shared" si="2"/>
        <v>Colorado2021</v>
      </c>
      <c r="H185">
        <f>+INDEX(Sheet1!C:C, MATCH(Hoja1!G185, Sheet1!D:D, 0))</f>
        <v>445835.7</v>
      </c>
      <c r="I185">
        <f>+INDEX(Sheet1!G:G, MATCH(Hoja1!G185, Sheet1!I:I, 0))</f>
        <v>116060</v>
      </c>
      <c r="J185" s="2">
        <f>+INDEX(Sheet1!H:H, MATCH(Hoja1!G185, Sheet1!I:I, 0))</f>
        <v>6.9076371809397477E-2</v>
      </c>
      <c r="K185" s="2">
        <f>+INDEX(Sheet1!L:L, MATCH(Hoja1!G185,Sheet1!M:M, 0))</f>
        <v>7.9</v>
      </c>
    </row>
    <row r="186" spans="1:11" ht="16" x14ac:dyDescent="0.25">
      <c r="A186" t="s">
        <v>181</v>
      </c>
      <c r="B186">
        <v>5</v>
      </c>
      <c r="C186">
        <v>2021</v>
      </c>
      <c r="D186" t="s">
        <v>185</v>
      </c>
      <c r="E186">
        <v>5.9</v>
      </c>
      <c r="F186">
        <v>5811596</v>
      </c>
      <c r="G186" s="1" t="str">
        <f t="shared" si="2"/>
        <v>Colorado2021</v>
      </c>
      <c r="H186">
        <f>+INDEX(Sheet1!C:C, MATCH(Hoja1!G186, Sheet1!D:D, 0))</f>
        <v>445835.7</v>
      </c>
      <c r="I186">
        <f>+INDEX(Sheet1!G:G, MATCH(Hoja1!G186, Sheet1!I:I, 0))</f>
        <v>116060</v>
      </c>
      <c r="J186" s="2">
        <f>+INDEX(Sheet1!H:H, MATCH(Hoja1!G186, Sheet1!I:I, 0))</f>
        <v>6.9076371809397477E-2</v>
      </c>
      <c r="K186" s="2">
        <f>+INDEX(Sheet1!L:L, MATCH(Hoja1!G186,Sheet1!M:M, 0))</f>
        <v>7.9</v>
      </c>
    </row>
    <row r="187" spans="1:11" ht="16" x14ac:dyDescent="0.25">
      <c r="A187" t="s">
        <v>181</v>
      </c>
      <c r="B187">
        <v>6</v>
      </c>
      <c r="C187">
        <v>2021</v>
      </c>
      <c r="D187" t="s">
        <v>186</v>
      </c>
      <c r="E187">
        <v>5.9</v>
      </c>
      <c r="F187">
        <v>5811596</v>
      </c>
      <c r="G187" s="1" t="str">
        <f t="shared" si="2"/>
        <v>Colorado2021</v>
      </c>
      <c r="H187">
        <f>+INDEX(Sheet1!C:C, MATCH(Hoja1!G187, Sheet1!D:D, 0))</f>
        <v>445835.7</v>
      </c>
      <c r="I187">
        <f>+INDEX(Sheet1!G:G, MATCH(Hoja1!G187, Sheet1!I:I, 0))</f>
        <v>116060</v>
      </c>
      <c r="J187" s="2">
        <f>+INDEX(Sheet1!H:H, MATCH(Hoja1!G187, Sheet1!I:I, 0))</f>
        <v>6.9076371809397477E-2</v>
      </c>
      <c r="K187" s="2">
        <f>+INDEX(Sheet1!L:L, MATCH(Hoja1!G187,Sheet1!M:M, 0))</f>
        <v>7.9</v>
      </c>
    </row>
    <row r="188" spans="1:11" ht="16" x14ac:dyDescent="0.25">
      <c r="A188" t="s">
        <v>181</v>
      </c>
      <c r="B188">
        <v>7</v>
      </c>
      <c r="C188">
        <v>2021</v>
      </c>
      <c r="D188" t="s">
        <v>187</v>
      </c>
      <c r="E188">
        <v>5.6</v>
      </c>
      <c r="F188">
        <v>5811596</v>
      </c>
      <c r="G188" s="1" t="str">
        <f t="shared" si="2"/>
        <v>Colorado2021</v>
      </c>
      <c r="H188">
        <f>+INDEX(Sheet1!C:C, MATCH(Hoja1!G188, Sheet1!D:D, 0))</f>
        <v>445835.7</v>
      </c>
      <c r="I188">
        <f>+INDEX(Sheet1!G:G, MATCH(Hoja1!G188, Sheet1!I:I, 0))</f>
        <v>116060</v>
      </c>
      <c r="J188" s="2">
        <f>+INDEX(Sheet1!H:H, MATCH(Hoja1!G188, Sheet1!I:I, 0))</f>
        <v>6.9076371809397477E-2</v>
      </c>
      <c r="K188" s="2">
        <f>+INDEX(Sheet1!L:L, MATCH(Hoja1!G188,Sheet1!M:M, 0))</f>
        <v>7.9</v>
      </c>
    </row>
    <row r="189" spans="1:11" ht="16" x14ac:dyDescent="0.25">
      <c r="A189" t="s">
        <v>181</v>
      </c>
      <c r="B189">
        <v>8</v>
      </c>
      <c r="C189">
        <v>2021</v>
      </c>
      <c r="D189" t="s">
        <v>188</v>
      </c>
      <c r="E189">
        <v>5.3</v>
      </c>
      <c r="F189">
        <v>5811596</v>
      </c>
      <c r="G189" s="1" t="str">
        <f t="shared" si="2"/>
        <v>Colorado2021</v>
      </c>
      <c r="H189">
        <f>+INDEX(Sheet1!C:C, MATCH(Hoja1!G189, Sheet1!D:D, 0))</f>
        <v>445835.7</v>
      </c>
      <c r="I189">
        <f>+INDEX(Sheet1!G:G, MATCH(Hoja1!G189, Sheet1!I:I, 0))</f>
        <v>116060</v>
      </c>
      <c r="J189" s="2">
        <f>+INDEX(Sheet1!H:H, MATCH(Hoja1!G189, Sheet1!I:I, 0))</f>
        <v>6.9076371809397477E-2</v>
      </c>
      <c r="K189" s="2">
        <f>+INDEX(Sheet1!L:L, MATCH(Hoja1!G189,Sheet1!M:M, 0))</f>
        <v>7.9</v>
      </c>
    </row>
    <row r="190" spans="1:11" ht="16" x14ac:dyDescent="0.25">
      <c r="A190" t="s">
        <v>181</v>
      </c>
      <c r="B190">
        <v>9</v>
      </c>
      <c r="C190">
        <v>2021</v>
      </c>
      <c r="D190" t="s">
        <v>130</v>
      </c>
      <c r="E190">
        <v>4.9000000000000004</v>
      </c>
      <c r="F190">
        <v>5811596</v>
      </c>
      <c r="G190" s="1" t="str">
        <f t="shared" si="2"/>
        <v>Colorado2021</v>
      </c>
      <c r="H190">
        <f>+INDEX(Sheet1!C:C, MATCH(Hoja1!G190, Sheet1!D:D, 0))</f>
        <v>445835.7</v>
      </c>
      <c r="I190">
        <f>+INDEX(Sheet1!G:G, MATCH(Hoja1!G190, Sheet1!I:I, 0))</f>
        <v>116060</v>
      </c>
      <c r="J190" s="2">
        <f>+INDEX(Sheet1!H:H, MATCH(Hoja1!G190, Sheet1!I:I, 0))</f>
        <v>6.9076371809397477E-2</v>
      </c>
      <c r="K190" s="2">
        <f>+INDEX(Sheet1!L:L, MATCH(Hoja1!G190,Sheet1!M:M, 0))</f>
        <v>7.9</v>
      </c>
    </row>
    <row r="191" spans="1:11" ht="16" x14ac:dyDescent="0.25">
      <c r="A191" t="s">
        <v>181</v>
      </c>
      <c r="B191">
        <v>10</v>
      </c>
      <c r="C191">
        <v>2021</v>
      </c>
      <c r="D191" t="s">
        <v>189</v>
      </c>
      <c r="E191">
        <v>4.5999999999999996</v>
      </c>
      <c r="F191">
        <v>5811596</v>
      </c>
      <c r="G191" s="1" t="str">
        <f t="shared" si="2"/>
        <v>Colorado2021</v>
      </c>
      <c r="H191">
        <f>+INDEX(Sheet1!C:C, MATCH(Hoja1!G191, Sheet1!D:D, 0))</f>
        <v>445835.7</v>
      </c>
      <c r="I191">
        <f>+INDEX(Sheet1!G:G, MATCH(Hoja1!G191, Sheet1!I:I, 0))</f>
        <v>116060</v>
      </c>
      <c r="J191" s="2">
        <f>+INDEX(Sheet1!H:H, MATCH(Hoja1!G191, Sheet1!I:I, 0))</f>
        <v>6.9076371809397477E-2</v>
      </c>
      <c r="K191" s="2">
        <f>+INDEX(Sheet1!L:L, MATCH(Hoja1!G191,Sheet1!M:M, 0))</f>
        <v>7.9</v>
      </c>
    </row>
    <row r="192" spans="1:11" ht="16" x14ac:dyDescent="0.25">
      <c r="A192" t="s">
        <v>181</v>
      </c>
      <c r="B192">
        <v>11</v>
      </c>
      <c r="C192">
        <v>2021</v>
      </c>
      <c r="D192" t="s">
        <v>190</v>
      </c>
      <c r="E192">
        <v>4.4000000000000004</v>
      </c>
      <c r="F192">
        <v>5811596</v>
      </c>
      <c r="G192" s="1" t="str">
        <f t="shared" si="2"/>
        <v>Colorado2021</v>
      </c>
      <c r="H192">
        <f>+INDEX(Sheet1!C:C, MATCH(Hoja1!G192, Sheet1!D:D, 0))</f>
        <v>445835.7</v>
      </c>
      <c r="I192">
        <f>+INDEX(Sheet1!G:G, MATCH(Hoja1!G192, Sheet1!I:I, 0))</f>
        <v>116060</v>
      </c>
      <c r="J192" s="2">
        <f>+INDEX(Sheet1!H:H, MATCH(Hoja1!G192, Sheet1!I:I, 0))</f>
        <v>6.9076371809397477E-2</v>
      </c>
      <c r="K192" s="2">
        <f>+INDEX(Sheet1!L:L, MATCH(Hoja1!G192,Sheet1!M:M, 0))</f>
        <v>7.9</v>
      </c>
    </row>
    <row r="193" spans="1:11" ht="16" x14ac:dyDescent="0.25">
      <c r="A193" t="s">
        <v>181</v>
      </c>
      <c r="B193">
        <v>12</v>
      </c>
      <c r="C193">
        <v>2021</v>
      </c>
      <c r="D193" t="s">
        <v>191</v>
      </c>
      <c r="E193">
        <v>4.2</v>
      </c>
      <c r="F193">
        <v>5811596</v>
      </c>
      <c r="G193" s="1" t="str">
        <f t="shared" si="2"/>
        <v>Colorado2021</v>
      </c>
      <c r="H193">
        <f>+INDEX(Sheet1!C:C, MATCH(Hoja1!G193, Sheet1!D:D, 0))</f>
        <v>445835.7</v>
      </c>
      <c r="I193">
        <f>+INDEX(Sheet1!G:G, MATCH(Hoja1!G193, Sheet1!I:I, 0))</f>
        <v>116060</v>
      </c>
      <c r="J193" s="2">
        <f>+INDEX(Sheet1!H:H, MATCH(Hoja1!G193, Sheet1!I:I, 0))</f>
        <v>6.9076371809397477E-2</v>
      </c>
      <c r="K193" s="2">
        <f>+INDEX(Sheet1!L:L, MATCH(Hoja1!G193,Sheet1!M:M, 0))</f>
        <v>7.9</v>
      </c>
    </row>
    <row r="194" spans="1:11" ht="16" x14ac:dyDescent="0.25">
      <c r="A194" t="s">
        <v>181</v>
      </c>
      <c r="B194">
        <v>1</v>
      </c>
      <c r="C194">
        <v>2022</v>
      </c>
      <c r="D194" t="s">
        <v>192</v>
      </c>
      <c r="E194">
        <v>4</v>
      </c>
      <c r="F194">
        <v>5841039</v>
      </c>
      <c r="G194" s="1" t="str">
        <f t="shared" si="2"/>
        <v>Colorado2022</v>
      </c>
      <c r="H194">
        <f>+INDEX(Sheet1!C:C, MATCH(Hoja1!G194, Sheet1!D:D, 0))</f>
        <v>494672.8</v>
      </c>
      <c r="I194">
        <f>+INDEX(Sheet1!G:G, MATCH(Hoja1!G194, Sheet1!I:I, 0))</f>
        <v>119591</v>
      </c>
      <c r="J194" s="2">
        <f>+INDEX(Sheet1!H:H, MATCH(Hoja1!G194, Sheet1!I:I, 0))</f>
        <v>3.0423918662760643E-2</v>
      </c>
      <c r="K194" s="2">
        <f>+INDEX(Sheet1!L:L, MATCH(Hoja1!G194,Sheet1!M:M, 0))</f>
        <v>8.1</v>
      </c>
    </row>
    <row r="195" spans="1:11" ht="16" x14ac:dyDescent="0.25">
      <c r="A195" t="s">
        <v>181</v>
      </c>
      <c r="B195">
        <v>2</v>
      </c>
      <c r="C195">
        <v>2022</v>
      </c>
      <c r="D195" t="s">
        <v>193</v>
      </c>
      <c r="E195">
        <v>3.6</v>
      </c>
      <c r="F195">
        <v>5841039</v>
      </c>
      <c r="G195" s="1" t="str">
        <f t="shared" ref="G195:G258" si="3">+A195&amp;C195</f>
        <v>Colorado2022</v>
      </c>
      <c r="H195">
        <f>+INDEX(Sheet1!C:C, MATCH(Hoja1!G195, Sheet1!D:D, 0))</f>
        <v>494672.8</v>
      </c>
      <c r="I195">
        <f>+INDEX(Sheet1!G:G, MATCH(Hoja1!G195, Sheet1!I:I, 0))</f>
        <v>119591</v>
      </c>
      <c r="J195" s="2">
        <f>+INDEX(Sheet1!H:H, MATCH(Hoja1!G195, Sheet1!I:I, 0))</f>
        <v>3.0423918662760643E-2</v>
      </c>
      <c r="K195" s="2">
        <f>+INDEX(Sheet1!L:L, MATCH(Hoja1!G195,Sheet1!M:M, 0))</f>
        <v>8.1</v>
      </c>
    </row>
    <row r="196" spans="1:11" ht="16" x14ac:dyDescent="0.25">
      <c r="A196" t="s">
        <v>181</v>
      </c>
      <c r="B196">
        <v>3</v>
      </c>
      <c r="C196">
        <v>2022</v>
      </c>
      <c r="D196" t="s">
        <v>194</v>
      </c>
      <c r="E196">
        <v>3.3</v>
      </c>
      <c r="F196">
        <v>5841039</v>
      </c>
      <c r="G196" s="1" t="str">
        <f t="shared" si="3"/>
        <v>Colorado2022</v>
      </c>
      <c r="H196">
        <f>+INDEX(Sheet1!C:C, MATCH(Hoja1!G196, Sheet1!D:D, 0))</f>
        <v>494672.8</v>
      </c>
      <c r="I196">
        <f>+INDEX(Sheet1!G:G, MATCH(Hoja1!G196, Sheet1!I:I, 0))</f>
        <v>119591</v>
      </c>
      <c r="J196" s="2">
        <f>+INDEX(Sheet1!H:H, MATCH(Hoja1!G196, Sheet1!I:I, 0))</f>
        <v>3.0423918662760643E-2</v>
      </c>
      <c r="K196" s="2">
        <f>+INDEX(Sheet1!L:L, MATCH(Hoja1!G196,Sheet1!M:M, 0))</f>
        <v>8.1</v>
      </c>
    </row>
    <row r="197" spans="1:11" ht="16" x14ac:dyDescent="0.25">
      <c r="A197" t="s">
        <v>181</v>
      </c>
      <c r="B197">
        <v>4</v>
      </c>
      <c r="C197">
        <v>2022</v>
      </c>
      <c r="D197" t="s">
        <v>195</v>
      </c>
      <c r="E197">
        <v>3.1</v>
      </c>
      <c r="F197">
        <v>5841039</v>
      </c>
      <c r="G197" s="1" t="str">
        <f t="shared" si="3"/>
        <v>Colorado2022</v>
      </c>
      <c r="H197">
        <f>+INDEX(Sheet1!C:C, MATCH(Hoja1!G197, Sheet1!D:D, 0))</f>
        <v>494672.8</v>
      </c>
      <c r="I197">
        <f>+INDEX(Sheet1!G:G, MATCH(Hoja1!G197, Sheet1!I:I, 0))</f>
        <v>119591</v>
      </c>
      <c r="J197" s="2">
        <f>+INDEX(Sheet1!H:H, MATCH(Hoja1!G197, Sheet1!I:I, 0))</f>
        <v>3.0423918662760643E-2</v>
      </c>
      <c r="K197" s="2">
        <f>+INDEX(Sheet1!L:L, MATCH(Hoja1!G197,Sheet1!M:M, 0))</f>
        <v>8.1</v>
      </c>
    </row>
    <row r="198" spans="1:11" ht="16" x14ac:dyDescent="0.25">
      <c r="A198" t="s">
        <v>181</v>
      </c>
      <c r="B198">
        <v>5</v>
      </c>
      <c r="C198">
        <v>2022</v>
      </c>
      <c r="D198" t="s">
        <v>196</v>
      </c>
      <c r="E198">
        <v>3</v>
      </c>
      <c r="F198">
        <v>5841039</v>
      </c>
      <c r="G198" s="1" t="str">
        <f t="shared" si="3"/>
        <v>Colorado2022</v>
      </c>
      <c r="H198">
        <f>+INDEX(Sheet1!C:C, MATCH(Hoja1!G198, Sheet1!D:D, 0))</f>
        <v>494672.8</v>
      </c>
      <c r="I198">
        <f>+INDEX(Sheet1!G:G, MATCH(Hoja1!G198, Sheet1!I:I, 0))</f>
        <v>119591</v>
      </c>
      <c r="J198" s="2">
        <f>+INDEX(Sheet1!H:H, MATCH(Hoja1!G198, Sheet1!I:I, 0))</f>
        <v>3.0423918662760643E-2</v>
      </c>
      <c r="K198" s="2">
        <f>+INDEX(Sheet1!L:L, MATCH(Hoja1!G198,Sheet1!M:M, 0))</f>
        <v>8.1</v>
      </c>
    </row>
    <row r="199" spans="1:11" ht="16" x14ac:dyDescent="0.25">
      <c r="A199" t="s">
        <v>181</v>
      </c>
      <c r="B199">
        <v>6</v>
      </c>
      <c r="C199">
        <v>2022</v>
      </c>
      <c r="D199" t="s">
        <v>197</v>
      </c>
      <c r="E199">
        <v>2.8</v>
      </c>
      <c r="F199">
        <v>5841039</v>
      </c>
      <c r="G199" s="1" t="str">
        <f t="shared" si="3"/>
        <v>Colorado2022</v>
      </c>
      <c r="H199">
        <f>+INDEX(Sheet1!C:C, MATCH(Hoja1!G199, Sheet1!D:D, 0))</f>
        <v>494672.8</v>
      </c>
      <c r="I199">
        <f>+INDEX(Sheet1!G:G, MATCH(Hoja1!G199, Sheet1!I:I, 0))</f>
        <v>119591</v>
      </c>
      <c r="J199" s="2">
        <f>+INDEX(Sheet1!H:H, MATCH(Hoja1!G199, Sheet1!I:I, 0))</f>
        <v>3.0423918662760643E-2</v>
      </c>
      <c r="K199" s="2">
        <f>+INDEX(Sheet1!L:L, MATCH(Hoja1!G199,Sheet1!M:M, 0))</f>
        <v>8.1</v>
      </c>
    </row>
    <row r="200" spans="1:11" ht="16" x14ac:dyDescent="0.25">
      <c r="A200" t="s">
        <v>181</v>
      </c>
      <c r="B200">
        <v>7</v>
      </c>
      <c r="C200">
        <v>2022</v>
      </c>
      <c r="D200" t="s">
        <v>198</v>
      </c>
      <c r="E200">
        <v>2.7</v>
      </c>
      <c r="F200">
        <v>5841039</v>
      </c>
      <c r="G200" s="1" t="str">
        <f t="shared" si="3"/>
        <v>Colorado2022</v>
      </c>
      <c r="H200">
        <f>+INDEX(Sheet1!C:C, MATCH(Hoja1!G200, Sheet1!D:D, 0))</f>
        <v>494672.8</v>
      </c>
      <c r="I200">
        <f>+INDEX(Sheet1!G:G, MATCH(Hoja1!G200, Sheet1!I:I, 0))</f>
        <v>119591</v>
      </c>
      <c r="J200" s="2">
        <f>+INDEX(Sheet1!H:H, MATCH(Hoja1!G200, Sheet1!I:I, 0))</f>
        <v>3.0423918662760643E-2</v>
      </c>
      <c r="K200" s="2">
        <f>+INDEX(Sheet1!L:L, MATCH(Hoja1!G200,Sheet1!M:M, 0))</f>
        <v>8.1</v>
      </c>
    </row>
    <row r="201" spans="1:11" ht="16" x14ac:dyDescent="0.25">
      <c r="A201" t="s">
        <v>181</v>
      </c>
      <c r="B201">
        <v>8</v>
      </c>
      <c r="C201">
        <v>2022</v>
      </c>
      <c r="D201" t="s">
        <v>199</v>
      </c>
      <c r="E201">
        <v>2.6</v>
      </c>
      <c r="F201">
        <v>5841039</v>
      </c>
      <c r="G201" s="1" t="str">
        <f t="shared" si="3"/>
        <v>Colorado2022</v>
      </c>
      <c r="H201">
        <f>+INDEX(Sheet1!C:C, MATCH(Hoja1!G201, Sheet1!D:D, 0))</f>
        <v>494672.8</v>
      </c>
      <c r="I201">
        <f>+INDEX(Sheet1!G:G, MATCH(Hoja1!G201, Sheet1!I:I, 0))</f>
        <v>119591</v>
      </c>
      <c r="J201" s="2">
        <f>+INDEX(Sheet1!H:H, MATCH(Hoja1!G201, Sheet1!I:I, 0))</f>
        <v>3.0423918662760643E-2</v>
      </c>
      <c r="K201" s="2">
        <f>+INDEX(Sheet1!L:L, MATCH(Hoja1!G201,Sheet1!M:M, 0))</f>
        <v>8.1</v>
      </c>
    </row>
    <row r="202" spans="1:11" ht="16" x14ac:dyDescent="0.25">
      <c r="A202" t="s">
        <v>181</v>
      </c>
      <c r="B202">
        <v>9</v>
      </c>
      <c r="C202">
        <v>2022</v>
      </c>
      <c r="D202" t="s">
        <v>200</v>
      </c>
      <c r="E202">
        <v>2.8</v>
      </c>
      <c r="F202">
        <v>5841039</v>
      </c>
      <c r="G202" s="1" t="str">
        <f t="shared" si="3"/>
        <v>Colorado2022</v>
      </c>
      <c r="H202">
        <f>+INDEX(Sheet1!C:C, MATCH(Hoja1!G202, Sheet1!D:D, 0))</f>
        <v>494672.8</v>
      </c>
      <c r="I202">
        <f>+INDEX(Sheet1!G:G, MATCH(Hoja1!G202, Sheet1!I:I, 0))</f>
        <v>119591</v>
      </c>
      <c r="J202" s="2">
        <f>+INDEX(Sheet1!H:H, MATCH(Hoja1!G202, Sheet1!I:I, 0))</f>
        <v>3.0423918662760643E-2</v>
      </c>
      <c r="K202" s="2">
        <f>+INDEX(Sheet1!L:L, MATCH(Hoja1!G202,Sheet1!M:M, 0))</f>
        <v>8.1</v>
      </c>
    </row>
    <row r="203" spans="1:11" ht="16" x14ac:dyDescent="0.25">
      <c r="A203" t="s">
        <v>181</v>
      </c>
      <c r="B203">
        <v>10</v>
      </c>
      <c r="C203">
        <v>2022</v>
      </c>
      <c r="D203" t="s">
        <v>201</v>
      </c>
      <c r="E203">
        <v>2.9</v>
      </c>
      <c r="F203">
        <v>5841039</v>
      </c>
      <c r="G203" s="1" t="str">
        <f t="shared" si="3"/>
        <v>Colorado2022</v>
      </c>
      <c r="H203">
        <f>+INDEX(Sheet1!C:C, MATCH(Hoja1!G203, Sheet1!D:D, 0))</f>
        <v>494672.8</v>
      </c>
      <c r="I203">
        <f>+INDEX(Sheet1!G:G, MATCH(Hoja1!G203, Sheet1!I:I, 0))</f>
        <v>119591</v>
      </c>
      <c r="J203" s="2">
        <f>+INDEX(Sheet1!H:H, MATCH(Hoja1!G203, Sheet1!I:I, 0))</f>
        <v>3.0423918662760643E-2</v>
      </c>
      <c r="K203" s="2">
        <f>+INDEX(Sheet1!L:L, MATCH(Hoja1!G203,Sheet1!M:M, 0))</f>
        <v>8.1</v>
      </c>
    </row>
    <row r="204" spans="1:11" ht="16" x14ac:dyDescent="0.25">
      <c r="A204" t="s">
        <v>181</v>
      </c>
      <c r="B204">
        <v>11</v>
      </c>
      <c r="C204">
        <v>2022</v>
      </c>
      <c r="D204" t="s">
        <v>202</v>
      </c>
      <c r="E204">
        <v>3</v>
      </c>
      <c r="F204">
        <v>5841039</v>
      </c>
      <c r="G204" s="1" t="str">
        <f t="shared" si="3"/>
        <v>Colorado2022</v>
      </c>
      <c r="H204">
        <f>+INDEX(Sheet1!C:C, MATCH(Hoja1!G204, Sheet1!D:D, 0))</f>
        <v>494672.8</v>
      </c>
      <c r="I204">
        <f>+INDEX(Sheet1!G:G, MATCH(Hoja1!G204, Sheet1!I:I, 0))</f>
        <v>119591</v>
      </c>
      <c r="J204" s="2">
        <f>+INDEX(Sheet1!H:H, MATCH(Hoja1!G204, Sheet1!I:I, 0))</f>
        <v>3.0423918662760643E-2</v>
      </c>
      <c r="K204" s="2">
        <f>+INDEX(Sheet1!L:L, MATCH(Hoja1!G204,Sheet1!M:M, 0))</f>
        <v>8.1</v>
      </c>
    </row>
    <row r="205" spans="1:11" ht="16" x14ac:dyDescent="0.25">
      <c r="A205" t="s">
        <v>181</v>
      </c>
      <c r="B205">
        <v>12</v>
      </c>
      <c r="C205">
        <v>2022</v>
      </c>
      <c r="D205" t="s">
        <v>203</v>
      </c>
      <c r="E205">
        <v>3</v>
      </c>
      <c r="F205">
        <v>5841039</v>
      </c>
      <c r="G205" s="1" t="str">
        <f t="shared" si="3"/>
        <v>Colorado2022</v>
      </c>
      <c r="H205">
        <f>+INDEX(Sheet1!C:C, MATCH(Hoja1!G205, Sheet1!D:D, 0))</f>
        <v>494672.8</v>
      </c>
      <c r="I205">
        <f>+INDEX(Sheet1!G:G, MATCH(Hoja1!G205, Sheet1!I:I, 0))</f>
        <v>119591</v>
      </c>
      <c r="J205" s="2">
        <f>+INDEX(Sheet1!H:H, MATCH(Hoja1!G205, Sheet1!I:I, 0))</f>
        <v>3.0423918662760643E-2</v>
      </c>
      <c r="K205" s="2">
        <f>+INDEX(Sheet1!L:L, MATCH(Hoja1!G205,Sheet1!M:M, 0))</f>
        <v>8.1</v>
      </c>
    </row>
    <row r="206" spans="1:11" ht="16" x14ac:dyDescent="0.25">
      <c r="A206" t="s">
        <v>181</v>
      </c>
      <c r="B206">
        <v>1</v>
      </c>
      <c r="C206">
        <v>2023</v>
      </c>
      <c r="D206" t="s">
        <v>204</v>
      </c>
      <c r="E206">
        <v>3</v>
      </c>
      <c r="F206">
        <v>5877610</v>
      </c>
      <c r="G206" s="1" t="str">
        <f t="shared" si="3"/>
        <v>Colorado2023</v>
      </c>
      <c r="H206">
        <f>+INDEX(Sheet1!C:C, MATCH(Hoja1!G206, Sheet1!D:D, 0))</f>
        <v>529626.5</v>
      </c>
      <c r="I206">
        <f>+INDEX(Sheet1!G:G, MATCH(Hoja1!G206, Sheet1!I:I, 0))</f>
        <v>124799</v>
      </c>
      <c r="J206" s="2">
        <f>+INDEX(Sheet1!H:H, MATCH(Hoja1!G206, Sheet1!I:I, 0))</f>
        <v>4.354842755725765E-2</v>
      </c>
      <c r="K206" s="2">
        <f>+INDEX(Sheet1!L:L, MATCH(Hoja1!G206,Sheet1!M:M, 0))</f>
        <v>8.5</v>
      </c>
    </row>
    <row r="207" spans="1:11" ht="16" x14ac:dyDescent="0.25">
      <c r="A207" t="s">
        <v>181</v>
      </c>
      <c r="B207">
        <v>2</v>
      </c>
      <c r="C207">
        <v>2023</v>
      </c>
      <c r="D207" t="s">
        <v>205</v>
      </c>
      <c r="E207">
        <v>3</v>
      </c>
      <c r="F207">
        <v>5877610</v>
      </c>
      <c r="G207" s="1" t="str">
        <f t="shared" si="3"/>
        <v>Colorado2023</v>
      </c>
      <c r="H207">
        <f>+INDEX(Sheet1!C:C, MATCH(Hoja1!G207, Sheet1!D:D, 0))</f>
        <v>529626.5</v>
      </c>
      <c r="I207">
        <f>+INDEX(Sheet1!G:G, MATCH(Hoja1!G207, Sheet1!I:I, 0))</f>
        <v>124799</v>
      </c>
      <c r="J207" s="2">
        <f>+INDEX(Sheet1!H:H, MATCH(Hoja1!G207, Sheet1!I:I, 0))</f>
        <v>4.354842755725765E-2</v>
      </c>
      <c r="K207" s="2">
        <f>+INDEX(Sheet1!L:L, MATCH(Hoja1!G207,Sheet1!M:M, 0))</f>
        <v>8.5</v>
      </c>
    </row>
    <row r="208" spans="1:11" ht="16" x14ac:dyDescent="0.25">
      <c r="A208" t="s">
        <v>181</v>
      </c>
      <c r="B208">
        <v>3</v>
      </c>
      <c r="C208">
        <v>2023</v>
      </c>
      <c r="D208" t="s">
        <v>206</v>
      </c>
      <c r="E208">
        <v>3</v>
      </c>
      <c r="F208">
        <v>5877610</v>
      </c>
      <c r="G208" s="1" t="str">
        <f t="shared" si="3"/>
        <v>Colorado2023</v>
      </c>
      <c r="H208">
        <f>+INDEX(Sheet1!C:C, MATCH(Hoja1!G208, Sheet1!D:D, 0))</f>
        <v>529626.5</v>
      </c>
      <c r="I208">
        <f>+INDEX(Sheet1!G:G, MATCH(Hoja1!G208, Sheet1!I:I, 0))</f>
        <v>124799</v>
      </c>
      <c r="J208" s="2">
        <f>+INDEX(Sheet1!H:H, MATCH(Hoja1!G208, Sheet1!I:I, 0))</f>
        <v>4.354842755725765E-2</v>
      </c>
      <c r="K208" s="2">
        <f>+INDEX(Sheet1!L:L, MATCH(Hoja1!G208,Sheet1!M:M, 0))</f>
        <v>8.5</v>
      </c>
    </row>
    <row r="209" spans="1:11" ht="16" x14ac:dyDescent="0.25">
      <c r="A209" t="s">
        <v>181</v>
      </c>
      <c r="B209">
        <v>4</v>
      </c>
      <c r="C209">
        <v>2023</v>
      </c>
      <c r="D209" t="s">
        <v>207</v>
      </c>
      <c r="E209">
        <v>3</v>
      </c>
      <c r="F209">
        <v>5877610</v>
      </c>
      <c r="G209" s="1" t="str">
        <f t="shared" si="3"/>
        <v>Colorado2023</v>
      </c>
      <c r="H209">
        <f>+INDEX(Sheet1!C:C, MATCH(Hoja1!G209, Sheet1!D:D, 0))</f>
        <v>529626.5</v>
      </c>
      <c r="I209">
        <f>+INDEX(Sheet1!G:G, MATCH(Hoja1!G209, Sheet1!I:I, 0))</f>
        <v>124799</v>
      </c>
      <c r="J209" s="2">
        <f>+INDEX(Sheet1!H:H, MATCH(Hoja1!G209, Sheet1!I:I, 0))</f>
        <v>4.354842755725765E-2</v>
      </c>
      <c r="K209" s="2">
        <f>+INDEX(Sheet1!L:L, MATCH(Hoja1!G209,Sheet1!M:M, 0))</f>
        <v>8.5</v>
      </c>
    </row>
    <row r="210" spans="1:11" ht="16" x14ac:dyDescent="0.25">
      <c r="A210" t="s">
        <v>181</v>
      </c>
      <c r="B210">
        <v>5</v>
      </c>
      <c r="C210">
        <v>2023</v>
      </c>
      <c r="D210" t="s">
        <v>208</v>
      </c>
      <c r="E210">
        <v>3.1</v>
      </c>
      <c r="F210">
        <v>5877610</v>
      </c>
      <c r="G210" s="1" t="str">
        <f t="shared" si="3"/>
        <v>Colorado2023</v>
      </c>
      <c r="H210">
        <f>+INDEX(Sheet1!C:C, MATCH(Hoja1!G210, Sheet1!D:D, 0))</f>
        <v>529626.5</v>
      </c>
      <c r="I210">
        <f>+INDEX(Sheet1!G:G, MATCH(Hoja1!G210, Sheet1!I:I, 0))</f>
        <v>124799</v>
      </c>
      <c r="J210" s="2">
        <f>+INDEX(Sheet1!H:H, MATCH(Hoja1!G210, Sheet1!I:I, 0))</f>
        <v>4.354842755725765E-2</v>
      </c>
      <c r="K210" s="2">
        <f>+INDEX(Sheet1!L:L, MATCH(Hoja1!G210,Sheet1!M:M, 0))</f>
        <v>8.5</v>
      </c>
    </row>
    <row r="211" spans="1:11" ht="16" x14ac:dyDescent="0.25">
      <c r="A211" t="s">
        <v>181</v>
      </c>
      <c r="B211">
        <v>6</v>
      </c>
      <c r="C211">
        <v>2023</v>
      </c>
      <c r="D211" t="s">
        <v>209</v>
      </c>
      <c r="E211">
        <v>3.1</v>
      </c>
      <c r="F211">
        <v>5877610</v>
      </c>
      <c r="G211" s="1" t="str">
        <f t="shared" si="3"/>
        <v>Colorado2023</v>
      </c>
      <c r="H211">
        <f>+INDEX(Sheet1!C:C, MATCH(Hoja1!G211, Sheet1!D:D, 0))</f>
        <v>529626.5</v>
      </c>
      <c r="I211">
        <f>+INDEX(Sheet1!G:G, MATCH(Hoja1!G211, Sheet1!I:I, 0))</f>
        <v>124799</v>
      </c>
      <c r="J211" s="2">
        <f>+INDEX(Sheet1!H:H, MATCH(Hoja1!G211, Sheet1!I:I, 0))</f>
        <v>4.354842755725765E-2</v>
      </c>
      <c r="K211" s="2">
        <f>+INDEX(Sheet1!L:L, MATCH(Hoja1!G211,Sheet1!M:M, 0))</f>
        <v>8.5</v>
      </c>
    </row>
    <row r="212" spans="1:11" ht="16" x14ac:dyDescent="0.25">
      <c r="A212" t="s">
        <v>181</v>
      </c>
      <c r="B212">
        <v>7</v>
      </c>
      <c r="C212">
        <v>2023</v>
      </c>
      <c r="D212" t="s">
        <v>210</v>
      </c>
      <c r="E212">
        <v>3.2</v>
      </c>
      <c r="F212">
        <v>5877610</v>
      </c>
      <c r="G212" s="1" t="str">
        <f t="shared" si="3"/>
        <v>Colorado2023</v>
      </c>
      <c r="H212">
        <f>+INDEX(Sheet1!C:C, MATCH(Hoja1!G212, Sheet1!D:D, 0))</f>
        <v>529626.5</v>
      </c>
      <c r="I212">
        <f>+INDEX(Sheet1!G:G, MATCH(Hoja1!G212, Sheet1!I:I, 0))</f>
        <v>124799</v>
      </c>
      <c r="J212" s="2">
        <f>+INDEX(Sheet1!H:H, MATCH(Hoja1!G212, Sheet1!I:I, 0))</f>
        <v>4.354842755725765E-2</v>
      </c>
      <c r="K212" s="2">
        <f>+INDEX(Sheet1!L:L, MATCH(Hoja1!G212,Sheet1!M:M, 0))</f>
        <v>8.5</v>
      </c>
    </row>
    <row r="213" spans="1:11" ht="16" x14ac:dyDescent="0.25">
      <c r="A213" t="s">
        <v>181</v>
      </c>
      <c r="B213">
        <v>8</v>
      </c>
      <c r="C213">
        <v>2023</v>
      </c>
      <c r="D213" t="s">
        <v>211</v>
      </c>
      <c r="E213">
        <v>3.2</v>
      </c>
      <c r="F213">
        <v>5877610</v>
      </c>
      <c r="G213" s="1" t="str">
        <f t="shared" si="3"/>
        <v>Colorado2023</v>
      </c>
      <c r="H213">
        <f>+INDEX(Sheet1!C:C, MATCH(Hoja1!G213, Sheet1!D:D, 0))</f>
        <v>529626.5</v>
      </c>
      <c r="I213">
        <f>+INDEX(Sheet1!G:G, MATCH(Hoja1!G213, Sheet1!I:I, 0))</f>
        <v>124799</v>
      </c>
      <c r="J213" s="2">
        <f>+INDEX(Sheet1!H:H, MATCH(Hoja1!G213, Sheet1!I:I, 0))</f>
        <v>4.354842755725765E-2</v>
      </c>
      <c r="K213" s="2">
        <f>+INDEX(Sheet1!L:L, MATCH(Hoja1!G213,Sheet1!M:M, 0))</f>
        <v>8.5</v>
      </c>
    </row>
    <row r="214" spans="1:11" ht="16" x14ac:dyDescent="0.25">
      <c r="A214" t="s">
        <v>181</v>
      </c>
      <c r="B214">
        <v>9</v>
      </c>
      <c r="C214">
        <v>2023</v>
      </c>
      <c r="D214">
        <v>29</v>
      </c>
      <c r="E214">
        <v>3.3</v>
      </c>
      <c r="F214">
        <v>5877610</v>
      </c>
      <c r="G214" s="1" t="str">
        <f t="shared" si="3"/>
        <v>Colorado2023</v>
      </c>
      <c r="H214">
        <f>+INDEX(Sheet1!C:C, MATCH(Hoja1!G214, Sheet1!D:D, 0))</f>
        <v>529626.5</v>
      </c>
      <c r="I214">
        <f>+INDEX(Sheet1!G:G, MATCH(Hoja1!G214, Sheet1!I:I, 0))</f>
        <v>124799</v>
      </c>
      <c r="J214" s="2">
        <f>+INDEX(Sheet1!H:H, MATCH(Hoja1!G214, Sheet1!I:I, 0))</f>
        <v>4.354842755725765E-2</v>
      </c>
      <c r="K214" s="2">
        <f>+INDEX(Sheet1!L:L, MATCH(Hoja1!G214,Sheet1!M:M, 0))</f>
        <v>8.5</v>
      </c>
    </row>
    <row r="215" spans="1:11" ht="16" x14ac:dyDescent="0.25">
      <c r="A215" t="s">
        <v>181</v>
      </c>
      <c r="B215">
        <v>10</v>
      </c>
      <c r="C215">
        <v>2023</v>
      </c>
      <c r="D215" t="s">
        <v>212</v>
      </c>
      <c r="E215">
        <v>3.3</v>
      </c>
      <c r="F215">
        <v>5877610</v>
      </c>
      <c r="G215" s="1" t="str">
        <f t="shared" si="3"/>
        <v>Colorado2023</v>
      </c>
      <c r="H215">
        <f>+INDEX(Sheet1!C:C, MATCH(Hoja1!G215, Sheet1!D:D, 0))</f>
        <v>529626.5</v>
      </c>
      <c r="I215">
        <f>+INDEX(Sheet1!G:G, MATCH(Hoja1!G215, Sheet1!I:I, 0))</f>
        <v>124799</v>
      </c>
      <c r="J215" s="2">
        <f>+INDEX(Sheet1!H:H, MATCH(Hoja1!G215, Sheet1!I:I, 0))</f>
        <v>4.354842755725765E-2</v>
      </c>
      <c r="K215" s="2">
        <f>+INDEX(Sheet1!L:L, MATCH(Hoja1!G215,Sheet1!M:M, 0))</f>
        <v>8.5</v>
      </c>
    </row>
    <row r="216" spans="1:11" ht="16" x14ac:dyDescent="0.25">
      <c r="A216" t="s">
        <v>181</v>
      </c>
      <c r="B216">
        <v>11</v>
      </c>
      <c r="C216">
        <v>2023</v>
      </c>
      <c r="D216" t="s">
        <v>213</v>
      </c>
      <c r="E216">
        <v>3.3</v>
      </c>
      <c r="F216">
        <v>5877610</v>
      </c>
      <c r="G216" s="1" t="str">
        <f t="shared" si="3"/>
        <v>Colorado2023</v>
      </c>
      <c r="H216">
        <f>+INDEX(Sheet1!C:C, MATCH(Hoja1!G216, Sheet1!D:D, 0))</f>
        <v>529626.5</v>
      </c>
      <c r="I216">
        <f>+INDEX(Sheet1!G:G, MATCH(Hoja1!G216, Sheet1!I:I, 0))</f>
        <v>124799</v>
      </c>
      <c r="J216" s="2">
        <f>+INDEX(Sheet1!H:H, MATCH(Hoja1!G216, Sheet1!I:I, 0))</f>
        <v>4.354842755725765E-2</v>
      </c>
      <c r="K216" s="2">
        <f>+INDEX(Sheet1!L:L, MATCH(Hoja1!G216,Sheet1!M:M, 0))</f>
        <v>8.5</v>
      </c>
    </row>
    <row r="217" spans="1:11" ht="16" x14ac:dyDescent="0.25">
      <c r="A217" t="s">
        <v>181</v>
      </c>
      <c r="B217">
        <v>12</v>
      </c>
      <c r="C217">
        <v>2023</v>
      </c>
      <c r="D217" t="s">
        <v>214</v>
      </c>
      <c r="E217">
        <v>3.3</v>
      </c>
      <c r="F217">
        <v>5877610</v>
      </c>
      <c r="G217" s="1" t="str">
        <f t="shared" si="3"/>
        <v>Colorado2023</v>
      </c>
      <c r="H217">
        <f>+INDEX(Sheet1!C:C, MATCH(Hoja1!G217, Sheet1!D:D, 0))</f>
        <v>529626.5</v>
      </c>
      <c r="I217">
        <f>+INDEX(Sheet1!G:G, MATCH(Hoja1!G217, Sheet1!I:I, 0))</f>
        <v>124799</v>
      </c>
      <c r="J217" s="2">
        <f>+INDEX(Sheet1!H:H, MATCH(Hoja1!G217, Sheet1!I:I, 0))</f>
        <v>4.354842755725765E-2</v>
      </c>
      <c r="K217" s="2">
        <f>+INDEX(Sheet1!L:L, MATCH(Hoja1!G217,Sheet1!M:M, 0))</f>
        <v>8.5</v>
      </c>
    </row>
    <row r="218" spans="1:11" ht="16" x14ac:dyDescent="0.25">
      <c r="A218" t="s">
        <v>215</v>
      </c>
      <c r="B218">
        <v>1</v>
      </c>
      <c r="C218">
        <v>2021</v>
      </c>
      <c r="D218" t="s">
        <v>185</v>
      </c>
      <c r="E218">
        <v>7.1</v>
      </c>
      <c r="F218">
        <v>3603691</v>
      </c>
      <c r="G218" s="1" t="str">
        <f t="shared" si="3"/>
        <v>Connecticut2021</v>
      </c>
      <c r="H218">
        <f>+INDEX(Sheet1!C:C, MATCH(Hoja1!G218, Sheet1!D:D, 0))</f>
        <v>296801.3</v>
      </c>
      <c r="I218">
        <f>+INDEX(Sheet1!G:G, MATCH(Hoja1!G218, Sheet1!I:I, 0))</f>
        <v>98526</v>
      </c>
      <c r="J218" s="2">
        <f>+INDEX(Sheet1!H:H, MATCH(Hoja1!G218, Sheet1!I:I, 0))</f>
        <v>3.4795668658691568E-2</v>
      </c>
      <c r="K218" s="2">
        <f>+INDEX(Sheet1!L:L, MATCH(Hoja1!G218,Sheet1!M:M, 0))</f>
        <v>8</v>
      </c>
    </row>
    <row r="219" spans="1:11" ht="16" x14ac:dyDescent="0.25">
      <c r="A219" t="s">
        <v>215</v>
      </c>
      <c r="B219">
        <v>2</v>
      </c>
      <c r="C219">
        <v>2021</v>
      </c>
      <c r="D219" t="s">
        <v>216</v>
      </c>
      <c r="E219">
        <v>7.1</v>
      </c>
      <c r="F219">
        <v>3603691</v>
      </c>
      <c r="G219" s="1" t="str">
        <f t="shared" si="3"/>
        <v>Connecticut2021</v>
      </c>
      <c r="H219">
        <f>+INDEX(Sheet1!C:C, MATCH(Hoja1!G219, Sheet1!D:D, 0))</f>
        <v>296801.3</v>
      </c>
      <c r="I219">
        <f>+INDEX(Sheet1!G:G, MATCH(Hoja1!G219, Sheet1!I:I, 0))</f>
        <v>98526</v>
      </c>
      <c r="J219" s="2">
        <f>+INDEX(Sheet1!H:H, MATCH(Hoja1!G219, Sheet1!I:I, 0))</f>
        <v>3.4795668658691568E-2</v>
      </c>
      <c r="K219" s="2">
        <f>+INDEX(Sheet1!L:L, MATCH(Hoja1!G219,Sheet1!M:M, 0))</f>
        <v>8</v>
      </c>
    </row>
    <row r="220" spans="1:11" ht="16" x14ac:dyDescent="0.25">
      <c r="A220" t="s">
        <v>215</v>
      </c>
      <c r="B220">
        <v>3</v>
      </c>
      <c r="C220">
        <v>2021</v>
      </c>
      <c r="D220" t="s">
        <v>217</v>
      </c>
      <c r="E220">
        <v>7</v>
      </c>
      <c r="F220">
        <v>3603691</v>
      </c>
      <c r="G220" s="1" t="str">
        <f t="shared" si="3"/>
        <v>Connecticut2021</v>
      </c>
      <c r="H220">
        <f>+INDEX(Sheet1!C:C, MATCH(Hoja1!G220, Sheet1!D:D, 0))</f>
        <v>296801.3</v>
      </c>
      <c r="I220">
        <f>+INDEX(Sheet1!G:G, MATCH(Hoja1!G220, Sheet1!I:I, 0))</f>
        <v>98526</v>
      </c>
      <c r="J220" s="2">
        <f>+INDEX(Sheet1!H:H, MATCH(Hoja1!G220, Sheet1!I:I, 0))</f>
        <v>3.4795668658691568E-2</v>
      </c>
      <c r="K220" s="2">
        <f>+INDEX(Sheet1!L:L, MATCH(Hoja1!G220,Sheet1!M:M, 0))</f>
        <v>8</v>
      </c>
    </row>
    <row r="221" spans="1:11" ht="16" x14ac:dyDescent="0.25">
      <c r="A221" t="s">
        <v>215</v>
      </c>
      <c r="B221">
        <v>4</v>
      </c>
      <c r="C221">
        <v>2021</v>
      </c>
      <c r="D221" t="s">
        <v>218</v>
      </c>
      <c r="E221">
        <v>7.1</v>
      </c>
      <c r="F221">
        <v>3603691</v>
      </c>
      <c r="G221" s="1" t="str">
        <f t="shared" si="3"/>
        <v>Connecticut2021</v>
      </c>
      <c r="H221">
        <f>+INDEX(Sheet1!C:C, MATCH(Hoja1!G221, Sheet1!D:D, 0))</f>
        <v>296801.3</v>
      </c>
      <c r="I221">
        <f>+INDEX(Sheet1!G:G, MATCH(Hoja1!G221, Sheet1!I:I, 0))</f>
        <v>98526</v>
      </c>
      <c r="J221" s="2">
        <f>+INDEX(Sheet1!H:H, MATCH(Hoja1!G221, Sheet1!I:I, 0))</f>
        <v>3.4795668658691568E-2</v>
      </c>
      <c r="K221" s="2">
        <f>+INDEX(Sheet1!L:L, MATCH(Hoja1!G221,Sheet1!M:M, 0))</f>
        <v>8</v>
      </c>
    </row>
    <row r="222" spans="1:11" ht="16" x14ac:dyDescent="0.25">
      <c r="A222" t="s">
        <v>215</v>
      </c>
      <c r="B222">
        <v>5</v>
      </c>
      <c r="C222">
        <v>2021</v>
      </c>
      <c r="D222" t="s">
        <v>219</v>
      </c>
      <c r="E222">
        <v>6.9</v>
      </c>
      <c r="F222">
        <v>3603691</v>
      </c>
      <c r="G222" s="1" t="str">
        <f t="shared" si="3"/>
        <v>Connecticut2021</v>
      </c>
      <c r="H222">
        <f>+INDEX(Sheet1!C:C, MATCH(Hoja1!G222, Sheet1!D:D, 0))</f>
        <v>296801.3</v>
      </c>
      <c r="I222">
        <f>+INDEX(Sheet1!G:G, MATCH(Hoja1!G222, Sheet1!I:I, 0))</f>
        <v>98526</v>
      </c>
      <c r="J222" s="2">
        <f>+INDEX(Sheet1!H:H, MATCH(Hoja1!G222, Sheet1!I:I, 0))</f>
        <v>3.4795668658691568E-2</v>
      </c>
      <c r="K222" s="2">
        <f>+INDEX(Sheet1!L:L, MATCH(Hoja1!G222,Sheet1!M:M, 0))</f>
        <v>8</v>
      </c>
    </row>
    <row r="223" spans="1:11" ht="16" x14ac:dyDescent="0.25">
      <c r="A223" t="s">
        <v>215</v>
      </c>
      <c r="B223">
        <v>6</v>
      </c>
      <c r="C223">
        <v>2021</v>
      </c>
      <c r="D223" t="s">
        <v>220</v>
      </c>
      <c r="E223">
        <v>6.8</v>
      </c>
      <c r="F223">
        <v>3603691</v>
      </c>
      <c r="G223" s="1" t="str">
        <f t="shared" si="3"/>
        <v>Connecticut2021</v>
      </c>
      <c r="H223">
        <f>+INDEX(Sheet1!C:C, MATCH(Hoja1!G223, Sheet1!D:D, 0))</f>
        <v>296801.3</v>
      </c>
      <c r="I223">
        <f>+INDEX(Sheet1!G:G, MATCH(Hoja1!G223, Sheet1!I:I, 0))</f>
        <v>98526</v>
      </c>
      <c r="J223" s="2">
        <f>+INDEX(Sheet1!H:H, MATCH(Hoja1!G223, Sheet1!I:I, 0))</f>
        <v>3.4795668658691568E-2</v>
      </c>
      <c r="K223" s="2">
        <f>+INDEX(Sheet1!L:L, MATCH(Hoja1!G223,Sheet1!M:M, 0))</f>
        <v>8</v>
      </c>
    </row>
    <row r="224" spans="1:11" ht="16" x14ac:dyDescent="0.25">
      <c r="A224" t="s">
        <v>215</v>
      </c>
      <c r="B224">
        <v>7</v>
      </c>
      <c r="C224">
        <v>2021</v>
      </c>
      <c r="D224" t="s">
        <v>221</v>
      </c>
      <c r="E224">
        <v>6.5</v>
      </c>
      <c r="F224">
        <v>3603691</v>
      </c>
      <c r="G224" s="1" t="str">
        <f t="shared" si="3"/>
        <v>Connecticut2021</v>
      </c>
      <c r="H224">
        <f>+INDEX(Sheet1!C:C, MATCH(Hoja1!G224, Sheet1!D:D, 0))</f>
        <v>296801.3</v>
      </c>
      <c r="I224">
        <f>+INDEX(Sheet1!G:G, MATCH(Hoja1!G224, Sheet1!I:I, 0))</f>
        <v>98526</v>
      </c>
      <c r="J224" s="2">
        <f>+INDEX(Sheet1!H:H, MATCH(Hoja1!G224, Sheet1!I:I, 0))</f>
        <v>3.4795668658691568E-2</v>
      </c>
      <c r="K224" s="2">
        <f>+INDEX(Sheet1!L:L, MATCH(Hoja1!G224,Sheet1!M:M, 0))</f>
        <v>8</v>
      </c>
    </row>
    <row r="225" spans="1:11" ht="16" x14ac:dyDescent="0.25">
      <c r="A225" t="s">
        <v>215</v>
      </c>
      <c r="B225">
        <v>8</v>
      </c>
      <c r="C225">
        <v>2021</v>
      </c>
      <c r="D225" t="s">
        <v>222</v>
      </c>
      <c r="E225">
        <v>6.2</v>
      </c>
      <c r="F225">
        <v>3603691</v>
      </c>
      <c r="G225" s="1" t="str">
        <f t="shared" si="3"/>
        <v>Connecticut2021</v>
      </c>
      <c r="H225">
        <f>+INDEX(Sheet1!C:C, MATCH(Hoja1!G225, Sheet1!D:D, 0))</f>
        <v>296801.3</v>
      </c>
      <c r="I225">
        <f>+INDEX(Sheet1!G:G, MATCH(Hoja1!G225, Sheet1!I:I, 0))</f>
        <v>98526</v>
      </c>
      <c r="J225" s="2">
        <f>+INDEX(Sheet1!H:H, MATCH(Hoja1!G225, Sheet1!I:I, 0))</f>
        <v>3.4795668658691568E-2</v>
      </c>
      <c r="K225" s="2">
        <f>+INDEX(Sheet1!L:L, MATCH(Hoja1!G225,Sheet1!M:M, 0))</f>
        <v>8</v>
      </c>
    </row>
    <row r="226" spans="1:11" ht="16" x14ac:dyDescent="0.25">
      <c r="A226" t="s">
        <v>215</v>
      </c>
      <c r="B226">
        <v>9</v>
      </c>
      <c r="C226">
        <v>2021</v>
      </c>
      <c r="D226" t="s">
        <v>223</v>
      </c>
      <c r="E226">
        <v>5.9</v>
      </c>
      <c r="F226">
        <v>3603691</v>
      </c>
      <c r="G226" s="1" t="str">
        <f t="shared" si="3"/>
        <v>Connecticut2021</v>
      </c>
      <c r="H226">
        <f>+INDEX(Sheet1!C:C, MATCH(Hoja1!G226, Sheet1!D:D, 0))</f>
        <v>296801.3</v>
      </c>
      <c r="I226">
        <f>+INDEX(Sheet1!G:G, MATCH(Hoja1!G226, Sheet1!I:I, 0))</f>
        <v>98526</v>
      </c>
      <c r="J226" s="2">
        <f>+INDEX(Sheet1!H:H, MATCH(Hoja1!G226, Sheet1!I:I, 0))</f>
        <v>3.4795668658691568E-2</v>
      </c>
      <c r="K226" s="2">
        <f>+INDEX(Sheet1!L:L, MATCH(Hoja1!G226,Sheet1!M:M, 0))</f>
        <v>8</v>
      </c>
    </row>
    <row r="227" spans="1:11" ht="16" x14ac:dyDescent="0.25">
      <c r="A227" t="s">
        <v>215</v>
      </c>
      <c r="B227">
        <v>10</v>
      </c>
      <c r="C227">
        <v>2021</v>
      </c>
      <c r="D227" t="s">
        <v>224</v>
      </c>
      <c r="E227">
        <v>5.6</v>
      </c>
      <c r="F227">
        <v>3603691</v>
      </c>
      <c r="G227" s="1" t="str">
        <f t="shared" si="3"/>
        <v>Connecticut2021</v>
      </c>
      <c r="H227">
        <f>+INDEX(Sheet1!C:C, MATCH(Hoja1!G227, Sheet1!D:D, 0))</f>
        <v>296801.3</v>
      </c>
      <c r="I227">
        <f>+INDEX(Sheet1!G:G, MATCH(Hoja1!G227, Sheet1!I:I, 0))</f>
        <v>98526</v>
      </c>
      <c r="J227" s="2">
        <f>+INDEX(Sheet1!H:H, MATCH(Hoja1!G227, Sheet1!I:I, 0))</f>
        <v>3.4795668658691568E-2</v>
      </c>
      <c r="K227" s="2">
        <f>+INDEX(Sheet1!L:L, MATCH(Hoja1!G227,Sheet1!M:M, 0))</f>
        <v>8</v>
      </c>
    </row>
    <row r="228" spans="1:11" ht="16" x14ac:dyDescent="0.25">
      <c r="A228" t="s">
        <v>215</v>
      </c>
      <c r="B228">
        <v>11</v>
      </c>
      <c r="C228">
        <v>2021</v>
      </c>
      <c r="D228" t="s">
        <v>225</v>
      </c>
      <c r="E228">
        <v>5.3</v>
      </c>
      <c r="F228">
        <v>3603691</v>
      </c>
      <c r="G228" s="1" t="str">
        <f t="shared" si="3"/>
        <v>Connecticut2021</v>
      </c>
      <c r="H228">
        <f>+INDEX(Sheet1!C:C, MATCH(Hoja1!G228, Sheet1!D:D, 0))</f>
        <v>296801.3</v>
      </c>
      <c r="I228">
        <f>+INDEX(Sheet1!G:G, MATCH(Hoja1!G228, Sheet1!I:I, 0))</f>
        <v>98526</v>
      </c>
      <c r="J228" s="2">
        <f>+INDEX(Sheet1!H:H, MATCH(Hoja1!G228, Sheet1!I:I, 0))</f>
        <v>3.4795668658691568E-2</v>
      </c>
      <c r="K228" s="2">
        <f>+INDEX(Sheet1!L:L, MATCH(Hoja1!G228,Sheet1!M:M, 0))</f>
        <v>8</v>
      </c>
    </row>
    <row r="229" spans="1:11" ht="16" x14ac:dyDescent="0.25">
      <c r="A229" t="s">
        <v>215</v>
      </c>
      <c r="B229">
        <v>12</v>
      </c>
      <c r="C229">
        <v>2021</v>
      </c>
      <c r="D229" t="s">
        <v>192</v>
      </c>
      <c r="E229">
        <v>5.0999999999999996</v>
      </c>
      <c r="F229">
        <v>3603691</v>
      </c>
      <c r="G229" s="1" t="str">
        <f t="shared" si="3"/>
        <v>Connecticut2021</v>
      </c>
      <c r="H229">
        <f>+INDEX(Sheet1!C:C, MATCH(Hoja1!G229, Sheet1!D:D, 0))</f>
        <v>296801.3</v>
      </c>
      <c r="I229">
        <f>+INDEX(Sheet1!G:G, MATCH(Hoja1!G229, Sheet1!I:I, 0))</f>
        <v>98526</v>
      </c>
      <c r="J229" s="2">
        <f>+INDEX(Sheet1!H:H, MATCH(Hoja1!G229, Sheet1!I:I, 0))</f>
        <v>3.4795668658691568E-2</v>
      </c>
      <c r="K229" s="2">
        <f>+INDEX(Sheet1!L:L, MATCH(Hoja1!G229,Sheet1!M:M, 0))</f>
        <v>8</v>
      </c>
    </row>
    <row r="230" spans="1:11" ht="16" x14ac:dyDescent="0.25">
      <c r="A230" t="s">
        <v>215</v>
      </c>
      <c r="B230">
        <v>1</v>
      </c>
      <c r="C230">
        <v>2022</v>
      </c>
      <c r="D230" t="s">
        <v>173</v>
      </c>
      <c r="E230">
        <v>4.9000000000000004</v>
      </c>
      <c r="F230">
        <v>3608706</v>
      </c>
      <c r="G230" s="1" t="str">
        <f t="shared" si="3"/>
        <v>Connecticut2022</v>
      </c>
      <c r="H230">
        <f>+INDEX(Sheet1!C:C, MATCH(Hoja1!G230, Sheet1!D:D, 0))</f>
        <v>321686.40000000002</v>
      </c>
      <c r="I230">
        <f>+INDEX(Sheet1!G:G, MATCH(Hoja1!G230, Sheet1!I:I, 0))</f>
        <v>101862</v>
      </c>
      <c r="J230" s="2">
        <f>+INDEX(Sheet1!H:H, MATCH(Hoja1!G230, Sheet1!I:I, 0))</f>
        <v>3.3859082881675905E-2</v>
      </c>
      <c r="K230" s="2">
        <f>+INDEX(Sheet1!L:L, MATCH(Hoja1!G230,Sheet1!M:M, 0))</f>
        <v>10.199999999999999</v>
      </c>
    </row>
    <row r="231" spans="1:11" ht="16" x14ac:dyDescent="0.25">
      <c r="A231" t="s">
        <v>215</v>
      </c>
      <c r="B231">
        <v>2</v>
      </c>
      <c r="C231">
        <v>2022</v>
      </c>
      <c r="D231" t="s">
        <v>226</v>
      </c>
      <c r="E231">
        <v>4.5999999999999996</v>
      </c>
      <c r="F231">
        <v>3608706</v>
      </c>
      <c r="G231" s="1" t="str">
        <f t="shared" si="3"/>
        <v>Connecticut2022</v>
      </c>
      <c r="H231">
        <f>+INDEX(Sheet1!C:C, MATCH(Hoja1!G231, Sheet1!D:D, 0))</f>
        <v>321686.40000000002</v>
      </c>
      <c r="I231">
        <f>+INDEX(Sheet1!G:G, MATCH(Hoja1!G231, Sheet1!I:I, 0))</f>
        <v>101862</v>
      </c>
      <c r="J231" s="2">
        <f>+INDEX(Sheet1!H:H, MATCH(Hoja1!G231, Sheet1!I:I, 0))</f>
        <v>3.3859082881675905E-2</v>
      </c>
      <c r="K231" s="2">
        <f>+INDEX(Sheet1!L:L, MATCH(Hoja1!G231,Sheet1!M:M, 0))</f>
        <v>10.199999999999999</v>
      </c>
    </row>
    <row r="232" spans="1:11" ht="16" x14ac:dyDescent="0.25">
      <c r="A232" t="s">
        <v>215</v>
      </c>
      <c r="B232">
        <v>3</v>
      </c>
      <c r="C232">
        <v>2022</v>
      </c>
      <c r="D232" t="s">
        <v>227</v>
      </c>
      <c r="E232">
        <v>4.4000000000000004</v>
      </c>
      <c r="F232">
        <v>3608706</v>
      </c>
      <c r="G232" s="1" t="str">
        <f t="shared" si="3"/>
        <v>Connecticut2022</v>
      </c>
      <c r="H232">
        <f>+INDEX(Sheet1!C:C, MATCH(Hoja1!G232, Sheet1!D:D, 0))</f>
        <v>321686.40000000002</v>
      </c>
      <c r="I232">
        <f>+INDEX(Sheet1!G:G, MATCH(Hoja1!G232, Sheet1!I:I, 0))</f>
        <v>101862</v>
      </c>
      <c r="J232" s="2">
        <f>+INDEX(Sheet1!H:H, MATCH(Hoja1!G232, Sheet1!I:I, 0))</f>
        <v>3.3859082881675905E-2</v>
      </c>
      <c r="K232" s="2">
        <f>+INDEX(Sheet1!L:L, MATCH(Hoja1!G232,Sheet1!M:M, 0))</f>
        <v>10.199999999999999</v>
      </c>
    </row>
    <row r="233" spans="1:11" ht="16" x14ac:dyDescent="0.25">
      <c r="A233" t="s">
        <v>215</v>
      </c>
      <c r="B233">
        <v>4</v>
      </c>
      <c r="C233">
        <v>2022</v>
      </c>
      <c r="D233" t="s">
        <v>228</v>
      </c>
      <c r="E233">
        <v>4.3</v>
      </c>
      <c r="F233">
        <v>3608706</v>
      </c>
      <c r="G233" s="1" t="str">
        <f t="shared" si="3"/>
        <v>Connecticut2022</v>
      </c>
      <c r="H233">
        <f>+INDEX(Sheet1!C:C, MATCH(Hoja1!G233, Sheet1!D:D, 0))</f>
        <v>321686.40000000002</v>
      </c>
      <c r="I233">
        <f>+INDEX(Sheet1!G:G, MATCH(Hoja1!G233, Sheet1!I:I, 0))</f>
        <v>101862</v>
      </c>
      <c r="J233" s="2">
        <f>+INDEX(Sheet1!H:H, MATCH(Hoja1!G233, Sheet1!I:I, 0))</f>
        <v>3.3859082881675905E-2</v>
      </c>
      <c r="K233" s="2">
        <f>+INDEX(Sheet1!L:L, MATCH(Hoja1!G233,Sheet1!M:M, 0))</f>
        <v>10.199999999999999</v>
      </c>
    </row>
    <row r="234" spans="1:11" ht="16" x14ac:dyDescent="0.25">
      <c r="A234" t="s">
        <v>215</v>
      </c>
      <c r="B234">
        <v>5</v>
      </c>
      <c r="C234">
        <v>2022</v>
      </c>
      <c r="D234" t="s">
        <v>58</v>
      </c>
      <c r="E234">
        <v>4.0999999999999996</v>
      </c>
      <c r="F234">
        <v>3608706</v>
      </c>
      <c r="G234" s="1" t="str">
        <f t="shared" si="3"/>
        <v>Connecticut2022</v>
      </c>
      <c r="H234">
        <f>+INDEX(Sheet1!C:C, MATCH(Hoja1!G234, Sheet1!D:D, 0))</f>
        <v>321686.40000000002</v>
      </c>
      <c r="I234">
        <f>+INDEX(Sheet1!G:G, MATCH(Hoja1!G234, Sheet1!I:I, 0))</f>
        <v>101862</v>
      </c>
      <c r="J234" s="2">
        <f>+INDEX(Sheet1!H:H, MATCH(Hoja1!G234, Sheet1!I:I, 0))</f>
        <v>3.3859082881675905E-2</v>
      </c>
      <c r="K234" s="2">
        <f>+INDEX(Sheet1!L:L, MATCH(Hoja1!G234,Sheet1!M:M, 0))</f>
        <v>10.199999999999999</v>
      </c>
    </row>
    <row r="235" spans="1:11" ht="16" x14ac:dyDescent="0.25">
      <c r="A235" t="s">
        <v>215</v>
      </c>
      <c r="B235">
        <v>6</v>
      </c>
      <c r="C235">
        <v>2022</v>
      </c>
      <c r="D235" t="s">
        <v>229</v>
      </c>
      <c r="E235">
        <v>4</v>
      </c>
      <c r="F235">
        <v>3608706</v>
      </c>
      <c r="G235" s="1" t="str">
        <f t="shared" si="3"/>
        <v>Connecticut2022</v>
      </c>
      <c r="H235">
        <f>+INDEX(Sheet1!C:C, MATCH(Hoja1!G235, Sheet1!D:D, 0))</f>
        <v>321686.40000000002</v>
      </c>
      <c r="I235">
        <f>+INDEX(Sheet1!G:G, MATCH(Hoja1!G235, Sheet1!I:I, 0))</f>
        <v>101862</v>
      </c>
      <c r="J235" s="2">
        <f>+INDEX(Sheet1!H:H, MATCH(Hoja1!G235, Sheet1!I:I, 0))</f>
        <v>3.3859082881675905E-2</v>
      </c>
      <c r="K235" s="2">
        <f>+INDEX(Sheet1!L:L, MATCH(Hoja1!G235,Sheet1!M:M, 0))</f>
        <v>10.199999999999999</v>
      </c>
    </row>
    <row r="236" spans="1:11" ht="16" x14ac:dyDescent="0.25">
      <c r="A236" t="s">
        <v>215</v>
      </c>
      <c r="B236">
        <v>7</v>
      </c>
      <c r="C236">
        <v>2022</v>
      </c>
      <c r="D236" t="s">
        <v>230</v>
      </c>
      <c r="E236">
        <v>3.9</v>
      </c>
      <c r="F236">
        <v>3608706</v>
      </c>
      <c r="G236" s="1" t="str">
        <f t="shared" si="3"/>
        <v>Connecticut2022</v>
      </c>
      <c r="H236">
        <f>+INDEX(Sheet1!C:C, MATCH(Hoja1!G236, Sheet1!D:D, 0))</f>
        <v>321686.40000000002</v>
      </c>
      <c r="I236">
        <f>+INDEX(Sheet1!G:G, MATCH(Hoja1!G236, Sheet1!I:I, 0))</f>
        <v>101862</v>
      </c>
      <c r="J236" s="2">
        <f>+INDEX(Sheet1!H:H, MATCH(Hoja1!G236, Sheet1!I:I, 0))</f>
        <v>3.3859082881675905E-2</v>
      </c>
      <c r="K236" s="2">
        <f>+INDEX(Sheet1!L:L, MATCH(Hoja1!G236,Sheet1!M:M, 0))</f>
        <v>10.199999999999999</v>
      </c>
    </row>
    <row r="237" spans="1:11" ht="16" x14ac:dyDescent="0.25">
      <c r="A237" t="s">
        <v>215</v>
      </c>
      <c r="B237">
        <v>8</v>
      </c>
      <c r="C237">
        <v>2022</v>
      </c>
      <c r="D237" t="s">
        <v>231</v>
      </c>
      <c r="E237">
        <v>3.8</v>
      </c>
      <c r="F237">
        <v>3608706</v>
      </c>
      <c r="G237" s="1" t="str">
        <f t="shared" si="3"/>
        <v>Connecticut2022</v>
      </c>
      <c r="H237">
        <f>+INDEX(Sheet1!C:C, MATCH(Hoja1!G237, Sheet1!D:D, 0))</f>
        <v>321686.40000000002</v>
      </c>
      <c r="I237">
        <f>+INDEX(Sheet1!G:G, MATCH(Hoja1!G237, Sheet1!I:I, 0))</f>
        <v>101862</v>
      </c>
      <c r="J237" s="2">
        <f>+INDEX(Sheet1!H:H, MATCH(Hoja1!G237, Sheet1!I:I, 0))</f>
        <v>3.3859082881675905E-2</v>
      </c>
      <c r="K237" s="2">
        <f>+INDEX(Sheet1!L:L, MATCH(Hoja1!G237,Sheet1!M:M, 0))</f>
        <v>10.199999999999999</v>
      </c>
    </row>
    <row r="238" spans="1:11" ht="16" x14ac:dyDescent="0.25">
      <c r="A238" t="s">
        <v>215</v>
      </c>
      <c r="B238">
        <v>9</v>
      </c>
      <c r="C238">
        <v>2022</v>
      </c>
      <c r="D238" t="s">
        <v>232</v>
      </c>
      <c r="E238">
        <v>3.8</v>
      </c>
      <c r="F238">
        <v>3608706</v>
      </c>
      <c r="G238" s="1" t="str">
        <f t="shared" si="3"/>
        <v>Connecticut2022</v>
      </c>
      <c r="H238">
        <f>+INDEX(Sheet1!C:C, MATCH(Hoja1!G238, Sheet1!D:D, 0))</f>
        <v>321686.40000000002</v>
      </c>
      <c r="I238">
        <f>+INDEX(Sheet1!G:G, MATCH(Hoja1!G238, Sheet1!I:I, 0))</f>
        <v>101862</v>
      </c>
      <c r="J238" s="2">
        <f>+INDEX(Sheet1!H:H, MATCH(Hoja1!G238, Sheet1!I:I, 0))</f>
        <v>3.3859082881675905E-2</v>
      </c>
      <c r="K238" s="2">
        <f>+INDEX(Sheet1!L:L, MATCH(Hoja1!G238,Sheet1!M:M, 0))</f>
        <v>10.199999999999999</v>
      </c>
    </row>
    <row r="239" spans="1:11" ht="16" x14ac:dyDescent="0.25">
      <c r="A239" t="s">
        <v>215</v>
      </c>
      <c r="B239">
        <v>10</v>
      </c>
      <c r="C239">
        <v>2022</v>
      </c>
      <c r="D239" t="s">
        <v>233</v>
      </c>
      <c r="E239">
        <v>3.8</v>
      </c>
      <c r="F239">
        <v>3608706</v>
      </c>
      <c r="G239" s="1" t="str">
        <f t="shared" si="3"/>
        <v>Connecticut2022</v>
      </c>
      <c r="H239">
        <f>+INDEX(Sheet1!C:C, MATCH(Hoja1!G239, Sheet1!D:D, 0))</f>
        <v>321686.40000000002</v>
      </c>
      <c r="I239">
        <f>+INDEX(Sheet1!G:G, MATCH(Hoja1!G239, Sheet1!I:I, 0))</f>
        <v>101862</v>
      </c>
      <c r="J239" s="2">
        <f>+INDEX(Sheet1!H:H, MATCH(Hoja1!G239, Sheet1!I:I, 0))</f>
        <v>3.3859082881675905E-2</v>
      </c>
      <c r="K239" s="2">
        <f>+INDEX(Sheet1!L:L, MATCH(Hoja1!G239,Sheet1!M:M, 0))</f>
        <v>10.199999999999999</v>
      </c>
    </row>
    <row r="240" spans="1:11" ht="16" x14ac:dyDescent="0.25">
      <c r="A240" t="s">
        <v>215</v>
      </c>
      <c r="B240">
        <v>11</v>
      </c>
      <c r="C240">
        <v>2022</v>
      </c>
      <c r="D240" t="s">
        <v>234</v>
      </c>
      <c r="E240">
        <v>3.8</v>
      </c>
      <c r="F240">
        <v>3608706</v>
      </c>
      <c r="G240" s="1" t="str">
        <f t="shared" si="3"/>
        <v>Connecticut2022</v>
      </c>
      <c r="H240">
        <f>+INDEX(Sheet1!C:C, MATCH(Hoja1!G240, Sheet1!D:D, 0))</f>
        <v>321686.40000000002</v>
      </c>
      <c r="I240">
        <f>+INDEX(Sheet1!G:G, MATCH(Hoja1!G240, Sheet1!I:I, 0))</f>
        <v>101862</v>
      </c>
      <c r="J240" s="2">
        <f>+INDEX(Sheet1!H:H, MATCH(Hoja1!G240, Sheet1!I:I, 0))</f>
        <v>3.3859082881675905E-2</v>
      </c>
      <c r="K240" s="2">
        <f>+INDEX(Sheet1!L:L, MATCH(Hoja1!G240,Sheet1!M:M, 0))</f>
        <v>10.199999999999999</v>
      </c>
    </row>
    <row r="241" spans="1:11" ht="16" x14ac:dyDescent="0.25">
      <c r="A241" t="s">
        <v>215</v>
      </c>
      <c r="B241">
        <v>12</v>
      </c>
      <c r="C241">
        <v>2022</v>
      </c>
      <c r="D241" t="s">
        <v>235</v>
      </c>
      <c r="E241">
        <v>3.7</v>
      </c>
      <c r="F241">
        <v>3608706</v>
      </c>
      <c r="G241" s="1" t="str">
        <f t="shared" si="3"/>
        <v>Connecticut2022</v>
      </c>
      <c r="H241">
        <f>+INDEX(Sheet1!C:C, MATCH(Hoja1!G241, Sheet1!D:D, 0))</f>
        <v>321686.40000000002</v>
      </c>
      <c r="I241">
        <f>+INDEX(Sheet1!G:G, MATCH(Hoja1!G241, Sheet1!I:I, 0))</f>
        <v>101862</v>
      </c>
      <c r="J241" s="2">
        <f>+INDEX(Sheet1!H:H, MATCH(Hoja1!G241, Sheet1!I:I, 0))</f>
        <v>3.3859082881675905E-2</v>
      </c>
      <c r="K241" s="2">
        <f>+INDEX(Sheet1!L:L, MATCH(Hoja1!G241,Sheet1!M:M, 0))</f>
        <v>10.199999999999999</v>
      </c>
    </row>
    <row r="242" spans="1:11" ht="16" x14ac:dyDescent="0.25">
      <c r="A242" t="s">
        <v>215</v>
      </c>
      <c r="B242">
        <v>1</v>
      </c>
      <c r="C242">
        <v>2023</v>
      </c>
      <c r="D242" t="s">
        <v>211</v>
      </c>
      <c r="E242">
        <v>3.6</v>
      </c>
      <c r="F242">
        <v>3617176</v>
      </c>
      <c r="G242" s="1" t="str">
        <f t="shared" si="3"/>
        <v>Connecticut2023</v>
      </c>
      <c r="H242">
        <f>+INDEX(Sheet1!C:C, MATCH(Hoja1!G242, Sheet1!D:D, 0))</f>
        <v>345911.9</v>
      </c>
      <c r="I242">
        <f>+INDEX(Sheet1!G:G, MATCH(Hoja1!G242, Sheet1!I:I, 0))</f>
        <v>104657</v>
      </c>
      <c r="J242" s="2">
        <f>+INDEX(Sheet1!H:H, MATCH(Hoja1!G242, Sheet1!I:I, 0))</f>
        <v>2.7439084251241877E-2</v>
      </c>
      <c r="K242" s="2">
        <f>+INDEX(Sheet1!L:L, MATCH(Hoja1!G242,Sheet1!M:M, 0))</f>
        <v>8.3000000000000007</v>
      </c>
    </row>
    <row r="243" spans="1:11" ht="16" x14ac:dyDescent="0.25">
      <c r="A243" t="s">
        <v>215</v>
      </c>
      <c r="B243">
        <v>2</v>
      </c>
      <c r="C243">
        <v>2023</v>
      </c>
      <c r="D243" t="s">
        <v>236</v>
      </c>
      <c r="E243">
        <v>3.5</v>
      </c>
      <c r="F243">
        <v>3617176</v>
      </c>
      <c r="G243" s="1" t="str">
        <f t="shared" si="3"/>
        <v>Connecticut2023</v>
      </c>
      <c r="H243">
        <f>+INDEX(Sheet1!C:C, MATCH(Hoja1!G243, Sheet1!D:D, 0))</f>
        <v>345911.9</v>
      </c>
      <c r="I243">
        <f>+INDEX(Sheet1!G:G, MATCH(Hoja1!G243, Sheet1!I:I, 0))</f>
        <v>104657</v>
      </c>
      <c r="J243" s="2">
        <f>+INDEX(Sheet1!H:H, MATCH(Hoja1!G243, Sheet1!I:I, 0))</f>
        <v>2.7439084251241877E-2</v>
      </c>
      <c r="K243" s="2">
        <f>+INDEX(Sheet1!L:L, MATCH(Hoja1!G243,Sheet1!M:M, 0))</f>
        <v>8.3000000000000007</v>
      </c>
    </row>
    <row r="244" spans="1:11" ht="16" x14ac:dyDescent="0.25">
      <c r="A244" t="s">
        <v>215</v>
      </c>
      <c r="B244">
        <v>3</v>
      </c>
      <c r="C244">
        <v>2023</v>
      </c>
      <c r="D244" t="s">
        <v>237</v>
      </c>
      <c r="E244">
        <v>3.4</v>
      </c>
      <c r="F244">
        <v>3617176</v>
      </c>
      <c r="G244" s="1" t="str">
        <f t="shared" si="3"/>
        <v>Connecticut2023</v>
      </c>
      <c r="H244">
        <f>+INDEX(Sheet1!C:C, MATCH(Hoja1!G244, Sheet1!D:D, 0))</f>
        <v>345911.9</v>
      </c>
      <c r="I244">
        <f>+INDEX(Sheet1!G:G, MATCH(Hoja1!G244, Sheet1!I:I, 0))</f>
        <v>104657</v>
      </c>
      <c r="J244" s="2">
        <f>+INDEX(Sheet1!H:H, MATCH(Hoja1!G244, Sheet1!I:I, 0))</f>
        <v>2.7439084251241877E-2</v>
      </c>
      <c r="K244" s="2">
        <f>+INDEX(Sheet1!L:L, MATCH(Hoja1!G244,Sheet1!M:M, 0))</f>
        <v>8.3000000000000007</v>
      </c>
    </row>
    <row r="245" spans="1:11" ht="16" x14ac:dyDescent="0.25">
      <c r="A245" t="s">
        <v>215</v>
      </c>
      <c r="B245">
        <v>4</v>
      </c>
      <c r="C245">
        <v>2023</v>
      </c>
      <c r="D245" t="s">
        <v>238</v>
      </c>
      <c r="E245">
        <v>3.3</v>
      </c>
      <c r="F245">
        <v>3617176</v>
      </c>
      <c r="G245" s="1" t="str">
        <f t="shared" si="3"/>
        <v>Connecticut2023</v>
      </c>
      <c r="H245">
        <f>+INDEX(Sheet1!C:C, MATCH(Hoja1!G245, Sheet1!D:D, 0))</f>
        <v>345911.9</v>
      </c>
      <c r="I245">
        <f>+INDEX(Sheet1!G:G, MATCH(Hoja1!G245, Sheet1!I:I, 0))</f>
        <v>104657</v>
      </c>
      <c r="J245" s="2">
        <f>+INDEX(Sheet1!H:H, MATCH(Hoja1!G245, Sheet1!I:I, 0))</f>
        <v>2.7439084251241877E-2</v>
      </c>
      <c r="K245" s="2">
        <f>+INDEX(Sheet1!L:L, MATCH(Hoja1!G245,Sheet1!M:M, 0))</f>
        <v>8.3000000000000007</v>
      </c>
    </row>
    <row r="246" spans="1:11" ht="16" x14ac:dyDescent="0.25">
      <c r="A246" t="s">
        <v>215</v>
      </c>
      <c r="B246">
        <v>5</v>
      </c>
      <c r="C246">
        <v>2023</v>
      </c>
      <c r="D246" t="s">
        <v>239</v>
      </c>
      <c r="E246">
        <v>3.3</v>
      </c>
      <c r="F246">
        <v>3617176</v>
      </c>
      <c r="G246" s="1" t="str">
        <f t="shared" si="3"/>
        <v>Connecticut2023</v>
      </c>
      <c r="H246">
        <f>+INDEX(Sheet1!C:C, MATCH(Hoja1!G246, Sheet1!D:D, 0))</f>
        <v>345911.9</v>
      </c>
      <c r="I246">
        <f>+INDEX(Sheet1!G:G, MATCH(Hoja1!G246, Sheet1!I:I, 0))</f>
        <v>104657</v>
      </c>
      <c r="J246" s="2">
        <f>+INDEX(Sheet1!H:H, MATCH(Hoja1!G246, Sheet1!I:I, 0))</f>
        <v>2.7439084251241877E-2</v>
      </c>
      <c r="K246" s="2">
        <f>+INDEX(Sheet1!L:L, MATCH(Hoja1!G246,Sheet1!M:M, 0))</f>
        <v>8.3000000000000007</v>
      </c>
    </row>
    <row r="247" spans="1:11" ht="16" x14ac:dyDescent="0.25">
      <c r="A247" t="s">
        <v>215</v>
      </c>
      <c r="B247">
        <v>6</v>
      </c>
      <c r="C247">
        <v>2023</v>
      </c>
      <c r="D247" t="s">
        <v>240</v>
      </c>
      <c r="E247">
        <v>3.4</v>
      </c>
      <c r="F247">
        <v>3617176</v>
      </c>
      <c r="G247" s="1" t="str">
        <f t="shared" si="3"/>
        <v>Connecticut2023</v>
      </c>
      <c r="H247">
        <f>+INDEX(Sheet1!C:C, MATCH(Hoja1!G247, Sheet1!D:D, 0))</f>
        <v>345911.9</v>
      </c>
      <c r="I247">
        <f>+INDEX(Sheet1!G:G, MATCH(Hoja1!G247, Sheet1!I:I, 0))</f>
        <v>104657</v>
      </c>
      <c r="J247" s="2">
        <f>+INDEX(Sheet1!H:H, MATCH(Hoja1!G247, Sheet1!I:I, 0))</f>
        <v>2.7439084251241877E-2</v>
      </c>
      <c r="K247" s="2">
        <f>+INDEX(Sheet1!L:L, MATCH(Hoja1!G247,Sheet1!M:M, 0))</f>
        <v>8.3000000000000007</v>
      </c>
    </row>
    <row r="248" spans="1:11" ht="16" x14ac:dyDescent="0.25">
      <c r="A248" t="s">
        <v>215</v>
      </c>
      <c r="B248">
        <v>7</v>
      </c>
      <c r="C248">
        <v>2023</v>
      </c>
      <c r="D248" t="s">
        <v>241</v>
      </c>
      <c r="E248">
        <v>3.6</v>
      </c>
      <c r="F248">
        <v>3617176</v>
      </c>
      <c r="G248" s="1" t="str">
        <f t="shared" si="3"/>
        <v>Connecticut2023</v>
      </c>
      <c r="H248">
        <f>+INDEX(Sheet1!C:C, MATCH(Hoja1!G248, Sheet1!D:D, 0))</f>
        <v>345911.9</v>
      </c>
      <c r="I248">
        <f>+INDEX(Sheet1!G:G, MATCH(Hoja1!G248, Sheet1!I:I, 0))</f>
        <v>104657</v>
      </c>
      <c r="J248" s="2">
        <f>+INDEX(Sheet1!H:H, MATCH(Hoja1!G248, Sheet1!I:I, 0))</f>
        <v>2.7439084251241877E-2</v>
      </c>
      <c r="K248" s="2">
        <f>+INDEX(Sheet1!L:L, MATCH(Hoja1!G248,Sheet1!M:M, 0))</f>
        <v>8.3000000000000007</v>
      </c>
    </row>
    <row r="249" spans="1:11" ht="16" x14ac:dyDescent="0.25">
      <c r="A249" t="s">
        <v>215</v>
      </c>
      <c r="B249">
        <v>8</v>
      </c>
      <c r="C249">
        <v>2023</v>
      </c>
      <c r="D249" t="s">
        <v>242</v>
      </c>
      <c r="E249">
        <v>3.8</v>
      </c>
      <c r="F249">
        <v>3617176</v>
      </c>
      <c r="G249" s="1" t="str">
        <f t="shared" si="3"/>
        <v>Connecticut2023</v>
      </c>
      <c r="H249">
        <f>+INDEX(Sheet1!C:C, MATCH(Hoja1!G249, Sheet1!D:D, 0))</f>
        <v>345911.9</v>
      </c>
      <c r="I249">
        <f>+INDEX(Sheet1!G:G, MATCH(Hoja1!G249, Sheet1!I:I, 0))</f>
        <v>104657</v>
      </c>
      <c r="J249" s="2">
        <f>+INDEX(Sheet1!H:H, MATCH(Hoja1!G249, Sheet1!I:I, 0))</f>
        <v>2.7439084251241877E-2</v>
      </c>
      <c r="K249" s="2">
        <f>+INDEX(Sheet1!L:L, MATCH(Hoja1!G249,Sheet1!M:M, 0))</f>
        <v>8.3000000000000007</v>
      </c>
    </row>
    <row r="250" spans="1:11" ht="16" x14ac:dyDescent="0.25">
      <c r="A250" t="s">
        <v>215</v>
      </c>
      <c r="B250">
        <v>9</v>
      </c>
      <c r="C250">
        <v>2023</v>
      </c>
      <c r="D250" t="s">
        <v>243</v>
      </c>
      <c r="E250">
        <v>4</v>
      </c>
      <c r="F250">
        <v>3617176</v>
      </c>
      <c r="G250" s="1" t="str">
        <f t="shared" si="3"/>
        <v>Connecticut2023</v>
      </c>
      <c r="H250">
        <f>+INDEX(Sheet1!C:C, MATCH(Hoja1!G250, Sheet1!D:D, 0))</f>
        <v>345911.9</v>
      </c>
      <c r="I250">
        <f>+INDEX(Sheet1!G:G, MATCH(Hoja1!G250, Sheet1!I:I, 0))</f>
        <v>104657</v>
      </c>
      <c r="J250" s="2">
        <f>+INDEX(Sheet1!H:H, MATCH(Hoja1!G250, Sheet1!I:I, 0))</f>
        <v>2.7439084251241877E-2</v>
      </c>
      <c r="K250" s="2">
        <f>+INDEX(Sheet1!L:L, MATCH(Hoja1!G250,Sheet1!M:M, 0))</f>
        <v>8.3000000000000007</v>
      </c>
    </row>
    <row r="251" spans="1:11" ht="16" x14ac:dyDescent="0.25">
      <c r="A251" t="s">
        <v>215</v>
      </c>
      <c r="B251">
        <v>10</v>
      </c>
      <c r="C251">
        <v>2023</v>
      </c>
      <c r="D251" t="s">
        <v>244</v>
      </c>
      <c r="E251">
        <v>4.2</v>
      </c>
      <c r="F251">
        <v>3617176</v>
      </c>
      <c r="G251" s="1" t="str">
        <f t="shared" si="3"/>
        <v>Connecticut2023</v>
      </c>
      <c r="H251">
        <f>+INDEX(Sheet1!C:C, MATCH(Hoja1!G251, Sheet1!D:D, 0))</f>
        <v>345911.9</v>
      </c>
      <c r="I251">
        <f>+INDEX(Sheet1!G:G, MATCH(Hoja1!G251, Sheet1!I:I, 0))</f>
        <v>104657</v>
      </c>
      <c r="J251" s="2">
        <f>+INDEX(Sheet1!H:H, MATCH(Hoja1!G251, Sheet1!I:I, 0))</f>
        <v>2.7439084251241877E-2</v>
      </c>
      <c r="K251" s="2">
        <f>+INDEX(Sheet1!L:L, MATCH(Hoja1!G251,Sheet1!M:M, 0))</f>
        <v>8.3000000000000007</v>
      </c>
    </row>
    <row r="252" spans="1:11" ht="16" x14ac:dyDescent="0.25">
      <c r="A252" t="s">
        <v>215</v>
      </c>
      <c r="B252">
        <v>11</v>
      </c>
      <c r="C252">
        <v>2023</v>
      </c>
      <c r="D252" t="s">
        <v>245</v>
      </c>
      <c r="E252">
        <v>4.2</v>
      </c>
      <c r="F252">
        <v>3617176</v>
      </c>
      <c r="G252" s="1" t="str">
        <f t="shared" si="3"/>
        <v>Connecticut2023</v>
      </c>
      <c r="H252">
        <f>+INDEX(Sheet1!C:C, MATCH(Hoja1!G252, Sheet1!D:D, 0))</f>
        <v>345911.9</v>
      </c>
      <c r="I252">
        <f>+INDEX(Sheet1!G:G, MATCH(Hoja1!G252, Sheet1!I:I, 0))</f>
        <v>104657</v>
      </c>
      <c r="J252" s="2">
        <f>+INDEX(Sheet1!H:H, MATCH(Hoja1!G252, Sheet1!I:I, 0))</f>
        <v>2.7439084251241877E-2</v>
      </c>
      <c r="K252" s="2">
        <f>+INDEX(Sheet1!L:L, MATCH(Hoja1!G252,Sheet1!M:M, 0))</f>
        <v>8.3000000000000007</v>
      </c>
    </row>
    <row r="253" spans="1:11" ht="16" x14ac:dyDescent="0.25">
      <c r="A253" t="s">
        <v>215</v>
      </c>
      <c r="B253">
        <v>12</v>
      </c>
      <c r="C253">
        <v>2023</v>
      </c>
      <c r="D253" t="s">
        <v>246</v>
      </c>
      <c r="E253">
        <v>4.2</v>
      </c>
      <c r="F253">
        <v>3617176</v>
      </c>
      <c r="G253" s="1" t="str">
        <f t="shared" si="3"/>
        <v>Connecticut2023</v>
      </c>
      <c r="H253">
        <f>+INDEX(Sheet1!C:C, MATCH(Hoja1!G253, Sheet1!D:D, 0))</f>
        <v>345911.9</v>
      </c>
      <c r="I253">
        <f>+INDEX(Sheet1!G:G, MATCH(Hoja1!G253, Sheet1!I:I, 0))</f>
        <v>104657</v>
      </c>
      <c r="J253" s="2">
        <f>+INDEX(Sheet1!H:H, MATCH(Hoja1!G253, Sheet1!I:I, 0))</f>
        <v>2.7439084251241877E-2</v>
      </c>
      <c r="K253" s="2">
        <f>+INDEX(Sheet1!L:L, MATCH(Hoja1!G253,Sheet1!M:M, 0))</f>
        <v>8.3000000000000007</v>
      </c>
    </row>
    <row r="254" spans="1:11" ht="16" x14ac:dyDescent="0.25">
      <c r="A254" t="s">
        <v>247</v>
      </c>
      <c r="B254">
        <v>1</v>
      </c>
      <c r="C254">
        <v>2021</v>
      </c>
      <c r="D254" t="s">
        <v>248</v>
      </c>
      <c r="E254">
        <v>5.7</v>
      </c>
      <c r="F254">
        <v>1004881</v>
      </c>
      <c r="G254" s="1" t="str">
        <f t="shared" si="3"/>
        <v>Delaware2021</v>
      </c>
      <c r="H254">
        <f>+INDEX(Sheet1!C:C, MATCH(Hoja1!G254, Sheet1!D:D, 0))</f>
        <v>83069.8</v>
      </c>
      <c r="I254">
        <f>+INDEX(Sheet1!G:G, MATCH(Hoja1!G254, Sheet1!I:I, 0))</f>
        <v>107334</v>
      </c>
      <c r="J254" s="2">
        <f>+INDEX(Sheet1!H:H, MATCH(Hoja1!G254, Sheet1!I:I, 0))</f>
        <v>2.9651871108851435E-2</v>
      </c>
      <c r="K254" s="2">
        <f>+INDEX(Sheet1!L:L, MATCH(Hoja1!G254,Sheet1!M:M, 0))</f>
        <v>11.7</v>
      </c>
    </row>
    <row r="255" spans="1:11" ht="16" x14ac:dyDescent="0.25">
      <c r="A255" t="s">
        <v>247</v>
      </c>
      <c r="B255">
        <v>2</v>
      </c>
      <c r="C255">
        <v>2021</v>
      </c>
      <c r="D255" t="s">
        <v>249</v>
      </c>
      <c r="E255">
        <v>5.8</v>
      </c>
      <c r="F255">
        <v>1004881</v>
      </c>
      <c r="G255" s="1" t="str">
        <f t="shared" si="3"/>
        <v>Delaware2021</v>
      </c>
      <c r="H255">
        <f>+INDEX(Sheet1!C:C, MATCH(Hoja1!G255, Sheet1!D:D, 0))</f>
        <v>83069.8</v>
      </c>
      <c r="I255">
        <f>+INDEX(Sheet1!G:G, MATCH(Hoja1!G255, Sheet1!I:I, 0))</f>
        <v>107334</v>
      </c>
      <c r="J255" s="2">
        <f>+INDEX(Sheet1!H:H, MATCH(Hoja1!G255, Sheet1!I:I, 0))</f>
        <v>2.9651871108851435E-2</v>
      </c>
      <c r="K255" s="2">
        <f>+INDEX(Sheet1!L:L, MATCH(Hoja1!G255,Sheet1!M:M, 0))</f>
        <v>11.7</v>
      </c>
    </row>
    <row r="256" spans="1:11" ht="16" x14ac:dyDescent="0.25">
      <c r="A256" t="s">
        <v>247</v>
      </c>
      <c r="B256">
        <v>3</v>
      </c>
      <c r="C256">
        <v>2021</v>
      </c>
      <c r="D256" t="s">
        <v>250</v>
      </c>
      <c r="E256">
        <v>5.9</v>
      </c>
      <c r="F256">
        <v>1004881</v>
      </c>
      <c r="G256" s="1" t="str">
        <f t="shared" si="3"/>
        <v>Delaware2021</v>
      </c>
      <c r="H256">
        <f>+INDEX(Sheet1!C:C, MATCH(Hoja1!G256, Sheet1!D:D, 0))</f>
        <v>83069.8</v>
      </c>
      <c r="I256">
        <f>+INDEX(Sheet1!G:G, MATCH(Hoja1!G256, Sheet1!I:I, 0))</f>
        <v>107334</v>
      </c>
      <c r="J256" s="2">
        <f>+INDEX(Sheet1!H:H, MATCH(Hoja1!G256, Sheet1!I:I, 0))</f>
        <v>2.9651871108851435E-2</v>
      </c>
      <c r="K256" s="2">
        <f>+INDEX(Sheet1!L:L, MATCH(Hoja1!G256,Sheet1!M:M, 0))</f>
        <v>11.7</v>
      </c>
    </row>
    <row r="257" spans="1:11" ht="16" x14ac:dyDescent="0.25">
      <c r="A257" t="s">
        <v>247</v>
      </c>
      <c r="B257">
        <v>4</v>
      </c>
      <c r="C257">
        <v>2021</v>
      </c>
      <c r="D257" t="s">
        <v>251</v>
      </c>
      <c r="E257">
        <v>5.9</v>
      </c>
      <c r="F257">
        <v>1004881</v>
      </c>
      <c r="G257" s="1" t="str">
        <f t="shared" si="3"/>
        <v>Delaware2021</v>
      </c>
      <c r="H257">
        <f>+INDEX(Sheet1!C:C, MATCH(Hoja1!G257, Sheet1!D:D, 0))</f>
        <v>83069.8</v>
      </c>
      <c r="I257">
        <f>+INDEX(Sheet1!G:G, MATCH(Hoja1!G257, Sheet1!I:I, 0))</f>
        <v>107334</v>
      </c>
      <c r="J257" s="2">
        <f>+INDEX(Sheet1!H:H, MATCH(Hoja1!G257, Sheet1!I:I, 0))</f>
        <v>2.9651871108851435E-2</v>
      </c>
      <c r="K257" s="2">
        <f>+INDEX(Sheet1!L:L, MATCH(Hoja1!G257,Sheet1!M:M, 0))</f>
        <v>11.7</v>
      </c>
    </row>
    <row r="258" spans="1:11" ht="16" x14ac:dyDescent="0.25">
      <c r="A258" t="s">
        <v>247</v>
      </c>
      <c r="B258">
        <v>5</v>
      </c>
      <c r="C258">
        <v>2021</v>
      </c>
      <c r="D258" t="s">
        <v>252</v>
      </c>
      <c r="E258">
        <v>5.9</v>
      </c>
      <c r="F258">
        <v>1004881</v>
      </c>
      <c r="G258" s="1" t="str">
        <f t="shared" si="3"/>
        <v>Delaware2021</v>
      </c>
      <c r="H258">
        <f>+INDEX(Sheet1!C:C, MATCH(Hoja1!G258, Sheet1!D:D, 0))</f>
        <v>83069.8</v>
      </c>
      <c r="I258">
        <f>+INDEX(Sheet1!G:G, MATCH(Hoja1!G258, Sheet1!I:I, 0))</f>
        <v>107334</v>
      </c>
      <c r="J258" s="2">
        <f>+INDEX(Sheet1!H:H, MATCH(Hoja1!G258, Sheet1!I:I, 0))</f>
        <v>2.9651871108851435E-2</v>
      </c>
      <c r="K258" s="2">
        <f>+INDEX(Sheet1!L:L, MATCH(Hoja1!G258,Sheet1!M:M, 0))</f>
        <v>11.7</v>
      </c>
    </row>
    <row r="259" spans="1:11" ht="16" x14ac:dyDescent="0.25">
      <c r="A259" t="s">
        <v>247</v>
      </c>
      <c r="B259">
        <v>6</v>
      </c>
      <c r="C259">
        <v>2021</v>
      </c>
      <c r="D259" t="s">
        <v>253</v>
      </c>
      <c r="E259">
        <v>5.8</v>
      </c>
      <c r="F259">
        <v>1004881</v>
      </c>
      <c r="G259" s="1" t="str">
        <f t="shared" ref="G259:G322" si="4">+A259&amp;C259</f>
        <v>Delaware2021</v>
      </c>
      <c r="H259">
        <f>+INDEX(Sheet1!C:C, MATCH(Hoja1!G259, Sheet1!D:D, 0))</f>
        <v>83069.8</v>
      </c>
      <c r="I259">
        <f>+INDEX(Sheet1!G:G, MATCH(Hoja1!G259, Sheet1!I:I, 0))</f>
        <v>107334</v>
      </c>
      <c r="J259" s="2">
        <f>+INDEX(Sheet1!H:H, MATCH(Hoja1!G259, Sheet1!I:I, 0))</f>
        <v>2.9651871108851435E-2</v>
      </c>
      <c r="K259" s="2">
        <f>+INDEX(Sheet1!L:L, MATCH(Hoja1!G259,Sheet1!M:M, 0))</f>
        <v>11.7</v>
      </c>
    </row>
    <row r="260" spans="1:11" ht="16" x14ac:dyDescent="0.25">
      <c r="A260" t="s">
        <v>247</v>
      </c>
      <c r="B260">
        <v>7</v>
      </c>
      <c r="C260">
        <v>2021</v>
      </c>
      <c r="D260" t="s">
        <v>254</v>
      </c>
      <c r="E260">
        <v>5.6</v>
      </c>
      <c r="F260">
        <v>1004881</v>
      </c>
      <c r="G260" s="1" t="str">
        <f t="shared" si="4"/>
        <v>Delaware2021</v>
      </c>
      <c r="H260">
        <f>+INDEX(Sheet1!C:C, MATCH(Hoja1!G260, Sheet1!D:D, 0))</f>
        <v>83069.8</v>
      </c>
      <c r="I260">
        <f>+INDEX(Sheet1!G:G, MATCH(Hoja1!G260, Sheet1!I:I, 0))</f>
        <v>107334</v>
      </c>
      <c r="J260" s="2">
        <f>+INDEX(Sheet1!H:H, MATCH(Hoja1!G260, Sheet1!I:I, 0))</f>
        <v>2.9651871108851435E-2</v>
      </c>
      <c r="K260" s="2">
        <f>+INDEX(Sheet1!L:L, MATCH(Hoja1!G260,Sheet1!M:M, 0))</f>
        <v>11.7</v>
      </c>
    </row>
    <row r="261" spans="1:11" ht="16" x14ac:dyDescent="0.25">
      <c r="A261" t="s">
        <v>247</v>
      </c>
      <c r="B261">
        <v>8</v>
      </c>
      <c r="C261">
        <v>2021</v>
      </c>
      <c r="D261" t="s">
        <v>255</v>
      </c>
      <c r="E261">
        <v>5.4</v>
      </c>
      <c r="F261">
        <v>1004881</v>
      </c>
      <c r="G261" s="1" t="str">
        <f t="shared" si="4"/>
        <v>Delaware2021</v>
      </c>
      <c r="H261">
        <f>+INDEX(Sheet1!C:C, MATCH(Hoja1!G261, Sheet1!D:D, 0))</f>
        <v>83069.8</v>
      </c>
      <c r="I261">
        <f>+INDEX(Sheet1!G:G, MATCH(Hoja1!G261, Sheet1!I:I, 0))</f>
        <v>107334</v>
      </c>
      <c r="J261" s="2">
        <f>+INDEX(Sheet1!H:H, MATCH(Hoja1!G261, Sheet1!I:I, 0))</f>
        <v>2.9651871108851435E-2</v>
      </c>
      <c r="K261" s="2">
        <f>+INDEX(Sheet1!L:L, MATCH(Hoja1!G261,Sheet1!M:M, 0))</f>
        <v>11.7</v>
      </c>
    </row>
    <row r="262" spans="1:11" ht="16" x14ac:dyDescent="0.25">
      <c r="A262" t="s">
        <v>247</v>
      </c>
      <c r="B262">
        <v>9</v>
      </c>
      <c r="C262">
        <v>2021</v>
      </c>
      <c r="D262" t="s">
        <v>256</v>
      </c>
      <c r="E262">
        <v>5.2</v>
      </c>
      <c r="F262">
        <v>1004881</v>
      </c>
      <c r="G262" s="1" t="str">
        <f t="shared" si="4"/>
        <v>Delaware2021</v>
      </c>
      <c r="H262">
        <f>+INDEX(Sheet1!C:C, MATCH(Hoja1!G262, Sheet1!D:D, 0))</f>
        <v>83069.8</v>
      </c>
      <c r="I262">
        <f>+INDEX(Sheet1!G:G, MATCH(Hoja1!G262, Sheet1!I:I, 0))</f>
        <v>107334</v>
      </c>
      <c r="J262" s="2">
        <f>+INDEX(Sheet1!H:H, MATCH(Hoja1!G262, Sheet1!I:I, 0))</f>
        <v>2.9651871108851435E-2</v>
      </c>
      <c r="K262" s="2">
        <f>+INDEX(Sheet1!L:L, MATCH(Hoja1!G262,Sheet1!M:M, 0))</f>
        <v>11.7</v>
      </c>
    </row>
    <row r="263" spans="1:11" ht="16" x14ac:dyDescent="0.25">
      <c r="A263" t="s">
        <v>247</v>
      </c>
      <c r="B263">
        <v>10</v>
      </c>
      <c r="C263">
        <v>2021</v>
      </c>
      <c r="D263" t="s">
        <v>257</v>
      </c>
      <c r="E263">
        <v>5</v>
      </c>
      <c r="F263">
        <v>1004881</v>
      </c>
      <c r="G263" s="1" t="str">
        <f t="shared" si="4"/>
        <v>Delaware2021</v>
      </c>
      <c r="H263">
        <f>+INDEX(Sheet1!C:C, MATCH(Hoja1!G263, Sheet1!D:D, 0))</f>
        <v>83069.8</v>
      </c>
      <c r="I263">
        <f>+INDEX(Sheet1!G:G, MATCH(Hoja1!G263, Sheet1!I:I, 0))</f>
        <v>107334</v>
      </c>
      <c r="J263" s="2">
        <f>+INDEX(Sheet1!H:H, MATCH(Hoja1!G263, Sheet1!I:I, 0))</f>
        <v>2.9651871108851435E-2</v>
      </c>
      <c r="K263" s="2">
        <f>+INDEX(Sheet1!L:L, MATCH(Hoja1!G263,Sheet1!M:M, 0))</f>
        <v>11.7</v>
      </c>
    </row>
    <row r="264" spans="1:11" ht="16" x14ac:dyDescent="0.25">
      <c r="A264" t="s">
        <v>247</v>
      </c>
      <c r="B264">
        <v>11</v>
      </c>
      <c r="C264">
        <v>2021</v>
      </c>
      <c r="D264" t="s">
        <v>258</v>
      </c>
      <c r="E264">
        <v>4.8</v>
      </c>
      <c r="F264">
        <v>1004881</v>
      </c>
      <c r="G264" s="1" t="str">
        <f t="shared" si="4"/>
        <v>Delaware2021</v>
      </c>
      <c r="H264">
        <f>+INDEX(Sheet1!C:C, MATCH(Hoja1!G264, Sheet1!D:D, 0))</f>
        <v>83069.8</v>
      </c>
      <c r="I264">
        <f>+INDEX(Sheet1!G:G, MATCH(Hoja1!G264, Sheet1!I:I, 0))</f>
        <v>107334</v>
      </c>
      <c r="J264" s="2">
        <f>+INDEX(Sheet1!H:H, MATCH(Hoja1!G264, Sheet1!I:I, 0))</f>
        <v>2.9651871108851435E-2</v>
      </c>
      <c r="K264" s="2">
        <f>+INDEX(Sheet1!L:L, MATCH(Hoja1!G264,Sheet1!M:M, 0))</f>
        <v>11.7</v>
      </c>
    </row>
    <row r="265" spans="1:11" ht="16" x14ac:dyDescent="0.25">
      <c r="A265" t="s">
        <v>247</v>
      </c>
      <c r="B265">
        <v>12</v>
      </c>
      <c r="C265">
        <v>2021</v>
      </c>
      <c r="D265" t="s">
        <v>259</v>
      </c>
      <c r="E265">
        <v>4.7</v>
      </c>
      <c r="F265">
        <v>1004881</v>
      </c>
      <c r="G265" s="1" t="str">
        <f t="shared" si="4"/>
        <v>Delaware2021</v>
      </c>
      <c r="H265">
        <f>+INDEX(Sheet1!C:C, MATCH(Hoja1!G265, Sheet1!D:D, 0))</f>
        <v>83069.8</v>
      </c>
      <c r="I265">
        <f>+INDEX(Sheet1!G:G, MATCH(Hoja1!G265, Sheet1!I:I, 0))</f>
        <v>107334</v>
      </c>
      <c r="J265" s="2">
        <f>+INDEX(Sheet1!H:H, MATCH(Hoja1!G265, Sheet1!I:I, 0))</f>
        <v>2.9651871108851435E-2</v>
      </c>
      <c r="K265" s="2">
        <f>+INDEX(Sheet1!L:L, MATCH(Hoja1!G265,Sheet1!M:M, 0))</f>
        <v>11.7</v>
      </c>
    </row>
    <row r="266" spans="1:11" ht="16" x14ac:dyDescent="0.25">
      <c r="A266" t="s">
        <v>247</v>
      </c>
      <c r="B266">
        <v>1</v>
      </c>
      <c r="C266">
        <v>2022</v>
      </c>
      <c r="D266" t="s">
        <v>260</v>
      </c>
      <c r="E266">
        <v>4.5999999999999996</v>
      </c>
      <c r="F266">
        <v>1019459</v>
      </c>
      <c r="G266" s="1" t="str">
        <f t="shared" si="4"/>
        <v>Delaware2022</v>
      </c>
      <c r="H266">
        <f>+INDEX(Sheet1!C:C, MATCH(Hoja1!G266, Sheet1!D:D, 0))</f>
        <v>92558.2</v>
      </c>
      <c r="I266">
        <f>+INDEX(Sheet1!G:G, MATCH(Hoja1!G266, Sheet1!I:I, 0))</f>
        <v>110917</v>
      </c>
      <c r="J266" s="2">
        <f>+INDEX(Sheet1!H:H, MATCH(Hoja1!G266, Sheet1!I:I, 0))</f>
        <v>3.338178023738983E-2</v>
      </c>
      <c r="K266" s="2">
        <f>+INDEX(Sheet1!L:L, MATCH(Hoja1!G266,Sheet1!M:M, 0))</f>
        <v>9.3000000000000007</v>
      </c>
    </row>
    <row r="267" spans="1:11" ht="16" x14ac:dyDescent="0.25">
      <c r="A267" t="s">
        <v>247</v>
      </c>
      <c r="B267">
        <v>2</v>
      </c>
      <c r="C267">
        <v>2022</v>
      </c>
      <c r="D267" t="s">
        <v>261</v>
      </c>
      <c r="E267">
        <v>4.4000000000000004</v>
      </c>
      <c r="F267">
        <v>1019459</v>
      </c>
      <c r="G267" s="1" t="str">
        <f t="shared" si="4"/>
        <v>Delaware2022</v>
      </c>
      <c r="H267">
        <f>+INDEX(Sheet1!C:C, MATCH(Hoja1!G267, Sheet1!D:D, 0))</f>
        <v>92558.2</v>
      </c>
      <c r="I267">
        <f>+INDEX(Sheet1!G:G, MATCH(Hoja1!G267, Sheet1!I:I, 0))</f>
        <v>110917</v>
      </c>
      <c r="J267" s="2">
        <f>+INDEX(Sheet1!H:H, MATCH(Hoja1!G267, Sheet1!I:I, 0))</f>
        <v>3.338178023738983E-2</v>
      </c>
      <c r="K267" s="2">
        <f>+INDEX(Sheet1!L:L, MATCH(Hoja1!G267,Sheet1!M:M, 0))</f>
        <v>9.3000000000000007</v>
      </c>
    </row>
    <row r="268" spans="1:11" ht="16" x14ac:dyDescent="0.25">
      <c r="A268" t="s">
        <v>247</v>
      </c>
      <c r="B268">
        <v>3</v>
      </c>
      <c r="C268">
        <v>2022</v>
      </c>
      <c r="D268" t="s">
        <v>262</v>
      </c>
      <c r="E268">
        <v>4.3</v>
      </c>
      <c r="F268">
        <v>1019459</v>
      </c>
      <c r="G268" s="1" t="str">
        <f t="shared" si="4"/>
        <v>Delaware2022</v>
      </c>
      <c r="H268">
        <f>+INDEX(Sheet1!C:C, MATCH(Hoja1!G268, Sheet1!D:D, 0))</f>
        <v>92558.2</v>
      </c>
      <c r="I268">
        <f>+INDEX(Sheet1!G:G, MATCH(Hoja1!G268, Sheet1!I:I, 0))</f>
        <v>110917</v>
      </c>
      <c r="J268" s="2">
        <f>+INDEX(Sheet1!H:H, MATCH(Hoja1!G268, Sheet1!I:I, 0))</f>
        <v>3.338178023738983E-2</v>
      </c>
      <c r="K268" s="2">
        <f>+INDEX(Sheet1!L:L, MATCH(Hoja1!G268,Sheet1!M:M, 0))</f>
        <v>9.3000000000000007</v>
      </c>
    </row>
    <row r="269" spans="1:11" ht="16" x14ac:dyDescent="0.25">
      <c r="A269" t="s">
        <v>247</v>
      </c>
      <c r="B269">
        <v>4</v>
      </c>
      <c r="C269">
        <v>2022</v>
      </c>
      <c r="D269" t="s">
        <v>263</v>
      </c>
      <c r="E269">
        <v>4.2</v>
      </c>
      <c r="F269">
        <v>1019459</v>
      </c>
      <c r="G269" s="1" t="str">
        <f t="shared" si="4"/>
        <v>Delaware2022</v>
      </c>
      <c r="H269">
        <f>+INDEX(Sheet1!C:C, MATCH(Hoja1!G269, Sheet1!D:D, 0))</f>
        <v>92558.2</v>
      </c>
      <c r="I269">
        <f>+INDEX(Sheet1!G:G, MATCH(Hoja1!G269, Sheet1!I:I, 0))</f>
        <v>110917</v>
      </c>
      <c r="J269" s="2">
        <f>+INDEX(Sheet1!H:H, MATCH(Hoja1!G269, Sheet1!I:I, 0))</f>
        <v>3.338178023738983E-2</v>
      </c>
      <c r="K269" s="2">
        <f>+INDEX(Sheet1!L:L, MATCH(Hoja1!G269,Sheet1!M:M, 0))</f>
        <v>9.3000000000000007</v>
      </c>
    </row>
    <row r="270" spans="1:11" ht="16" x14ac:dyDescent="0.25">
      <c r="A270" t="s">
        <v>247</v>
      </c>
      <c r="B270">
        <v>5</v>
      </c>
      <c r="C270">
        <v>2022</v>
      </c>
      <c r="D270" t="s">
        <v>264</v>
      </c>
      <c r="E270">
        <v>4.2</v>
      </c>
      <c r="F270">
        <v>1019459</v>
      </c>
      <c r="G270" s="1" t="str">
        <f t="shared" si="4"/>
        <v>Delaware2022</v>
      </c>
      <c r="H270">
        <f>+INDEX(Sheet1!C:C, MATCH(Hoja1!G270, Sheet1!D:D, 0))</f>
        <v>92558.2</v>
      </c>
      <c r="I270">
        <f>+INDEX(Sheet1!G:G, MATCH(Hoja1!G270, Sheet1!I:I, 0))</f>
        <v>110917</v>
      </c>
      <c r="J270" s="2">
        <f>+INDEX(Sheet1!H:H, MATCH(Hoja1!G270, Sheet1!I:I, 0))</f>
        <v>3.338178023738983E-2</v>
      </c>
      <c r="K270" s="2">
        <f>+INDEX(Sheet1!L:L, MATCH(Hoja1!G270,Sheet1!M:M, 0))</f>
        <v>9.3000000000000007</v>
      </c>
    </row>
    <row r="271" spans="1:11" ht="16" x14ac:dyDescent="0.25">
      <c r="A271" t="s">
        <v>247</v>
      </c>
      <c r="B271">
        <v>6</v>
      </c>
      <c r="C271">
        <v>2022</v>
      </c>
      <c r="D271" t="s">
        <v>265</v>
      </c>
      <c r="E271">
        <v>4.2</v>
      </c>
      <c r="F271">
        <v>1019459</v>
      </c>
      <c r="G271" s="1" t="str">
        <f t="shared" si="4"/>
        <v>Delaware2022</v>
      </c>
      <c r="H271">
        <f>+INDEX(Sheet1!C:C, MATCH(Hoja1!G271, Sheet1!D:D, 0))</f>
        <v>92558.2</v>
      </c>
      <c r="I271">
        <f>+INDEX(Sheet1!G:G, MATCH(Hoja1!G271, Sheet1!I:I, 0))</f>
        <v>110917</v>
      </c>
      <c r="J271" s="2">
        <f>+INDEX(Sheet1!H:H, MATCH(Hoja1!G271, Sheet1!I:I, 0))</f>
        <v>3.338178023738983E-2</v>
      </c>
      <c r="K271" s="2">
        <f>+INDEX(Sheet1!L:L, MATCH(Hoja1!G271,Sheet1!M:M, 0))</f>
        <v>9.3000000000000007</v>
      </c>
    </row>
    <row r="272" spans="1:11" ht="16" x14ac:dyDescent="0.25">
      <c r="A272" t="s">
        <v>247</v>
      </c>
      <c r="B272">
        <v>7</v>
      </c>
      <c r="C272">
        <v>2022</v>
      </c>
      <c r="D272" t="s">
        <v>266</v>
      </c>
      <c r="E272">
        <v>4.0999999999999996</v>
      </c>
      <c r="F272">
        <v>1019459</v>
      </c>
      <c r="G272" s="1" t="str">
        <f t="shared" si="4"/>
        <v>Delaware2022</v>
      </c>
      <c r="H272">
        <f>+INDEX(Sheet1!C:C, MATCH(Hoja1!G272, Sheet1!D:D, 0))</f>
        <v>92558.2</v>
      </c>
      <c r="I272">
        <f>+INDEX(Sheet1!G:G, MATCH(Hoja1!G272, Sheet1!I:I, 0))</f>
        <v>110917</v>
      </c>
      <c r="J272" s="2">
        <f>+INDEX(Sheet1!H:H, MATCH(Hoja1!G272, Sheet1!I:I, 0))</f>
        <v>3.338178023738983E-2</v>
      </c>
      <c r="K272" s="2">
        <f>+INDEX(Sheet1!L:L, MATCH(Hoja1!G272,Sheet1!M:M, 0))</f>
        <v>9.3000000000000007</v>
      </c>
    </row>
    <row r="273" spans="1:11" ht="16" x14ac:dyDescent="0.25">
      <c r="A273" t="s">
        <v>247</v>
      </c>
      <c r="B273">
        <v>8</v>
      </c>
      <c r="C273">
        <v>2022</v>
      </c>
      <c r="D273" t="s">
        <v>267</v>
      </c>
      <c r="E273">
        <v>4.0999999999999996</v>
      </c>
      <c r="F273">
        <v>1019459</v>
      </c>
      <c r="G273" s="1" t="str">
        <f t="shared" si="4"/>
        <v>Delaware2022</v>
      </c>
      <c r="H273">
        <f>+INDEX(Sheet1!C:C, MATCH(Hoja1!G273, Sheet1!D:D, 0))</f>
        <v>92558.2</v>
      </c>
      <c r="I273">
        <f>+INDEX(Sheet1!G:G, MATCH(Hoja1!G273, Sheet1!I:I, 0))</f>
        <v>110917</v>
      </c>
      <c r="J273" s="2">
        <f>+INDEX(Sheet1!H:H, MATCH(Hoja1!G273, Sheet1!I:I, 0))</f>
        <v>3.338178023738983E-2</v>
      </c>
      <c r="K273" s="2">
        <f>+INDEX(Sheet1!L:L, MATCH(Hoja1!G273,Sheet1!M:M, 0))</f>
        <v>9.3000000000000007</v>
      </c>
    </row>
    <row r="274" spans="1:11" ht="16" x14ac:dyDescent="0.25">
      <c r="A274" t="s">
        <v>247</v>
      </c>
      <c r="B274">
        <v>9</v>
      </c>
      <c r="C274">
        <v>2022</v>
      </c>
      <c r="D274" t="s">
        <v>268</v>
      </c>
      <c r="E274">
        <v>4.2</v>
      </c>
      <c r="F274">
        <v>1019459</v>
      </c>
      <c r="G274" s="1" t="str">
        <f t="shared" si="4"/>
        <v>Delaware2022</v>
      </c>
      <c r="H274">
        <f>+INDEX(Sheet1!C:C, MATCH(Hoja1!G274, Sheet1!D:D, 0))</f>
        <v>92558.2</v>
      </c>
      <c r="I274">
        <f>+INDEX(Sheet1!G:G, MATCH(Hoja1!G274, Sheet1!I:I, 0))</f>
        <v>110917</v>
      </c>
      <c r="J274" s="2">
        <f>+INDEX(Sheet1!H:H, MATCH(Hoja1!G274, Sheet1!I:I, 0))</f>
        <v>3.338178023738983E-2</v>
      </c>
      <c r="K274" s="2">
        <f>+INDEX(Sheet1!L:L, MATCH(Hoja1!G274,Sheet1!M:M, 0))</f>
        <v>9.3000000000000007</v>
      </c>
    </row>
    <row r="275" spans="1:11" ht="16" x14ac:dyDescent="0.25">
      <c r="A275" t="s">
        <v>247</v>
      </c>
      <c r="B275">
        <v>10</v>
      </c>
      <c r="C275">
        <v>2022</v>
      </c>
      <c r="D275" t="s">
        <v>269</v>
      </c>
      <c r="E275">
        <v>4.2</v>
      </c>
      <c r="F275">
        <v>1019459</v>
      </c>
      <c r="G275" s="1" t="str">
        <f t="shared" si="4"/>
        <v>Delaware2022</v>
      </c>
      <c r="H275">
        <f>+INDEX(Sheet1!C:C, MATCH(Hoja1!G275, Sheet1!D:D, 0))</f>
        <v>92558.2</v>
      </c>
      <c r="I275">
        <f>+INDEX(Sheet1!G:G, MATCH(Hoja1!G275, Sheet1!I:I, 0))</f>
        <v>110917</v>
      </c>
      <c r="J275" s="2">
        <f>+INDEX(Sheet1!H:H, MATCH(Hoja1!G275, Sheet1!I:I, 0))</f>
        <v>3.338178023738983E-2</v>
      </c>
      <c r="K275" s="2">
        <f>+INDEX(Sheet1!L:L, MATCH(Hoja1!G275,Sheet1!M:M, 0))</f>
        <v>9.3000000000000007</v>
      </c>
    </row>
    <row r="276" spans="1:11" ht="16" x14ac:dyDescent="0.25">
      <c r="A276" t="s">
        <v>247</v>
      </c>
      <c r="B276">
        <v>11</v>
      </c>
      <c r="C276">
        <v>2022</v>
      </c>
      <c r="D276" t="s">
        <v>270</v>
      </c>
      <c r="E276">
        <v>4.2</v>
      </c>
      <c r="F276">
        <v>1019459</v>
      </c>
      <c r="G276" s="1" t="str">
        <f t="shared" si="4"/>
        <v>Delaware2022</v>
      </c>
      <c r="H276">
        <f>+INDEX(Sheet1!C:C, MATCH(Hoja1!G276, Sheet1!D:D, 0))</f>
        <v>92558.2</v>
      </c>
      <c r="I276">
        <f>+INDEX(Sheet1!G:G, MATCH(Hoja1!G276, Sheet1!I:I, 0))</f>
        <v>110917</v>
      </c>
      <c r="J276" s="2">
        <f>+INDEX(Sheet1!H:H, MATCH(Hoja1!G276, Sheet1!I:I, 0))</f>
        <v>3.338178023738983E-2</v>
      </c>
      <c r="K276" s="2">
        <f>+INDEX(Sheet1!L:L, MATCH(Hoja1!G276,Sheet1!M:M, 0))</f>
        <v>9.3000000000000007</v>
      </c>
    </row>
    <row r="277" spans="1:11" ht="16" x14ac:dyDescent="0.25">
      <c r="A277" t="s">
        <v>247</v>
      </c>
      <c r="B277">
        <v>12</v>
      </c>
      <c r="C277">
        <v>2022</v>
      </c>
      <c r="D277" t="s">
        <v>271</v>
      </c>
      <c r="E277">
        <v>4.0999999999999996</v>
      </c>
      <c r="F277">
        <v>1019459</v>
      </c>
      <c r="G277" s="1" t="str">
        <f t="shared" si="4"/>
        <v>Delaware2022</v>
      </c>
      <c r="H277">
        <f>+INDEX(Sheet1!C:C, MATCH(Hoja1!G277, Sheet1!D:D, 0))</f>
        <v>92558.2</v>
      </c>
      <c r="I277">
        <f>+INDEX(Sheet1!G:G, MATCH(Hoja1!G277, Sheet1!I:I, 0))</f>
        <v>110917</v>
      </c>
      <c r="J277" s="2">
        <f>+INDEX(Sheet1!H:H, MATCH(Hoja1!G277, Sheet1!I:I, 0))</f>
        <v>3.338178023738983E-2</v>
      </c>
      <c r="K277" s="2">
        <f>+INDEX(Sheet1!L:L, MATCH(Hoja1!G277,Sheet1!M:M, 0))</f>
        <v>9.3000000000000007</v>
      </c>
    </row>
    <row r="278" spans="1:11" ht="16" x14ac:dyDescent="0.25">
      <c r="A278" t="s">
        <v>247</v>
      </c>
      <c r="B278">
        <v>1</v>
      </c>
      <c r="C278">
        <v>2023</v>
      </c>
      <c r="D278" t="s">
        <v>272</v>
      </c>
      <c r="E278">
        <v>4.0999999999999996</v>
      </c>
      <c r="F278">
        <v>1031890</v>
      </c>
      <c r="G278" s="1" t="str">
        <f t="shared" si="4"/>
        <v>Delaware2023</v>
      </c>
      <c r="H278">
        <f>+INDEX(Sheet1!C:C, MATCH(Hoja1!G278, Sheet1!D:D, 0))</f>
        <v>98068.7</v>
      </c>
      <c r="I278">
        <f>+INDEX(Sheet1!G:G, MATCH(Hoja1!G278, Sheet1!I:I, 0))</f>
        <v>112161</v>
      </c>
      <c r="J278" s="2">
        <f>+INDEX(Sheet1!H:H, MATCH(Hoja1!G278, Sheet1!I:I, 0))</f>
        <v>1.1215593642092736E-2</v>
      </c>
      <c r="K278" s="2">
        <f>+INDEX(Sheet1!L:L, MATCH(Hoja1!G278,Sheet1!M:M, 0))</f>
        <v>7.8</v>
      </c>
    </row>
    <row r="279" spans="1:11" ht="16" x14ac:dyDescent="0.25">
      <c r="A279" t="s">
        <v>247</v>
      </c>
      <c r="B279">
        <v>2</v>
      </c>
      <c r="C279">
        <v>2023</v>
      </c>
      <c r="D279" t="s">
        <v>273</v>
      </c>
      <c r="E279">
        <v>4</v>
      </c>
      <c r="F279">
        <v>1031890</v>
      </c>
      <c r="G279" s="1" t="str">
        <f t="shared" si="4"/>
        <v>Delaware2023</v>
      </c>
      <c r="H279">
        <f>+INDEX(Sheet1!C:C, MATCH(Hoja1!G279, Sheet1!D:D, 0))</f>
        <v>98068.7</v>
      </c>
      <c r="I279">
        <f>+INDEX(Sheet1!G:G, MATCH(Hoja1!G279, Sheet1!I:I, 0))</f>
        <v>112161</v>
      </c>
      <c r="J279" s="2">
        <f>+INDEX(Sheet1!H:H, MATCH(Hoja1!G279, Sheet1!I:I, 0))</f>
        <v>1.1215593642092736E-2</v>
      </c>
      <c r="K279" s="2">
        <f>+INDEX(Sheet1!L:L, MATCH(Hoja1!G279,Sheet1!M:M, 0))</f>
        <v>7.8</v>
      </c>
    </row>
    <row r="280" spans="1:11" ht="16" x14ac:dyDescent="0.25">
      <c r="A280" t="s">
        <v>247</v>
      </c>
      <c r="B280">
        <v>3</v>
      </c>
      <c r="C280">
        <v>2023</v>
      </c>
      <c r="D280" t="s">
        <v>274</v>
      </c>
      <c r="E280">
        <v>3.9</v>
      </c>
      <c r="F280">
        <v>1031890</v>
      </c>
      <c r="G280" s="1" t="str">
        <f t="shared" si="4"/>
        <v>Delaware2023</v>
      </c>
      <c r="H280">
        <f>+INDEX(Sheet1!C:C, MATCH(Hoja1!G280, Sheet1!D:D, 0))</f>
        <v>98068.7</v>
      </c>
      <c r="I280">
        <f>+INDEX(Sheet1!G:G, MATCH(Hoja1!G280, Sheet1!I:I, 0))</f>
        <v>112161</v>
      </c>
      <c r="J280" s="2">
        <f>+INDEX(Sheet1!H:H, MATCH(Hoja1!G280, Sheet1!I:I, 0))</f>
        <v>1.1215593642092736E-2</v>
      </c>
      <c r="K280" s="2">
        <f>+INDEX(Sheet1!L:L, MATCH(Hoja1!G280,Sheet1!M:M, 0))</f>
        <v>7.8</v>
      </c>
    </row>
    <row r="281" spans="1:11" ht="16" x14ac:dyDescent="0.25">
      <c r="A281" t="s">
        <v>247</v>
      </c>
      <c r="B281">
        <v>4</v>
      </c>
      <c r="C281">
        <v>2023</v>
      </c>
      <c r="D281" t="s">
        <v>275</v>
      </c>
      <c r="E281">
        <v>3.8</v>
      </c>
      <c r="F281">
        <v>1031890</v>
      </c>
      <c r="G281" s="1" t="str">
        <f t="shared" si="4"/>
        <v>Delaware2023</v>
      </c>
      <c r="H281">
        <f>+INDEX(Sheet1!C:C, MATCH(Hoja1!G281, Sheet1!D:D, 0))</f>
        <v>98068.7</v>
      </c>
      <c r="I281">
        <f>+INDEX(Sheet1!G:G, MATCH(Hoja1!G281, Sheet1!I:I, 0))</f>
        <v>112161</v>
      </c>
      <c r="J281" s="2">
        <f>+INDEX(Sheet1!H:H, MATCH(Hoja1!G281, Sheet1!I:I, 0))</f>
        <v>1.1215593642092736E-2</v>
      </c>
      <c r="K281" s="2">
        <f>+INDEX(Sheet1!L:L, MATCH(Hoja1!G281,Sheet1!M:M, 0))</f>
        <v>7.8</v>
      </c>
    </row>
    <row r="282" spans="1:11" ht="16" x14ac:dyDescent="0.25">
      <c r="A282" t="s">
        <v>247</v>
      </c>
      <c r="B282">
        <v>5</v>
      </c>
      <c r="C282">
        <v>2023</v>
      </c>
      <c r="D282" t="s">
        <v>276</v>
      </c>
      <c r="E282">
        <v>3.8</v>
      </c>
      <c r="F282">
        <v>1031890</v>
      </c>
      <c r="G282" s="1" t="str">
        <f t="shared" si="4"/>
        <v>Delaware2023</v>
      </c>
      <c r="H282">
        <f>+INDEX(Sheet1!C:C, MATCH(Hoja1!G282, Sheet1!D:D, 0))</f>
        <v>98068.7</v>
      </c>
      <c r="I282">
        <f>+INDEX(Sheet1!G:G, MATCH(Hoja1!G282, Sheet1!I:I, 0))</f>
        <v>112161</v>
      </c>
      <c r="J282" s="2">
        <f>+INDEX(Sheet1!H:H, MATCH(Hoja1!G282, Sheet1!I:I, 0))</f>
        <v>1.1215593642092736E-2</v>
      </c>
      <c r="K282" s="2">
        <f>+INDEX(Sheet1!L:L, MATCH(Hoja1!G282,Sheet1!M:M, 0))</f>
        <v>7.8</v>
      </c>
    </row>
    <row r="283" spans="1:11" ht="16" x14ac:dyDescent="0.25">
      <c r="A283" t="s">
        <v>247</v>
      </c>
      <c r="B283">
        <v>6</v>
      </c>
      <c r="C283">
        <v>2023</v>
      </c>
      <c r="D283" t="s">
        <v>277</v>
      </c>
      <c r="E283">
        <v>3.9</v>
      </c>
      <c r="F283">
        <v>1031890</v>
      </c>
      <c r="G283" s="1" t="str">
        <f t="shared" si="4"/>
        <v>Delaware2023</v>
      </c>
      <c r="H283">
        <f>+INDEX(Sheet1!C:C, MATCH(Hoja1!G283, Sheet1!D:D, 0))</f>
        <v>98068.7</v>
      </c>
      <c r="I283">
        <f>+INDEX(Sheet1!G:G, MATCH(Hoja1!G283, Sheet1!I:I, 0))</f>
        <v>112161</v>
      </c>
      <c r="J283" s="2">
        <f>+INDEX(Sheet1!H:H, MATCH(Hoja1!G283, Sheet1!I:I, 0))</f>
        <v>1.1215593642092736E-2</v>
      </c>
      <c r="K283" s="2">
        <f>+INDEX(Sheet1!L:L, MATCH(Hoja1!G283,Sheet1!M:M, 0))</f>
        <v>7.8</v>
      </c>
    </row>
    <row r="284" spans="1:11" ht="16" x14ac:dyDescent="0.25">
      <c r="A284" t="s">
        <v>247</v>
      </c>
      <c r="B284">
        <v>7</v>
      </c>
      <c r="C284">
        <v>2023</v>
      </c>
      <c r="D284" t="s">
        <v>267</v>
      </c>
      <c r="E284">
        <v>3.9</v>
      </c>
      <c r="F284">
        <v>1031890</v>
      </c>
      <c r="G284" s="1" t="str">
        <f t="shared" si="4"/>
        <v>Delaware2023</v>
      </c>
      <c r="H284">
        <f>+INDEX(Sheet1!C:C, MATCH(Hoja1!G284, Sheet1!D:D, 0))</f>
        <v>98068.7</v>
      </c>
      <c r="I284">
        <f>+INDEX(Sheet1!G:G, MATCH(Hoja1!G284, Sheet1!I:I, 0))</f>
        <v>112161</v>
      </c>
      <c r="J284" s="2">
        <f>+INDEX(Sheet1!H:H, MATCH(Hoja1!G284, Sheet1!I:I, 0))</f>
        <v>1.1215593642092736E-2</v>
      </c>
      <c r="K284" s="2">
        <f>+INDEX(Sheet1!L:L, MATCH(Hoja1!G284,Sheet1!M:M, 0))</f>
        <v>7.8</v>
      </c>
    </row>
    <row r="285" spans="1:11" ht="16" x14ac:dyDescent="0.25">
      <c r="A285" t="s">
        <v>247</v>
      </c>
      <c r="B285">
        <v>8</v>
      </c>
      <c r="C285">
        <v>2023</v>
      </c>
      <c r="D285" t="s">
        <v>278</v>
      </c>
      <c r="E285">
        <v>4</v>
      </c>
      <c r="F285">
        <v>1031890</v>
      </c>
      <c r="G285" s="1" t="str">
        <f t="shared" si="4"/>
        <v>Delaware2023</v>
      </c>
      <c r="H285">
        <f>+INDEX(Sheet1!C:C, MATCH(Hoja1!G285, Sheet1!D:D, 0))</f>
        <v>98068.7</v>
      </c>
      <c r="I285">
        <f>+INDEX(Sheet1!G:G, MATCH(Hoja1!G285, Sheet1!I:I, 0))</f>
        <v>112161</v>
      </c>
      <c r="J285" s="2">
        <f>+INDEX(Sheet1!H:H, MATCH(Hoja1!G285, Sheet1!I:I, 0))</f>
        <v>1.1215593642092736E-2</v>
      </c>
      <c r="K285" s="2">
        <f>+INDEX(Sheet1!L:L, MATCH(Hoja1!G285,Sheet1!M:M, 0))</f>
        <v>7.8</v>
      </c>
    </row>
    <row r="286" spans="1:11" ht="16" x14ac:dyDescent="0.25">
      <c r="A286" t="s">
        <v>247</v>
      </c>
      <c r="B286">
        <v>9</v>
      </c>
      <c r="C286">
        <v>2023</v>
      </c>
      <c r="D286" t="s">
        <v>279</v>
      </c>
      <c r="E286">
        <v>4.0999999999999996</v>
      </c>
      <c r="F286">
        <v>1031890</v>
      </c>
      <c r="G286" s="1" t="str">
        <f t="shared" si="4"/>
        <v>Delaware2023</v>
      </c>
      <c r="H286">
        <f>+INDEX(Sheet1!C:C, MATCH(Hoja1!G286, Sheet1!D:D, 0))</f>
        <v>98068.7</v>
      </c>
      <c r="I286">
        <f>+INDEX(Sheet1!G:G, MATCH(Hoja1!G286, Sheet1!I:I, 0))</f>
        <v>112161</v>
      </c>
      <c r="J286" s="2">
        <f>+INDEX(Sheet1!H:H, MATCH(Hoja1!G286, Sheet1!I:I, 0))</f>
        <v>1.1215593642092736E-2</v>
      </c>
      <c r="K286" s="2">
        <f>+INDEX(Sheet1!L:L, MATCH(Hoja1!G286,Sheet1!M:M, 0))</f>
        <v>7.8</v>
      </c>
    </row>
    <row r="287" spans="1:11" ht="16" x14ac:dyDescent="0.25">
      <c r="A287" t="s">
        <v>247</v>
      </c>
      <c r="B287">
        <v>10</v>
      </c>
      <c r="C287">
        <v>2023</v>
      </c>
      <c r="D287" t="s">
        <v>280</v>
      </c>
      <c r="E287">
        <v>4.0999999999999996</v>
      </c>
      <c r="F287">
        <v>1031890</v>
      </c>
      <c r="G287" s="1" t="str">
        <f t="shared" si="4"/>
        <v>Delaware2023</v>
      </c>
      <c r="H287">
        <f>+INDEX(Sheet1!C:C, MATCH(Hoja1!G287, Sheet1!D:D, 0))</f>
        <v>98068.7</v>
      </c>
      <c r="I287">
        <f>+INDEX(Sheet1!G:G, MATCH(Hoja1!G287, Sheet1!I:I, 0))</f>
        <v>112161</v>
      </c>
      <c r="J287" s="2">
        <f>+INDEX(Sheet1!H:H, MATCH(Hoja1!G287, Sheet1!I:I, 0))</f>
        <v>1.1215593642092736E-2</v>
      </c>
      <c r="K287" s="2">
        <f>+INDEX(Sheet1!L:L, MATCH(Hoja1!G287,Sheet1!M:M, 0))</f>
        <v>7.8</v>
      </c>
    </row>
    <row r="288" spans="1:11" ht="16" x14ac:dyDescent="0.25">
      <c r="A288" t="s">
        <v>247</v>
      </c>
      <c r="B288">
        <v>11</v>
      </c>
      <c r="C288">
        <v>2023</v>
      </c>
      <c r="D288" t="s">
        <v>281</v>
      </c>
      <c r="E288">
        <v>4.0999999999999996</v>
      </c>
      <c r="F288">
        <v>1031890</v>
      </c>
      <c r="G288" s="1" t="str">
        <f t="shared" si="4"/>
        <v>Delaware2023</v>
      </c>
      <c r="H288">
        <f>+INDEX(Sheet1!C:C, MATCH(Hoja1!G288, Sheet1!D:D, 0))</f>
        <v>98068.7</v>
      </c>
      <c r="I288">
        <f>+INDEX(Sheet1!G:G, MATCH(Hoja1!G288, Sheet1!I:I, 0))</f>
        <v>112161</v>
      </c>
      <c r="J288" s="2">
        <f>+INDEX(Sheet1!H:H, MATCH(Hoja1!G288, Sheet1!I:I, 0))</f>
        <v>1.1215593642092736E-2</v>
      </c>
      <c r="K288" s="2">
        <f>+INDEX(Sheet1!L:L, MATCH(Hoja1!G288,Sheet1!M:M, 0))</f>
        <v>7.8</v>
      </c>
    </row>
    <row r="289" spans="1:11" ht="16" x14ac:dyDescent="0.25">
      <c r="A289" t="s">
        <v>247</v>
      </c>
      <c r="B289">
        <v>12</v>
      </c>
      <c r="C289">
        <v>2023</v>
      </c>
      <c r="D289" t="s">
        <v>282</v>
      </c>
      <c r="E289">
        <v>4.0999999999999996</v>
      </c>
      <c r="F289">
        <v>1031890</v>
      </c>
      <c r="G289" s="1" t="str">
        <f t="shared" si="4"/>
        <v>Delaware2023</v>
      </c>
      <c r="H289">
        <f>+INDEX(Sheet1!C:C, MATCH(Hoja1!G289, Sheet1!D:D, 0))</f>
        <v>98068.7</v>
      </c>
      <c r="I289">
        <f>+INDEX(Sheet1!G:G, MATCH(Hoja1!G289, Sheet1!I:I, 0))</f>
        <v>112161</v>
      </c>
      <c r="J289" s="2">
        <f>+INDEX(Sheet1!H:H, MATCH(Hoja1!G289, Sheet1!I:I, 0))</f>
        <v>1.1215593642092736E-2</v>
      </c>
      <c r="K289" s="2">
        <f>+INDEX(Sheet1!L:L, MATCH(Hoja1!G289,Sheet1!M:M, 0))</f>
        <v>7.8</v>
      </c>
    </row>
    <row r="290" spans="1:11" ht="16" x14ac:dyDescent="0.25">
      <c r="A290" t="s">
        <v>283</v>
      </c>
      <c r="B290">
        <v>1</v>
      </c>
      <c r="C290">
        <v>2021</v>
      </c>
      <c r="D290" t="s">
        <v>284</v>
      </c>
      <c r="E290">
        <v>5.9</v>
      </c>
      <c r="F290">
        <v>21830708</v>
      </c>
      <c r="G290" s="1" t="str">
        <f t="shared" si="4"/>
        <v>Florida2021</v>
      </c>
      <c r="H290">
        <f>+INDEX(Sheet1!C:C, MATCH(Hoja1!G290, Sheet1!D:D, 0))</f>
        <v>1298631.2</v>
      </c>
      <c r="I290">
        <f>+INDEX(Sheet1!G:G, MATCH(Hoja1!G290, Sheet1!I:I, 0))</f>
        <v>115338</v>
      </c>
      <c r="J290" s="2">
        <f>+INDEX(Sheet1!H:H, MATCH(Hoja1!G290, Sheet1!I:I, 0))</f>
        <v>9.4194992837423747E-2</v>
      </c>
      <c r="K290" s="2">
        <f>+INDEX(Sheet1!L:L, MATCH(Hoja1!G290,Sheet1!M:M, 0))</f>
        <v>12.6</v>
      </c>
    </row>
    <row r="291" spans="1:11" ht="16" x14ac:dyDescent="0.25">
      <c r="A291" t="s">
        <v>283</v>
      </c>
      <c r="B291">
        <v>2</v>
      </c>
      <c r="C291">
        <v>2021</v>
      </c>
      <c r="D291" t="s">
        <v>285</v>
      </c>
      <c r="E291">
        <v>5.6</v>
      </c>
      <c r="F291">
        <v>21830708</v>
      </c>
      <c r="G291" s="1" t="str">
        <f t="shared" si="4"/>
        <v>Florida2021</v>
      </c>
      <c r="H291">
        <f>+INDEX(Sheet1!C:C, MATCH(Hoja1!G291, Sheet1!D:D, 0))</f>
        <v>1298631.2</v>
      </c>
      <c r="I291">
        <f>+INDEX(Sheet1!G:G, MATCH(Hoja1!G291, Sheet1!I:I, 0))</f>
        <v>115338</v>
      </c>
      <c r="J291" s="2">
        <f>+INDEX(Sheet1!H:H, MATCH(Hoja1!G291, Sheet1!I:I, 0))</f>
        <v>9.4194992837423747E-2</v>
      </c>
      <c r="K291" s="2">
        <f>+INDEX(Sheet1!L:L, MATCH(Hoja1!G291,Sheet1!M:M, 0))</f>
        <v>12.6</v>
      </c>
    </row>
    <row r="292" spans="1:11" ht="16" x14ac:dyDescent="0.25">
      <c r="A292" t="s">
        <v>283</v>
      </c>
      <c r="B292">
        <v>3</v>
      </c>
      <c r="C292">
        <v>2021</v>
      </c>
      <c r="D292" t="s">
        <v>286</v>
      </c>
      <c r="E292">
        <v>5.4</v>
      </c>
      <c r="F292">
        <v>21830708</v>
      </c>
      <c r="G292" s="1" t="str">
        <f t="shared" si="4"/>
        <v>Florida2021</v>
      </c>
      <c r="H292">
        <f>+INDEX(Sheet1!C:C, MATCH(Hoja1!G292, Sheet1!D:D, 0))</f>
        <v>1298631.2</v>
      </c>
      <c r="I292">
        <f>+INDEX(Sheet1!G:G, MATCH(Hoja1!G292, Sheet1!I:I, 0))</f>
        <v>115338</v>
      </c>
      <c r="J292" s="2">
        <f>+INDEX(Sheet1!H:H, MATCH(Hoja1!G292, Sheet1!I:I, 0))</f>
        <v>9.4194992837423747E-2</v>
      </c>
      <c r="K292" s="2">
        <f>+INDEX(Sheet1!L:L, MATCH(Hoja1!G292,Sheet1!M:M, 0))</f>
        <v>12.6</v>
      </c>
    </row>
    <row r="293" spans="1:11" ht="16" x14ac:dyDescent="0.25">
      <c r="A293" t="s">
        <v>283</v>
      </c>
      <c r="B293">
        <v>4</v>
      </c>
      <c r="C293">
        <v>2021</v>
      </c>
      <c r="D293" t="s">
        <v>287</v>
      </c>
      <c r="E293">
        <v>5.2</v>
      </c>
      <c r="F293">
        <v>21830708</v>
      </c>
      <c r="G293" s="1" t="str">
        <f t="shared" si="4"/>
        <v>Florida2021</v>
      </c>
      <c r="H293">
        <f>+INDEX(Sheet1!C:C, MATCH(Hoja1!G293, Sheet1!D:D, 0))</f>
        <v>1298631.2</v>
      </c>
      <c r="I293">
        <f>+INDEX(Sheet1!G:G, MATCH(Hoja1!G293, Sheet1!I:I, 0))</f>
        <v>115338</v>
      </c>
      <c r="J293" s="2">
        <f>+INDEX(Sheet1!H:H, MATCH(Hoja1!G293, Sheet1!I:I, 0))</f>
        <v>9.4194992837423747E-2</v>
      </c>
      <c r="K293" s="2">
        <f>+INDEX(Sheet1!L:L, MATCH(Hoja1!G293,Sheet1!M:M, 0))</f>
        <v>12.6</v>
      </c>
    </row>
    <row r="294" spans="1:11" ht="16" x14ac:dyDescent="0.25">
      <c r="A294" t="s">
        <v>283</v>
      </c>
      <c r="B294">
        <v>5</v>
      </c>
      <c r="C294">
        <v>2021</v>
      </c>
      <c r="D294" t="s">
        <v>288</v>
      </c>
      <c r="E294">
        <v>4.9000000000000004</v>
      </c>
      <c r="F294">
        <v>21830708</v>
      </c>
      <c r="G294" s="1" t="str">
        <f t="shared" si="4"/>
        <v>Florida2021</v>
      </c>
      <c r="H294">
        <f>+INDEX(Sheet1!C:C, MATCH(Hoja1!G294, Sheet1!D:D, 0))</f>
        <v>1298631.2</v>
      </c>
      <c r="I294">
        <f>+INDEX(Sheet1!G:G, MATCH(Hoja1!G294, Sheet1!I:I, 0))</f>
        <v>115338</v>
      </c>
      <c r="J294" s="2">
        <f>+INDEX(Sheet1!H:H, MATCH(Hoja1!G294, Sheet1!I:I, 0))</f>
        <v>9.4194992837423747E-2</v>
      </c>
      <c r="K294" s="2">
        <f>+INDEX(Sheet1!L:L, MATCH(Hoja1!G294,Sheet1!M:M, 0))</f>
        <v>12.6</v>
      </c>
    </row>
    <row r="295" spans="1:11" ht="16" x14ac:dyDescent="0.25">
      <c r="A295" t="s">
        <v>283</v>
      </c>
      <c r="B295">
        <v>6</v>
      </c>
      <c r="C295">
        <v>2021</v>
      </c>
      <c r="D295" t="s">
        <v>289</v>
      </c>
      <c r="E295">
        <v>4.9000000000000004</v>
      </c>
      <c r="F295">
        <v>21830708</v>
      </c>
      <c r="G295" s="1" t="str">
        <f t="shared" si="4"/>
        <v>Florida2021</v>
      </c>
      <c r="H295">
        <f>+INDEX(Sheet1!C:C, MATCH(Hoja1!G295, Sheet1!D:D, 0))</f>
        <v>1298631.2</v>
      </c>
      <c r="I295">
        <f>+INDEX(Sheet1!G:G, MATCH(Hoja1!G295, Sheet1!I:I, 0))</f>
        <v>115338</v>
      </c>
      <c r="J295" s="2">
        <f>+INDEX(Sheet1!H:H, MATCH(Hoja1!G295, Sheet1!I:I, 0))</f>
        <v>9.4194992837423747E-2</v>
      </c>
      <c r="K295" s="2">
        <f>+INDEX(Sheet1!L:L, MATCH(Hoja1!G295,Sheet1!M:M, 0))</f>
        <v>12.6</v>
      </c>
    </row>
    <row r="296" spans="1:11" ht="16" x14ac:dyDescent="0.25">
      <c r="A296" t="s">
        <v>283</v>
      </c>
      <c r="B296">
        <v>7</v>
      </c>
      <c r="C296">
        <v>2021</v>
      </c>
      <c r="D296" t="s">
        <v>290</v>
      </c>
      <c r="E296">
        <v>4.5999999999999996</v>
      </c>
      <c r="F296">
        <v>21830708</v>
      </c>
      <c r="G296" s="1" t="str">
        <f t="shared" si="4"/>
        <v>Florida2021</v>
      </c>
      <c r="H296">
        <f>+INDEX(Sheet1!C:C, MATCH(Hoja1!G296, Sheet1!D:D, 0))</f>
        <v>1298631.2</v>
      </c>
      <c r="I296">
        <f>+INDEX(Sheet1!G:G, MATCH(Hoja1!G296, Sheet1!I:I, 0))</f>
        <v>115338</v>
      </c>
      <c r="J296" s="2">
        <f>+INDEX(Sheet1!H:H, MATCH(Hoja1!G296, Sheet1!I:I, 0))</f>
        <v>9.4194992837423747E-2</v>
      </c>
      <c r="K296" s="2">
        <f>+INDEX(Sheet1!L:L, MATCH(Hoja1!G296,Sheet1!M:M, 0))</f>
        <v>12.6</v>
      </c>
    </row>
    <row r="297" spans="1:11" ht="16" x14ac:dyDescent="0.25">
      <c r="A297" t="s">
        <v>283</v>
      </c>
      <c r="B297">
        <v>8</v>
      </c>
      <c r="C297">
        <v>2021</v>
      </c>
      <c r="D297" t="s">
        <v>291</v>
      </c>
      <c r="E297">
        <v>4.4000000000000004</v>
      </c>
      <c r="F297">
        <v>21830708</v>
      </c>
      <c r="G297" s="1" t="str">
        <f t="shared" si="4"/>
        <v>Florida2021</v>
      </c>
      <c r="H297">
        <f>+INDEX(Sheet1!C:C, MATCH(Hoja1!G297, Sheet1!D:D, 0))</f>
        <v>1298631.2</v>
      </c>
      <c r="I297">
        <f>+INDEX(Sheet1!G:G, MATCH(Hoja1!G297, Sheet1!I:I, 0))</f>
        <v>115338</v>
      </c>
      <c r="J297" s="2">
        <f>+INDEX(Sheet1!H:H, MATCH(Hoja1!G297, Sheet1!I:I, 0))</f>
        <v>9.4194992837423747E-2</v>
      </c>
      <c r="K297" s="2">
        <f>+INDEX(Sheet1!L:L, MATCH(Hoja1!G297,Sheet1!M:M, 0))</f>
        <v>12.6</v>
      </c>
    </row>
    <row r="298" spans="1:11" ht="16" x14ac:dyDescent="0.25">
      <c r="A298" t="s">
        <v>283</v>
      </c>
      <c r="B298">
        <v>9</v>
      </c>
      <c r="C298">
        <v>2021</v>
      </c>
      <c r="D298" t="s">
        <v>292</v>
      </c>
      <c r="E298">
        <v>4.0999999999999996</v>
      </c>
      <c r="F298">
        <v>21830708</v>
      </c>
      <c r="G298" s="1" t="str">
        <f t="shared" si="4"/>
        <v>Florida2021</v>
      </c>
      <c r="H298">
        <f>+INDEX(Sheet1!C:C, MATCH(Hoja1!G298, Sheet1!D:D, 0))</f>
        <v>1298631.2</v>
      </c>
      <c r="I298">
        <f>+INDEX(Sheet1!G:G, MATCH(Hoja1!G298, Sheet1!I:I, 0))</f>
        <v>115338</v>
      </c>
      <c r="J298" s="2">
        <f>+INDEX(Sheet1!H:H, MATCH(Hoja1!G298, Sheet1!I:I, 0))</f>
        <v>9.4194992837423747E-2</v>
      </c>
      <c r="K298" s="2">
        <f>+INDEX(Sheet1!L:L, MATCH(Hoja1!G298,Sheet1!M:M, 0))</f>
        <v>12.6</v>
      </c>
    </row>
    <row r="299" spans="1:11" ht="16" x14ac:dyDescent="0.25">
      <c r="A299" t="s">
        <v>283</v>
      </c>
      <c r="B299">
        <v>10</v>
      </c>
      <c r="C299">
        <v>2021</v>
      </c>
      <c r="D299" t="s">
        <v>127</v>
      </c>
      <c r="E299">
        <v>3.9</v>
      </c>
      <c r="F299">
        <v>21830708</v>
      </c>
      <c r="G299" s="1" t="str">
        <f t="shared" si="4"/>
        <v>Florida2021</v>
      </c>
      <c r="H299">
        <f>+INDEX(Sheet1!C:C, MATCH(Hoja1!G299, Sheet1!D:D, 0))</f>
        <v>1298631.2</v>
      </c>
      <c r="I299">
        <f>+INDEX(Sheet1!G:G, MATCH(Hoja1!G299, Sheet1!I:I, 0))</f>
        <v>115338</v>
      </c>
      <c r="J299" s="2">
        <f>+INDEX(Sheet1!H:H, MATCH(Hoja1!G299, Sheet1!I:I, 0))</f>
        <v>9.4194992837423747E-2</v>
      </c>
      <c r="K299" s="2">
        <f>+INDEX(Sheet1!L:L, MATCH(Hoja1!G299,Sheet1!M:M, 0))</f>
        <v>12.6</v>
      </c>
    </row>
    <row r="300" spans="1:11" ht="16" x14ac:dyDescent="0.25">
      <c r="A300" t="s">
        <v>283</v>
      </c>
      <c r="B300">
        <v>11</v>
      </c>
      <c r="C300">
        <v>2021</v>
      </c>
      <c r="D300" t="s">
        <v>293</v>
      </c>
      <c r="E300">
        <v>3.8</v>
      </c>
      <c r="F300">
        <v>21830708</v>
      </c>
      <c r="G300" s="1" t="str">
        <f t="shared" si="4"/>
        <v>Florida2021</v>
      </c>
      <c r="H300">
        <f>+INDEX(Sheet1!C:C, MATCH(Hoja1!G300, Sheet1!D:D, 0))</f>
        <v>1298631.2</v>
      </c>
      <c r="I300">
        <f>+INDEX(Sheet1!G:G, MATCH(Hoja1!G300, Sheet1!I:I, 0))</f>
        <v>115338</v>
      </c>
      <c r="J300" s="2">
        <f>+INDEX(Sheet1!H:H, MATCH(Hoja1!G300, Sheet1!I:I, 0))</f>
        <v>9.4194992837423747E-2</v>
      </c>
      <c r="K300" s="2">
        <f>+INDEX(Sheet1!L:L, MATCH(Hoja1!G300,Sheet1!M:M, 0))</f>
        <v>12.6</v>
      </c>
    </row>
    <row r="301" spans="1:11" ht="16" x14ac:dyDescent="0.25">
      <c r="A301" t="s">
        <v>283</v>
      </c>
      <c r="B301">
        <v>12</v>
      </c>
      <c r="C301">
        <v>2021</v>
      </c>
      <c r="D301" t="s">
        <v>294</v>
      </c>
      <c r="E301">
        <v>3.6</v>
      </c>
      <c r="F301">
        <v>21830708</v>
      </c>
      <c r="G301" s="1" t="str">
        <f t="shared" si="4"/>
        <v>Florida2021</v>
      </c>
      <c r="H301">
        <f>+INDEX(Sheet1!C:C, MATCH(Hoja1!G301, Sheet1!D:D, 0))</f>
        <v>1298631.2</v>
      </c>
      <c r="I301">
        <f>+INDEX(Sheet1!G:G, MATCH(Hoja1!G301, Sheet1!I:I, 0))</f>
        <v>115338</v>
      </c>
      <c r="J301" s="2">
        <f>+INDEX(Sheet1!H:H, MATCH(Hoja1!G301, Sheet1!I:I, 0))</f>
        <v>9.4194992837423747E-2</v>
      </c>
      <c r="K301" s="2">
        <f>+INDEX(Sheet1!L:L, MATCH(Hoja1!G301,Sheet1!M:M, 0))</f>
        <v>12.6</v>
      </c>
    </row>
    <row r="302" spans="1:11" ht="16" x14ac:dyDescent="0.25">
      <c r="A302" t="s">
        <v>283</v>
      </c>
      <c r="B302">
        <v>1</v>
      </c>
      <c r="C302">
        <v>2022</v>
      </c>
      <c r="D302" t="s">
        <v>295</v>
      </c>
      <c r="E302">
        <v>3.5</v>
      </c>
      <c r="F302">
        <v>22245521</v>
      </c>
      <c r="G302" s="1" t="str">
        <f t="shared" si="4"/>
        <v>Florida2022</v>
      </c>
      <c r="H302">
        <f>+INDEX(Sheet1!C:C, MATCH(Hoja1!G302, Sheet1!D:D, 0))</f>
        <v>1465281.1</v>
      </c>
      <c r="I302">
        <f>+INDEX(Sheet1!G:G, MATCH(Hoja1!G302, Sheet1!I:I, 0))</f>
        <v>122172</v>
      </c>
      <c r="J302" s="2">
        <f>+INDEX(Sheet1!H:H, MATCH(Hoja1!G302, Sheet1!I:I, 0))</f>
        <v>5.9251937782864278E-2</v>
      </c>
      <c r="K302" s="2">
        <f>+INDEX(Sheet1!L:L, MATCH(Hoja1!G302,Sheet1!M:M, 0))</f>
        <v>13.5</v>
      </c>
    </row>
    <row r="303" spans="1:11" ht="16" x14ac:dyDescent="0.25">
      <c r="A303" t="s">
        <v>283</v>
      </c>
      <c r="B303">
        <v>2</v>
      </c>
      <c r="C303">
        <v>2022</v>
      </c>
      <c r="D303" t="s">
        <v>296</v>
      </c>
      <c r="E303">
        <v>3.3</v>
      </c>
      <c r="F303">
        <v>22245521</v>
      </c>
      <c r="G303" s="1" t="str">
        <f t="shared" si="4"/>
        <v>Florida2022</v>
      </c>
      <c r="H303">
        <f>+INDEX(Sheet1!C:C, MATCH(Hoja1!G303, Sheet1!D:D, 0))</f>
        <v>1465281.1</v>
      </c>
      <c r="I303">
        <f>+INDEX(Sheet1!G:G, MATCH(Hoja1!G303, Sheet1!I:I, 0))</f>
        <v>122172</v>
      </c>
      <c r="J303" s="2">
        <f>+INDEX(Sheet1!H:H, MATCH(Hoja1!G303, Sheet1!I:I, 0))</f>
        <v>5.9251937782864278E-2</v>
      </c>
      <c r="K303" s="2">
        <f>+INDEX(Sheet1!L:L, MATCH(Hoja1!G303,Sheet1!M:M, 0))</f>
        <v>13.5</v>
      </c>
    </row>
    <row r="304" spans="1:11" ht="16" x14ac:dyDescent="0.25">
      <c r="A304" t="s">
        <v>283</v>
      </c>
      <c r="B304">
        <v>3</v>
      </c>
      <c r="C304">
        <v>2022</v>
      </c>
      <c r="D304" t="s">
        <v>297</v>
      </c>
      <c r="E304">
        <v>3.2</v>
      </c>
      <c r="F304">
        <v>22245521</v>
      </c>
      <c r="G304" s="1" t="str">
        <f t="shared" si="4"/>
        <v>Florida2022</v>
      </c>
      <c r="H304">
        <f>+INDEX(Sheet1!C:C, MATCH(Hoja1!G304, Sheet1!D:D, 0))</f>
        <v>1465281.1</v>
      </c>
      <c r="I304">
        <f>+INDEX(Sheet1!G:G, MATCH(Hoja1!G304, Sheet1!I:I, 0))</f>
        <v>122172</v>
      </c>
      <c r="J304" s="2">
        <f>+INDEX(Sheet1!H:H, MATCH(Hoja1!G304, Sheet1!I:I, 0))</f>
        <v>5.9251937782864278E-2</v>
      </c>
      <c r="K304" s="2">
        <f>+INDEX(Sheet1!L:L, MATCH(Hoja1!G304,Sheet1!M:M, 0))</f>
        <v>13.5</v>
      </c>
    </row>
    <row r="305" spans="1:11" ht="16" x14ac:dyDescent="0.25">
      <c r="A305" t="s">
        <v>283</v>
      </c>
      <c r="B305">
        <v>4</v>
      </c>
      <c r="C305">
        <v>2022</v>
      </c>
      <c r="D305" t="s">
        <v>298</v>
      </c>
      <c r="E305">
        <v>3.1</v>
      </c>
      <c r="F305">
        <v>22245521</v>
      </c>
      <c r="G305" s="1" t="str">
        <f t="shared" si="4"/>
        <v>Florida2022</v>
      </c>
      <c r="H305">
        <f>+INDEX(Sheet1!C:C, MATCH(Hoja1!G305, Sheet1!D:D, 0))</f>
        <v>1465281.1</v>
      </c>
      <c r="I305">
        <f>+INDEX(Sheet1!G:G, MATCH(Hoja1!G305, Sheet1!I:I, 0))</f>
        <v>122172</v>
      </c>
      <c r="J305" s="2">
        <f>+INDEX(Sheet1!H:H, MATCH(Hoja1!G305, Sheet1!I:I, 0))</f>
        <v>5.9251937782864278E-2</v>
      </c>
      <c r="K305" s="2">
        <f>+INDEX(Sheet1!L:L, MATCH(Hoja1!G305,Sheet1!M:M, 0))</f>
        <v>13.5</v>
      </c>
    </row>
    <row r="306" spans="1:11" ht="16" x14ac:dyDescent="0.25">
      <c r="A306" t="s">
        <v>283</v>
      </c>
      <c r="B306">
        <v>5</v>
      </c>
      <c r="C306">
        <v>2022</v>
      </c>
      <c r="D306" t="s">
        <v>299</v>
      </c>
      <c r="E306">
        <v>3</v>
      </c>
      <c r="F306">
        <v>22245521</v>
      </c>
      <c r="G306" s="1" t="str">
        <f t="shared" si="4"/>
        <v>Florida2022</v>
      </c>
      <c r="H306">
        <f>+INDEX(Sheet1!C:C, MATCH(Hoja1!G306, Sheet1!D:D, 0))</f>
        <v>1465281.1</v>
      </c>
      <c r="I306">
        <f>+INDEX(Sheet1!G:G, MATCH(Hoja1!G306, Sheet1!I:I, 0))</f>
        <v>122172</v>
      </c>
      <c r="J306" s="2">
        <f>+INDEX(Sheet1!H:H, MATCH(Hoja1!G306, Sheet1!I:I, 0))</f>
        <v>5.9251937782864278E-2</v>
      </c>
      <c r="K306" s="2">
        <f>+INDEX(Sheet1!L:L, MATCH(Hoja1!G306,Sheet1!M:M, 0))</f>
        <v>13.5</v>
      </c>
    </row>
    <row r="307" spans="1:11" ht="16" x14ac:dyDescent="0.25">
      <c r="A307" t="s">
        <v>283</v>
      </c>
      <c r="B307">
        <v>6</v>
      </c>
      <c r="C307">
        <v>2022</v>
      </c>
      <c r="D307" t="s">
        <v>300</v>
      </c>
      <c r="E307">
        <v>2.9</v>
      </c>
      <c r="F307">
        <v>22245521</v>
      </c>
      <c r="G307" s="1" t="str">
        <f t="shared" si="4"/>
        <v>Florida2022</v>
      </c>
      <c r="H307">
        <f>+INDEX(Sheet1!C:C, MATCH(Hoja1!G307, Sheet1!D:D, 0))</f>
        <v>1465281.1</v>
      </c>
      <c r="I307">
        <f>+INDEX(Sheet1!G:G, MATCH(Hoja1!G307, Sheet1!I:I, 0))</f>
        <v>122172</v>
      </c>
      <c r="J307" s="2">
        <f>+INDEX(Sheet1!H:H, MATCH(Hoja1!G307, Sheet1!I:I, 0))</f>
        <v>5.9251937782864278E-2</v>
      </c>
      <c r="K307" s="2">
        <f>+INDEX(Sheet1!L:L, MATCH(Hoja1!G307,Sheet1!M:M, 0))</f>
        <v>13.5</v>
      </c>
    </row>
    <row r="308" spans="1:11" ht="16" x14ac:dyDescent="0.25">
      <c r="A308" t="s">
        <v>283</v>
      </c>
      <c r="B308">
        <v>7</v>
      </c>
      <c r="C308">
        <v>2022</v>
      </c>
      <c r="D308" t="s">
        <v>187</v>
      </c>
      <c r="E308">
        <v>2.8</v>
      </c>
      <c r="F308">
        <v>22245521</v>
      </c>
      <c r="G308" s="1" t="str">
        <f t="shared" si="4"/>
        <v>Florida2022</v>
      </c>
      <c r="H308">
        <f>+INDEX(Sheet1!C:C, MATCH(Hoja1!G308, Sheet1!D:D, 0))</f>
        <v>1465281.1</v>
      </c>
      <c r="I308">
        <f>+INDEX(Sheet1!G:G, MATCH(Hoja1!G308, Sheet1!I:I, 0))</f>
        <v>122172</v>
      </c>
      <c r="J308" s="2">
        <f>+INDEX(Sheet1!H:H, MATCH(Hoja1!G308, Sheet1!I:I, 0))</f>
        <v>5.9251937782864278E-2</v>
      </c>
      <c r="K308" s="2">
        <f>+INDEX(Sheet1!L:L, MATCH(Hoja1!G308,Sheet1!M:M, 0))</f>
        <v>13.5</v>
      </c>
    </row>
    <row r="309" spans="1:11" ht="16" x14ac:dyDescent="0.25">
      <c r="A309" t="s">
        <v>283</v>
      </c>
      <c r="B309">
        <v>8</v>
      </c>
      <c r="C309">
        <v>2022</v>
      </c>
      <c r="D309" t="s">
        <v>301</v>
      </c>
      <c r="E309">
        <v>2.8</v>
      </c>
      <c r="F309">
        <v>22245521</v>
      </c>
      <c r="G309" s="1" t="str">
        <f t="shared" si="4"/>
        <v>Florida2022</v>
      </c>
      <c r="H309">
        <f>+INDEX(Sheet1!C:C, MATCH(Hoja1!G309, Sheet1!D:D, 0))</f>
        <v>1465281.1</v>
      </c>
      <c r="I309">
        <f>+INDEX(Sheet1!G:G, MATCH(Hoja1!G309, Sheet1!I:I, 0))</f>
        <v>122172</v>
      </c>
      <c r="J309" s="2">
        <f>+INDEX(Sheet1!H:H, MATCH(Hoja1!G309, Sheet1!I:I, 0))</f>
        <v>5.9251937782864278E-2</v>
      </c>
      <c r="K309" s="2">
        <f>+INDEX(Sheet1!L:L, MATCH(Hoja1!G309,Sheet1!M:M, 0))</f>
        <v>13.5</v>
      </c>
    </row>
    <row r="310" spans="1:11" ht="16" x14ac:dyDescent="0.25">
      <c r="A310" t="s">
        <v>283</v>
      </c>
      <c r="B310">
        <v>9</v>
      </c>
      <c r="C310">
        <v>2022</v>
      </c>
      <c r="D310" t="s">
        <v>302</v>
      </c>
      <c r="E310">
        <v>2.8</v>
      </c>
      <c r="F310">
        <v>22245521</v>
      </c>
      <c r="G310" s="1" t="str">
        <f t="shared" si="4"/>
        <v>Florida2022</v>
      </c>
      <c r="H310">
        <f>+INDEX(Sheet1!C:C, MATCH(Hoja1!G310, Sheet1!D:D, 0))</f>
        <v>1465281.1</v>
      </c>
      <c r="I310">
        <f>+INDEX(Sheet1!G:G, MATCH(Hoja1!G310, Sheet1!I:I, 0))</f>
        <v>122172</v>
      </c>
      <c r="J310" s="2">
        <f>+INDEX(Sheet1!H:H, MATCH(Hoja1!G310, Sheet1!I:I, 0))</f>
        <v>5.9251937782864278E-2</v>
      </c>
      <c r="K310" s="2">
        <f>+INDEX(Sheet1!L:L, MATCH(Hoja1!G310,Sheet1!M:M, 0))</f>
        <v>13.5</v>
      </c>
    </row>
    <row r="311" spans="1:11" ht="16" x14ac:dyDescent="0.25">
      <c r="A311" t="s">
        <v>283</v>
      </c>
      <c r="B311">
        <v>10</v>
      </c>
      <c r="C311">
        <v>2022</v>
      </c>
      <c r="D311" t="s">
        <v>303</v>
      </c>
      <c r="E311">
        <v>2.9</v>
      </c>
      <c r="F311">
        <v>22245521</v>
      </c>
      <c r="G311" s="1" t="str">
        <f t="shared" si="4"/>
        <v>Florida2022</v>
      </c>
      <c r="H311">
        <f>+INDEX(Sheet1!C:C, MATCH(Hoja1!G311, Sheet1!D:D, 0))</f>
        <v>1465281.1</v>
      </c>
      <c r="I311">
        <f>+INDEX(Sheet1!G:G, MATCH(Hoja1!G311, Sheet1!I:I, 0))</f>
        <v>122172</v>
      </c>
      <c r="J311" s="2">
        <f>+INDEX(Sheet1!H:H, MATCH(Hoja1!G311, Sheet1!I:I, 0))</f>
        <v>5.9251937782864278E-2</v>
      </c>
      <c r="K311" s="2">
        <f>+INDEX(Sheet1!L:L, MATCH(Hoja1!G311,Sheet1!M:M, 0))</f>
        <v>13.5</v>
      </c>
    </row>
    <row r="312" spans="1:11" ht="16" x14ac:dyDescent="0.25">
      <c r="A312" t="s">
        <v>283</v>
      </c>
      <c r="B312">
        <v>11</v>
      </c>
      <c r="C312">
        <v>2022</v>
      </c>
      <c r="D312" t="s">
        <v>304</v>
      </c>
      <c r="E312">
        <v>2.8</v>
      </c>
      <c r="F312">
        <v>22245521</v>
      </c>
      <c r="G312" s="1" t="str">
        <f t="shared" si="4"/>
        <v>Florida2022</v>
      </c>
      <c r="H312">
        <f>+INDEX(Sheet1!C:C, MATCH(Hoja1!G312, Sheet1!D:D, 0))</f>
        <v>1465281.1</v>
      </c>
      <c r="I312">
        <f>+INDEX(Sheet1!G:G, MATCH(Hoja1!G312, Sheet1!I:I, 0))</f>
        <v>122172</v>
      </c>
      <c r="J312" s="2">
        <f>+INDEX(Sheet1!H:H, MATCH(Hoja1!G312, Sheet1!I:I, 0))</f>
        <v>5.9251937782864278E-2</v>
      </c>
      <c r="K312" s="2">
        <f>+INDEX(Sheet1!L:L, MATCH(Hoja1!G312,Sheet1!M:M, 0))</f>
        <v>13.5</v>
      </c>
    </row>
    <row r="313" spans="1:11" ht="16" x14ac:dyDescent="0.25">
      <c r="A313" t="s">
        <v>283</v>
      </c>
      <c r="B313">
        <v>12</v>
      </c>
      <c r="C313">
        <v>2022</v>
      </c>
      <c r="D313" t="s">
        <v>305</v>
      </c>
      <c r="E313">
        <v>2.8</v>
      </c>
      <c r="F313">
        <v>22245521</v>
      </c>
      <c r="G313" s="1" t="str">
        <f t="shared" si="4"/>
        <v>Florida2022</v>
      </c>
      <c r="H313">
        <f>+INDEX(Sheet1!C:C, MATCH(Hoja1!G313, Sheet1!D:D, 0))</f>
        <v>1465281.1</v>
      </c>
      <c r="I313">
        <f>+INDEX(Sheet1!G:G, MATCH(Hoja1!G313, Sheet1!I:I, 0))</f>
        <v>122172</v>
      </c>
      <c r="J313" s="2">
        <f>+INDEX(Sheet1!H:H, MATCH(Hoja1!G313, Sheet1!I:I, 0))</f>
        <v>5.9251937782864278E-2</v>
      </c>
      <c r="K313" s="2">
        <f>+INDEX(Sheet1!L:L, MATCH(Hoja1!G313,Sheet1!M:M, 0))</f>
        <v>13.5</v>
      </c>
    </row>
    <row r="314" spans="1:11" ht="16" x14ac:dyDescent="0.25">
      <c r="A314" t="s">
        <v>283</v>
      </c>
      <c r="B314">
        <v>1</v>
      </c>
      <c r="C314">
        <v>2023</v>
      </c>
      <c r="D314" t="s">
        <v>192</v>
      </c>
      <c r="E314">
        <v>2.8</v>
      </c>
      <c r="F314">
        <v>22610726</v>
      </c>
      <c r="G314" s="1" t="str">
        <f t="shared" si="4"/>
        <v>Florida2023</v>
      </c>
      <c r="H314">
        <f>+INDEX(Sheet1!C:C, MATCH(Hoja1!G314, Sheet1!D:D, 0))</f>
        <v>1600810.6</v>
      </c>
      <c r="I314">
        <f>+INDEX(Sheet1!G:G, MATCH(Hoja1!G314, Sheet1!I:I, 0))</f>
        <v>127385</v>
      </c>
      <c r="J314" s="2">
        <f>+INDEX(Sheet1!H:H, MATCH(Hoja1!G314, Sheet1!I:I, 0))</f>
        <v>4.2669351406214188E-2</v>
      </c>
      <c r="K314" s="2">
        <f>+INDEX(Sheet1!L:L, MATCH(Hoja1!G314,Sheet1!M:M, 0))</f>
        <v>11.6</v>
      </c>
    </row>
    <row r="315" spans="1:11" ht="16" x14ac:dyDescent="0.25">
      <c r="A315" t="s">
        <v>283</v>
      </c>
      <c r="B315">
        <v>2</v>
      </c>
      <c r="C315">
        <v>2023</v>
      </c>
      <c r="D315" t="s">
        <v>306</v>
      </c>
      <c r="E315">
        <v>2.8</v>
      </c>
      <c r="F315">
        <v>22610726</v>
      </c>
      <c r="G315" s="1" t="str">
        <f t="shared" si="4"/>
        <v>Florida2023</v>
      </c>
      <c r="H315">
        <f>+INDEX(Sheet1!C:C, MATCH(Hoja1!G315, Sheet1!D:D, 0))</f>
        <v>1600810.6</v>
      </c>
      <c r="I315">
        <f>+INDEX(Sheet1!G:G, MATCH(Hoja1!G315, Sheet1!I:I, 0))</f>
        <v>127385</v>
      </c>
      <c r="J315" s="2">
        <f>+INDEX(Sheet1!H:H, MATCH(Hoja1!G315, Sheet1!I:I, 0))</f>
        <v>4.2669351406214188E-2</v>
      </c>
      <c r="K315" s="2">
        <f>+INDEX(Sheet1!L:L, MATCH(Hoja1!G315,Sheet1!M:M, 0))</f>
        <v>11.6</v>
      </c>
    </row>
    <row r="316" spans="1:11" ht="16" x14ac:dyDescent="0.25">
      <c r="A316" t="s">
        <v>283</v>
      </c>
      <c r="B316">
        <v>3</v>
      </c>
      <c r="C316">
        <v>2023</v>
      </c>
      <c r="D316" t="s">
        <v>307</v>
      </c>
      <c r="E316">
        <v>2.8</v>
      </c>
      <c r="F316">
        <v>22610726</v>
      </c>
      <c r="G316" s="1" t="str">
        <f t="shared" si="4"/>
        <v>Florida2023</v>
      </c>
      <c r="H316">
        <f>+INDEX(Sheet1!C:C, MATCH(Hoja1!G316, Sheet1!D:D, 0))</f>
        <v>1600810.6</v>
      </c>
      <c r="I316">
        <f>+INDEX(Sheet1!G:G, MATCH(Hoja1!G316, Sheet1!I:I, 0))</f>
        <v>127385</v>
      </c>
      <c r="J316" s="2">
        <f>+INDEX(Sheet1!H:H, MATCH(Hoja1!G316, Sheet1!I:I, 0))</f>
        <v>4.2669351406214188E-2</v>
      </c>
      <c r="K316" s="2">
        <f>+INDEX(Sheet1!L:L, MATCH(Hoja1!G316,Sheet1!M:M, 0))</f>
        <v>11.6</v>
      </c>
    </row>
    <row r="317" spans="1:11" ht="16" x14ac:dyDescent="0.25">
      <c r="A317" t="s">
        <v>283</v>
      </c>
      <c r="B317">
        <v>4</v>
      </c>
      <c r="C317">
        <v>2023</v>
      </c>
      <c r="D317" t="s">
        <v>308</v>
      </c>
      <c r="E317">
        <v>2.7</v>
      </c>
      <c r="F317">
        <v>22610726</v>
      </c>
      <c r="G317" s="1" t="str">
        <f t="shared" si="4"/>
        <v>Florida2023</v>
      </c>
      <c r="H317">
        <f>+INDEX(Sheet1!C:C, MATCH(Hoja1!G317, Sheet1!D:D, 0))</f>
        <v>1600810.6</v>
      </c>
      <c r="I317">
        <f>+INDEX(Sheet1!G:G, MATCH(Hoja1!G317, Sheet1!I:I, 0))</f>
        <v>127385</v>
      </c>
      <c r="J317" s="2">
        <f>+INDEX(Sheet1!H:H, MATCH(Hoja1!G317, Sheet1!I:I, 0))</f>
        <v>4.2669351406214188E-2</v>
      </c>
      <c r="K317" s="2">
        <f>+INDEX(Sheet1!L:L, MATCH(Hoja1!G317,Sheet1!M:M, 0))</f>
        <v>11.6</v>
      </c>
    </row>
    <row r="318" spans="1:11" ht="16" x14ac:dyDescent="0.25">
      <c r="A318" t="s">
        <v>283</v>
      </c>
      <c r="B318">
        <v>5</v>
      </c>
      <c r="C318">
        <v>2023</v>
      </c>
      <c r="D318" t="s">
        <v>309</v>
      </c>
      <c r="E318">
        <v>2.8</v>
      </c>
      <c r="F318">
        <v>22610726</v>
      </c>
      <c r="G318" s="1" t="str">
        <f t="shared" si="4"/>
        <v>Florida2023</v>
      </c>
      <c r="H318">
        <f>+INDEX(Sheet1!C:C, MATCH(Hoja1!G318, Sheet1!D:D, 0))</f>
        <v>1600810.6</v>
      </c>
      <c r="I318">
        <f>+INDEX(Sheet1!G:G, MATCH(Hoja1!G318, Sheet1!I:I, 0))</f>
        <v>127385</v>
      </c>
      <c r="J318" s="2">
        <f>+INDEX(Sheet1!H:H, MATCH(Hoja1!G318, Sheet1!I:I, 0))</f>
        <v>4.2669351406214188E-2</v>
      </c>
      <c r="K318" s="2">
        <f>+INDEX(Sheet1!L:L, MATCH(Hoja1!G318,Sheet1!M:M, 0))</f>
        <v>11.6</v>
      </c>
    </row>
    <row r="319" spans="1:11" ht="16" x14ac:dyDescent="0.25">
      <c r="A319" t="s">
        <v>283</v>
      </c>
      <c r="B319">
        <v>6</v>
      </c>
      <c r="C319">
        <v>2023</v>
      </c>
      <c r="D319" t="s">
        <v>310</v>
      </c>
      <c r="E319">
        <v>2.8</v>
      </c>
      <c r="F319">
        <v>22610726</v>
      </c>
      <c r="G319" s="1" t="str">
        <f t="shared" si="4"/>
        <v>Florida2023</v>
      </c>
      <c r="H319">
        <f>+INDEX(Sheet1!C:C, MATCH(Hoja1!G319, Sheet1!D:D, 0))</f>
        <v>1600810.6</v>
      </c>
      <c r="I319">
        <f>+INDEX(Sheet1!G:G, MATCH(Hoja1!G319, Sheet1!I:I, 0))</f>
        <v>127385</v>
      </c>
      <c r="J319" s="2">
        <f>+INDEX(Sheet1!H:H, MATCH(Hoja1!G319, Sheet1!I:I, 0))</f>
        <v>4.2669351406214188E-2</v>
      </c>
      <c r="K319" s="2">
        <f>+INDEX(Sheet1!L:L, MATCH(Hoja1!G319,Sheet1!M:M, 0))</f>
        <v>11.6</v>
      </c>
    </row>
    <row r="320" spans="1:11" ht="16" x14ac:dyDescent="0.25">
      <c r="A320" t="s">
        <v>283</v>
      </c>
      <c r="B320">
        <v>7</v>
      </c>
      <c r="C320">
        <v>2023</v>
      </c>
      <c r="D320" t="s">
        <v>311</v>
      </c>
      <c r="E320">
        <v>2.9</v>
      </c>
      <c r="F320">
        <v>22610726</v>
      </c>
      <c r="G320" s="1" t="str">
        <f t="shared" si="4"/>
        <v>Florida2023</v>
      </c>
      <c r="H320">
        <f>+INDEX(Sheet1!C:C, MATCH(Hoja1!G320, Sheet1!D:D, 0))</f>
        <v>1600810.6</v>
      </c>
      <c r="I320">
        <f>+INDEX(Sheet1!G:G, MATCH(Hoja1!G320, Sheet1!I:I, 0))</f>
        <v>127385</v>
      </c>
      <c r="J320" s="2">
        <f>+INDEX(Sheet1!H:H, MATCH(Hoja1!G320, Sheet1!I:I, 0))</f>
        <v>4.2669351406214188E-2</v>
      </c>
      <c r="K320" s="2">
        <f>+INDEX(Sheet1!L:L, MATCH(Hoja1!G320,Sheet1!M:M, 0))</f>
        <v>11.6</v>
      </c>
    </row>
    <row r="321" spans="1:11" ht="16" x14ac:dyDescent="0.25">
      <c r="A321" t="s">
        <v>283</v>
      </c>
      <c r="B321">
        <v>8</v>
      </c>
      <c r="C321">
        <v>2023</v>
      </c>
      <c r="D321" t="s">
        <v>312</v>
      </c>
      <c r="E321">
        <v>3</v>
      </c>
      <c r="F321">
        <v>22610726</v>
      </c>
      <c r="G321" s="1" t="str">
        <f t="shared" si="4"/>
        <v>Florida2023</v>
      </c>
      <c r="H321">
        <f>+INDEX(Sheet1!C:C, MATCH(Hoja1!G321, Sheet1!D:D, 0))</f>
        <v>1600810.6</v>
      </c>
      <c r="I321">
        <f>+INDEX(Sheet1!G:G, MATCH(Hoja1!G321, Sheet1!I:I, 0))</f>
        <v>127385</v>
      </c>
      <c r="J321" s="2">
        <f>+INDEX(Sheet1!H:H, MATCH(Hoja1!G321, Sheet1!I:I, 0))</f>
        <v>4.2669351406214188E-2</v>
      </c>
      <c r="K321" s="2">
        <f>+INDEX(Sheet1!L:L, MATCH(Hoja1!G321,Sheet1!M:M, 0))</f>
        <v>11.6</v>
      </c>
    </row>
    <row r="322" spans="1:11" ht="16" x14ac:dyDescent="0.25">
      <c r="A322" t="s">
        <v>283</v>
      </c>
      <c r="B322">
        <v>9</v>
      </c>
      <c r="C322">
        <v>2023</v>
      </c>
      <c r="D322" t="s">
        <v>313</v>
      </c>
      <c r="E322">
        <v>3</v>
      </c>
      <c r="F322">
        <v>22610726</v>
      </c>
      <c r="G322" s="1" t="str">
        <f t="shared" si="4"/>
        <v>Florida2023</v>
      </c>
      <c r="H322">
        <f>+INDEX(Sheet1!C:C, MATCH(Hoja1!G322, Sheet1!D:D, 0))</f>
        <v>1600810.6</v>
      </c>
      <c r="I322">
        <f>+INDEX(Sheet1!G:G, MATCH(Hoja1!G322, Sheet1!I:I, 0))</f>
        <v>127385</v>
      </c>
      <c r="J322" s="2">
        <f>+INDEX(Sheet1!H:H, MATCH(Hoja1!G322, Sheet1!I:I, 0))</f>
        <v>4.2669351406214188E-2</v>
      </c>
      <c r="K322" s="2">
        <f>+INDEX(Sheet1!L:L, MATCH(Hoja1!G322,Sheet1!M:M, 0))</f>
        <v>11.6</v>
      </c>
    </row>
    <row r="323" spans="1:11" ht="16" x14ac:dyDescent="0.25">
      <c r="A323" t="s">
        <v>283</v>
      </c>
      <c r="B323">
        <v>10</v>
      </c>
      <c r="C323">
        <v>2023</v>
      </c>
      <c r="D323" t="s">
        <v>314</v>
      </c>
      <c r="E323">
        <v>3.1</v>
      </c>
      <c r="F323">
        <v>22610726</v>
      </c>
      <c r="G323" s="1" t="str">
        <f t="shared" ref="G323:G386" si="5">+A323&amp;C323</f>
        <v>Florida2023</v>
      </c>
      <c r="H323">
        <f>+INDEX(Sheet1!C:C, MATCH(Hoja1!G323, Sheet1!D:D, 0))</f>
        <v>1600810.6</v>
      </c>
      <c r="I323">
        <f>+INDEX(Sheet1!G:G, MATCH(Hoja1!G323, Sheet1!I:I, 0))</f>
        <v>127385</v>
      </c>
      <c r="J323" s="2">
        <f>+INDEX(Sheet1!H:H, MATCH(Hoja1!G323, Sheet1!I:I, 0))</f>
        <v>4.2669351406214188E-2</v>
      </c>
      <c r="K323" s="2">
        <f>+INDEX(Sheet1!L:L, MATCH(Hoja1!G323,Sheet1!M:M, 0))</f>
        <v>11.6</v>
      </c>
    </row>
    <row r="324" spans="1:11" ht="16" x14ac:dyDescent="0.25">
      <c r="A324" t="s">
        <v>283</v>
      </c>
      <c r="B324">
        <v>11</v>
      </c>
      <c r="C324">
        <v>2023</v>
      </c>
      <c r="D324" t="s">
        <v>315</v>
      </c>
      <c r="E324">
        <v>3.1</v>
      </c>
      <c r="F324">
        <v>22610726</v>
      </c>
      <c r="G324" s="1" t="str">
        <f t="shared" si="5"/>
        <v>Florida2023</v>
      </c>
      <c r="H324">
        <f>+INDEX(Sheet1!C:C, MATCH(Hoja1!G324, Sheet1!D:D, 0))</f>
        <v>1600810.6</v>
      </c>
      <c r="I324">
        <f>+INDEX(Sheet1!G:G, MATCH(Hoja1!G324, Sheet1!I:I, 0))</f>
        <v>127385</v>
      </c>
      <c r="J324" s="2">
        <f>+INDEX(Sheet1!H:H, MATCH(Hoja1!G324, Sheet1!I:I, 0))</f>
        <v>4.2669351406214188E-2</v>
      </c>
      <c r="K324" s="2">
        <f>+INDEX(Sheet1!L:L, MATCH(Hoja1!G324,Sheet1!M:M, 0))</f>
        <v>11.6</v>
      </c>
    </row>
    <row r="325" spans="1:11" ht="16" x14ac:dyDescent="0.25">
      <c r="A325" t="s">
        <v>283</v>
      </c>
      <c r="B325">
        <v>12</v>
      </c>
      <c r="C325">
        <v>2023</v>
      </c>
      <c r="D325" t="s">
        <v>316</v>
      </c>
      <c r="E325">
        <v>3.1</v>
      </c>
      <c r="F325">
        <v>22610726</v>
      </c>
      <c r="G325" s="1" t="str">
        <f t="shared" si="5"/>
        <v>Florida2023</v>
      </c>
      <c r="H325">
        <f>+INDEX(Sheet1!C:C, MATCH(Hoja1!G325, Sheet1!D:D, 0))</f>
        <v>1600810.6</v>
      </c>
      <c r="I325">
        <f>+INDEX(Sheet1!G:G, MATCH(Hoja1!G325, Sheet1!I:I, 0))</f>
        <v>127385</v>
      </c>
      <c r="J325" s="2">
        <f>+INDEX(Sheet1!H:H, MATCH(Hoja1!G325, Sheet1!I:I, 0))</f>
        <v>4.2669351406214188E-2</v>
      </c>
      <c r="K325" s="2">
        <f>+INDEX(Sheet1!L:L, MATCH(Hoja1!G325,Sheet1!M:M, 0))</f>
        <v>11.6</v>
      </c>
    </row>
    <row r="326" spans="1:11" ht="16" x14ac:dyDescent="0.25">
      <c r="A326" t="s">
        <v>317</v>
      </c>
      <c r="B326">
        <v>1</v>
      </c>
      <c r="C326">
        <v>2021</v>
      </c>
      <c r="D326" t="s">
        <v>318</v>
      </c>
      <c r="E326">
        <v>4.8</v>
      </c>
      <c r="F326">
        <v>10790385</v>
      </c>
      <c r="G326" s="1" t="str">
        <f t="shared" si="5"/>
        <v>Georgia2021</v>
      </c>
      <c r="H326">
        <f>+INDEX(Sheet1!C:C, MATCH(Hoja1!G326, Sheet1!D:D, 0))</f>
        <v>705546.7</v>
      </c>
      <c r="I326">
        <f>+INDEX(Sheet1!G:G, MATCH(Hoja1!G326, Sheet1!I:I, 0))</f>
        <v>110191</v>
      </c>
      <c r="J326" s="2">
        <f>+INDEX(Sheet1!H:H, MATCH(Hoja1!G326, Sheet1!I:I, 0))</f>
        <v>6.3281001225478375E-2</v>
      </c>
      <c r="K326" s="2">
        <f>+INDEX(Sheet1!L:L, MATCH(Hoja1!G326,Sheet1!M:M, 0))</f>
        <v>14</v>
      </c>
    </row>
    <row r="327" spans="1:11" ht="16" x14ac:dyDescent="0.25">
      <c r="A327" t="s">
        <v>317</v>
      </c>
      <c r="B327">
        <v>2</v>
      </c>
      <c r="C327">
        <v>2021</v>
      </c>
      <c r="D327" t="s">
        <v>319</v>
      </c>
      <c r="E327">
        <v>4.5999999999999996</v>
      </c>
      <c r="F327">
        <v>10790385</v>
      </c>
      <c r="G327" s="1" t="str">
        <f t="shared" si="5"/>
        <v>Georgia2021</v>
      </c>
      <c r="H327">
        <f>+INDEX(Sheet1!C:C, MATCH(Hoja1!G327, Sheet1!D:D, 0))</f>
        <v>705546.7</v>
      </c>
      <c r="I327">
        <f>+INDEX(Sheet1!G:G, MATCH(Hoja1!G327, Sheet1!I:I, 0))</f>
        <v>110191</v>
      </c>
      <c r="J327" s="2">
        <f>+INDEX(Sheet1!H:H, MATCH(Hoja1!G327, Sheet1!I:I, 0))</f>
        <v>6.3281001225478375E-2</v>
      </c>
      <c r="K327" s="2">
        <f>+INDEX(Sheet1!L:L, MATCH(Hoja1!G327,Sheet1!M:M, 0))</f>
        <v>14</v>
      </c>
    </row>
    <row r="328" spans="1:11" ht="16" x14ac:dyDescent="0.25">
      <c r="A328" t="s">
        <v>317</v>
      </c>
      <c r="B328">
        <v>3</v>
      </c>
      <c r="C328">
        <v>2021</v>
      </c>
      <c r="D328" t="s">
        <v>320</v>
      </c>
      <c r="E328">
        <v>4.4000000000000004</v>
      </c>
      <c r="F328">
        <v>10790385</v>
      </c>
      <c r="G328" s="1" t="str">
        <f t="shared" si="5"/>
        <v>Georgia2021</v>
      </c>
      <c r="H328">
        <f>+INDEX(Sheet1!C:C, MATCH(Hoja1!G328, Sheet1!D:D, 0))</f>
        <v>705546.7</v>
      </c>
      <c r="I328">
        <f>+INDEX(Sheet1!G:G, MATCH(Hoja1!G328, Sheet1!I:I, 0))</f>
        <v>110191</v>
      </c>
      <c r="J328" s="2">
        <f>+INDEX(Sheet1!H:H, MATCH(Hoja1!G328, Sheet1!I:I, 0))</f>
        <v>6.3281001225478375E-2</v>
      </c>
      <c r="K328" s="2">
        <f>+INDEX(Sheet1!L:L, MATCH(Hoja1!G328,Sheet1!M:M, 0))</f>
        <v>14</v>
      </c>
    </row>
    <row r="329" spans="1:11" ht="16" x14ac:dyDescent="0.25">
      <c r="A329" t="s">
        <v>317</v>
      </c>
      <c r="B329">
        <v>4</v>
      </c>
      <c r="C329">
        <v>2021</v>
      </c>
      <c r="D329" t="s">
        <v>321</v>
      </c>
      <c r="E329">
        <v>4.3</v>
      </c>
      <c r="F329">
        <v>10790385</v>
      </c>
      <c r="G329" s="1" t="str">
        <f t="shared" si="5"/>
        <v>Georgia2021</v>
      </c>
      <c r="H329">
        <f>+INDEX(Sheet1!C:C, MATCH(Hoja1!G329, Sheet1!D:D, 0))</f>
        <v>705546.7</v>
      </c>
      <c r="I329">
        <f>+INDEX(Sheet1!G:G, MATCH(Hoja1!G329, Sheet1!I:I, 0))</f>
        <v>110191</v>
      </c>
      <c r="J329" s="2">
        <f>+INDEX(Sheet1!H:H, MATCH(Hoja1!G329, Sheet1!I:I, 0))</f>
        <v>6.3281001225478375E-2</v>
      </c>
      <c r="K329" s="2">
        <f>+INDEX(Sheet1!L:L, MATCH(Hoja1!G329,Sheet1!M:M, 0))</f>
        <v>14</v>
      </c>
    </row>
    <row r="330" spans="1:11" ht="16" x14ac:dyDescent="0.25">
      <c r="A330" t="s">
        <v>317</v>
      </c>
      <c r="B330">
        <v>5</v>
      </c>
      <c r="C330">
        <v>2021</v>
      </c>
      <c r="D330" t="s">
        <v>322</v>
      </c>
      <c r="E330">
        <v>4.0999999999999996</v>
      </c>
      <c r="F330">
        <v>10790385</v>
      </c>
      <c r="G330" s="1" t="str">
        <f t="shared" si="5"/>
        <v>Georgia2021</v>
      </c>
      <c r="H330">
        <f>+INDEX(Sheet1!C:C, MATCH(Hoja1!G330, Sheet1!D:D, 0))</f>
        <v>705546.7</v>
      </c>
      <c r="I330">
        <f>+INDEX(Sheet1!G:G, MATCH(Hoja1!G330, Sheet1!I:I, 0))</f>
        <v>110191</v>
      </c>
      <c r="J330" s="2">
        <f>+INDEX(Sheet1!H:H, MATCH(Hoja1!G330, Sheet1!I:I, 0))</f>
        <v>6.3281001225478375E-2</v>
      </c>
      <c r="K330" s="2">
        <f>+INDEX(Sheet1!L:L, MATCH(Hoja1!G330,Sheet1!M:M, 0))</f>
        <v>14</v>
      </c>
    </row>
    <row r="331" spans="1:11" ht="16" x14ac:dyDescent="0.25">
      <c r="A331" t="s">
        <v>317</v>
      </c>
      <c r="B331">
        <v>6</v>
      </c>
      <c r="C331">
        <v>2021</v>
      </c>
      <c r="D331" t="s">
        <v>323</v>
      </c>
      <c r="E331">
        <v>4</v>
      </c>
      <c r="F331">
        <v>10790385</v>
      </c>
      <c r="G331" s="1" t="str">
        <f t="shared" si="5"/>
        <v>Georgia2021</v>
      </c>
      <c r="H331">
        <f>+INDEX(Sheet1!C:C, MATCH(Hoja1!G331, Sheet1!D:D, 0))</f>
        <v>705546.7</v>
      </c>
      <c r="I331">
        <f>+INDEX(Sheet1!G:G, MATCH(Hoja1!G331, Sheet1!I:I, 0))</f>
        <v>110191</v>
      </c>
      <c r="J331" s="2">
        <f>+INDEX(Sheet1!H:H, MATCH(Hoja1!G331, Sheet1!I:I, 0))</f>
        <v>6.3281001225478375E-2</v>
      </c>
      <c r="K331" s="2">
        <f>+INDEX(Sheet1!L:L, MATCH(Hoja1!G331,Sheet1!M:M, 0))</f>
        <v>14</v>
      </c>
    </row>
    <row r="332" spans="1:11" ht="16" x14ac:dyDescent="0.25">
      <c r="A332" t="s">
        <v>317</v>
      </c>
      <c r="B332">
        <v>7</v>
      </c>
      <c r="C332">
        <v>2021</v>
      </c>
      <c r="D332" t="s">
        <v>324</v>
      </c>
      <c r="E332">
        <v>3.9</v>
      </c>
      <c r="F332">
        <v>10790385</v>
      </c>
      <c r="G332" s="1" t="str">
        <f t="shared" si="5"/>
        <v>Georgia2021</v>
      </c>
      <c r="H332">
        <f>+INDEX(Sheet1!C:C, MATCH(Hoja1!G332, Sheet1!D:D, 0))</f>
        <v>705546.7</v>
      </c>
      <c r="I332">
        <f>+INDEX(Sheet1!G:G, MATCH(Hoja1!G332, Sheet1!I:I, 0))</f>
        <v>110191</v>
      </c>
      <c r="J332" s="2">
        <f>+INDEX(Sheet1!H:H, MATCH(Hoja1!G332, Sheet1!I:I, 0))</f>
        <v>6.3281001225478375E-2</v>
      </c>
      <c r="K332" s="2">
        <f>+INDEX(Sheet1!L:L, MATCH(Hoja1!G332,Sheet1!M:M, 0))</f>
        <v>14</v>
      </c>
    </row>
    <row r="333" spans="1:11" ht="16" x14ac:dyDescent="0.25">
      <c r="A333" t="s">
        <v>317</v>
      </c>
      <c r="B333">
        <v>8</v>
      </c>
      <c r="C333">
        <v>2021</v>
      </c>
      <c r="D333" t="s">
        <v>325</v>
      </c>
      <c r="E333">
        <v>3.7</v>
      </c>
      <c r="F333">
        <v>10790385</v>
      </c>
      <c r="G333" s="1" t="str">
        <f t="shared" si="5"/>
        <v>Georgia2021</v>
      </c>
      <c r="H333">
        <f>+INDEX(Sheet1!C:C, MATCH(Hoja1!G333, Sheet1!D:D, 0))</f>
        <v>705546.7</v>
      </c>
      <c r="I333">
        <f>+INDEX(Sheet1!G:G, MATCH(Hoja1!G333, Sheet1!I:I, 0))</f>
        <v>110191</v>
      </c>
      <c r="J333" s="2">
        <f>+INDEX(Sheet1!H:H, MATCH(Hoja1!G333, Sheet1!I:I, 0))</f>
        <v>6.3281001225478375E-2</v>
      </c>
      <c r="K333" s="2">
        <f>+INDEX(Sheet1!L:L, MATCH(Hoja1!G333,Sheet1!M:M, 0))</f>
        <v>14</v>
      </c>
    </row>
    <row r="334" spans="1:11" ht="16" x14ac:dyDescent="0.25">
      <c r="A334" t="s">
        <v>317</v>
      </c>
      <c r="B334">
        <v>9</v>
      </c>
      <c r="C334">
        <v>2021</v>
      </c>
      <c r="D334" t="s">
        <v>326</v>
      </c>
      <c r="E334">
        <v>3.5</v>
      </c>
      <c r="F334">
        <v>10790385</v>
      </c>
      <c r="G334" s="1" t="str">
        <f t="shared" si="5"/>
        <v>Georgia2021</v>
      </c>
      <c r="H334">
        <f>+INDEX(Sheet1!C:C, MATCH(Hoja1!G334, Sheet1!D:D, 0))</f>
        <v>705546.7</v>
      </c>
      <c r="I334">
        <f>+INDEX(Sheet1!G:G, MATCH(Hoja1!G334, Sheet1!I:I, 0))</f>
        <v>110191</v>
      </c>
      <c r="J334" s="2">
        <f>+INDEX(Sheet1!H:H, MATCH(Hoja1!G334, Sheet1!I:I, 0))</f>
        <v>6.3281001225478375E-2</v>
      </c>
      <c r="K334" s="2">
        <f>+INDEX(Sheet1!L:L, MATCH(Hoja1!G334,Sheet1!M:M, 0))</f>
        <v>14</v>
      </c>
    </row>
    <row r="335" spans="1:11" ht="16" x14ac:dyDescent="0.25">
      <c r="A335" t="s">
        <v>317</v>
      </c>
      <c r="B335">
        <v>10</v>
      </c>
      <c r="C335">
        <v>2021</v>
      </c>
      <c r="D335" t="s">
        <v>327</v>
      </c>
      <c r="E335">
        <v>3.4</v>
      </c>
      <c r="F335">
        <v>10790385</v>
      </c>
      <c r="G335" s="1" t="str">
        <f t="shared" si="5"/>
        <v>Georgia2021</v>
      </c>
      <c r="H335">
        <f>+INDEX(Sheet1!C:C, MATCH(Hoja1!G335, Sheet1!D:D, 0))</f>
        <v>705546.7</v>
      </c>
      <c r="I335">
        <f>+INDEX(Sheet1!G:G, MATCH(Hoja1!G335, Sheet1!I:I, 0))</f>
        <v>110191</v>
      </c>
      <c r="J335" s="2">
        <f>+INDEX(Sheet1!H:H, MATCH(Hoja1!G335, Sheet1!I:I, 0))</f>
        <v>6.3281001225478375E-2</v>
      </c>
      <c r="K335" s="2">
        <f>+INDEX(Sheet1!L:L, MATCH(Hoja1!G335,Sheet1!M:M, 0))</f>
        <v>14</v>
      </c>
    </row>
    <row r="336" spans="1:11" ht="16" x14ac:dyDescent="0.25">
      <c r="A336" t="s">
        <v>317</v>
      </c>
      <c r="B336">
        <v>11</v>
      </c>
      <c r="C336">
        <v>2021</v>
      </c>
      <c r="D336" t="s">
        <v>328</v>
      </c>
      <c r="E336">
        <v>3.3</v>
      </c>
      <c r="F336">
        <v>10790385</v>
      </c>
      <c r="G336" s="1" t="str">
        <f t="shared" si="5"/>
        <v>Georgia2021</v>
      </c>
      <c r="H336">
        <f>+INDEX(Sheet1!C:C, MATCH(Hoja1!G336, Sheet1!D:D, 0))</f>
        <v>705546.7</v>
      </c>
      <c r="I336">
        <f>+INDEX(Sheet1!G:G, MATCH(Hoja1!G336, Sheet1!I:I, 0))</f>
        <v>110191</v>
      </c>
      <c r="J336" s="2">
        <f>+INDEX(Sheet1!H:H, MATCH(Hoja1!G336, Sheet1!I:I, 0))</f>
        <v>6.3281001225478375E-2</v>
      </c>
      <c r="K336" s="2">
        <f>+INDEX(Sheet1!L:L, MATCH(Hoja1!G336,Sheet1!M:M, 0))</f>
        <v>14</v>
      </c>
    </row>
    <row r="337" spans="1:11" ht="16" x14ac:dyDescent="0.25">
      <c r="A337" t="s">
        <v>317</v>
      </c>
      <c r="B337">
        <v>12</v>
      </c>
      <c r="C337">
        <v>2021</v>
      </c>
      <c r="D337" t="s">
        <v>329</v>
      </c>
      <c r="E337">
        <v>3.2</v>
      </c>
      <c r="F337">
        <v>10790385</v>
      </c>
      <c r="G337" s="1" t="str">
        <f t="shared" si="5"/>
        <v>Georgia2021</v>
      </c>
      <c r="H337">
        <f>+INDEX(Sheet1!C:C, MATCH(Hoja1!G337, Sheet1!D:D, 0))</f>
        <v>705546.7</v>
      </c>
      <c r="I337">
        <f>+INDEX(Sheet1!G:G, MATCH(Hoja1!G337, Sheet1!I:I, 0))</f>
        <v>110191</v>
      </c>
      <c r="J337" s="2">
        <f>+INDEX(Sheet1!H:H, MATCH(Hoja1!G337, Sheet1!I:I, 0))</f>
        <v>6.3281001225478375E-2</v>
      </c>
      <c r="K337" s="2">
        <f>+INDEX(Sheet1!L:L, MATCH(Hoja1!G337,Sheet1!M:M, 0))</f>
        <v>14</v>
      </c>
    </row>
    <row r="338" spans="1:11" ht="16" x14ac:dyDescent="0.25">
      <c r="A338" t="s">
        <v>317</v>
      </c>
      <c r="B338">
        <v>1</v>
      </c>
      <c r="C338">
        <v>2022</v>
      </c>
      <c r="D338" t="s">
        <v>330</v>
      </c>
      <c r="E338">
        <v>3.1</v>
      </c>
      <c r="F338">
        <v>10913150</v>
      </c>
      <c r="G338" s="1" t="str">
        <f t="shared" si="5"/>
        <v>Georgia2022</v>
      </c>
      <c r="H338">
        <f>+INDEX(Sheet1!C:C, MATCH(Hoja1!G338, Sheet1!D:D, 0))</f>
        <v>779684</v>
      </c>
      <c r="I338">
        <f>+INDEX(Sheet1!G:G, MATCH(Hoja1!G338, Sheet1!I:I, 0))</f>
        <v>114075</v>
      </c>
      <c r="J338" s="2">
        <f>+INDEX(Sheet1!H:H, MATCH(Hoja1!G338, Sheet1!I:I, 0))</f>
        <v>3.5247887758528371E-2</v>
      </c>
      <c r="K338" s="2">
        <f>+INDEX(Sheet1!L:L, MATCH(Hoja1!G338,Sheet1!M:M, 0))</f>
        <v>11.7</v>
      </c>
    </row>
    <row r="339" spans="1:11" ht="16" x14ac:dyDescent="0.25">
      <c r="A339" t="s">
        <v>317</v>
      </c>
      <c r="B339">
        <v>2</v>
      </c>
      <c r="C339">
        <v>2022</v>
      </c>
      <c r="D339" t="s">
        <v>114</v>
      </c>
      <c r="E339">
        <v>3.1</v>
      </c>
      <c r="F339">
        <v>10913150</v>
      </c>
      <c r="G339" s="1" t="str">
        <f t="shared" si="5"/>
        <v>Georgia2022</v>
      </c>
      <c r="H339">
        <f>+INDEX(Sheet1!C:C, MATCH(Hoja1!G339, Sheet1!D:D, 0))</f>
        <v>779684</v>
      </c>
      <c r="I339">
        <f>+INDEX(Sheet1!G:G, MATCH(Hoja1!G339, Sheet1!I:I, 0))</f>
        <v>114075</v>
      </c>
      <c r="J339" s="2">
        <f>+INDEX(Sheet1!H:H, MATCH(Hoja1!G339, Sheet1!I:I, 0))</f>
        <v>3.5247887758528371E-2</v>
      </c>
      <c r="K339" s="2">
        <f>+INDEX(Sheet1!L:L, MATCH(Hoja1!G339,Sheet1!M:M, 0))</f>
        <v>11.7</v>
      </c>
    </row>
    <row r="340" spans="1:11" ht="16" x14ac:dyDescent="0.25">
      <c r="A340" t="s">
        <v>317</v>
      </c>
      <c r="B340">
        <v>3</v>
      </c>
      <c r="C340">
        <v>2022</v>
      </c>
      <c r="D340" t="s">
        <v>331</v>
      </c>
      <c r="E340">
        <v>3</v>
      </c>
      <c r="F340">
        <v>10913150</v>
      </c>
      <c r="G340" s="1" t="str">
        <f t="shared" si="5"/>
        <v>Georgia2022</v>
      </c>
      <c r="H340">
        <f>+INDEX(Sheet1!C:C, MATCH(Hoja1!G340, Sheet1!D:D, 0))</f>
        <v>779684</v>
      </c>
      <c r="I340">
        <f>+INDEX(Sheet1!G:G, MATCH(Hoja1!G340, Sheet1!I:I, 0))</f>
        <v>114075</v>
      </c>
      <c r="J340" s="2">
        <f>+INDEX(Sheet1!H:H, MATCH(Hoja1!G340, Sheet1!I:I, 0))</f>
        <v>3.5247887758528371E-2</v>
      </c>
      <c r="K340" s="2">
        <f>+INDEX(Sheet1!L:L, MATCH(Hoja1!G340,Sheet1!M:M, 0))</f>
        <v>11.7</v>
      </c>
    </row>
    <row r="341" spans="1:11" ht="16" x14ac:dyDescent="0.25">
      <c r="A341" t="s">
        <v>317</v>
      </c>
      <c r="B341">
        <v>4</v>
      </c>
      <c r="C341">
        <v>2022</v>
      </c>
      <c r="D341" t="s">
        <v>332</v>
      </c>
      <c r="E341">
        <v>3</v>
      </c>
      <c r="F341">
        <v>10913150</v>
      </c>
      <c r="G341" s="1" t="str">
        <f t="shared" si="5"/>
        <v>Georgia2022</v>
      </c>
      <c r="H341">
        <f>+INDEX(Sheet1!C:C, MATCH(Hoja1!G341, Sheet1!D:D, 0))</f>
        <v>779684</v>
      </c>
      <c r="I341">
        <f>+INDEX(Sheet1!G:G, MATCH(Hoja1!G341, Sheet1!I:I, 0))</f>
        <v>114075</v>
      </c>
      <c r="J341" s="2">
        <f>+INDEX(Sheet1!H:H, MATCH(Hoja1!G341, Sheet1!I:I, 0))</f>
        <v>3.5247887758528371E-2</v>
      </c>
      <c r="K341" s="2">
        <f>+INDEX(Sheet1!L:L, MATCH(Hoja1!G341,Sheet1!M:M, 0))</f>
        <v>11.7</v>
      </c>
    </row>
    <row r="342" spans="1:11" ht="16" x14ac:dyDescent="0.25">
      <c r="A342" t="s">
        <v>317</v>
      </c>
      <c r="B342">
        <v>5</v>
      </c>
      <c r="C342">
        <v>2022</v>
      </c>
      <c r="D342" t="s">
        <v>333</v>
      </c>
      <c r="E342">
        <v>3</v>
      </c>
      <c r="F342">
        <v>10913150</v>
      </c>
      <c r="G342" s="1" t="str">
        <f t="shared" si="5"/>
        <v>Georgia2022</v>
      </c>
      <c r="H342">
        <f>+INDEX(Sheet1!C:C, MATCH(Hoja1!G342, Sheet1!D:D, 0))</f>
        <v>779684</v>
      </c>
      <c r="I342">
        <f>+INDEX(Sheet1!G:G, MATCH(Hoja1!G342, Sheet1!I:I, 0))</f>
        <v>114075</v>
      </c>
      <c r="J342" s="2">
        <f>+INDEX(Sheet1!H:H, MATCH(Hoja1!G342, Sheet1!I:I, 0))</f>
        <v>3.5247887758528371E-2</v>
      </c>
      <c r="K342" s="2">
        <f>+INDEX(Sheet1!L:L, MATCH(Hoja1!G342,Sheet1!M:M, 0))</f>
        <v>11.7</v>
      </c>
    </row>
    <row r="343" spans="1:11" ht="16" x14ac:dyDescent="0.25">
      <c r="A343" t="s">
        <v>317</v>
      </c>
      <c r="B343">
        <v>6</v>
      </c>
      <c r="C343">
        <v>2022</v>
      </c>
      <c r="D343" t="s">
        <v>334</v>
      </c>
      <c r="E343">
        <v>3.1</v>
      </c>
      <c r="F343">
        <v>10913150</v>
      </c>
      <c r="G343" s="1" t="str">
        <f t="shared" si="5"/>
        <v>Georgia2022</v>
      </c>
      <c r="H343">
        <f>+INDEX(Sheet1!C:C, MATCH(Hoja1!G343, Sheet1!D:D, 0))</f>
        <v>779684</v>
      </c>
      <c r="I343">
        <f>+INDEX(Sheet1!G:G, MATCH(Hoja1!G343, Sheet1!I:I, 0))</f>
        <v>114075</v>
      </c>
      <c r="J343" s="2">
        <f>+INDEX(Sheet1!H:H, MATCH(Hoja1!G343, Sheet1!I:I, 0))</f>
        <v>3.5247887758528371E-2</v>
      </c>
      <c r="K343" s="2">
        <f>+INDEX(Sheet1!L:L, MATCH(Hoja1!G343,Sheet1!M:M, 0))</f>
        <v>11.7</v>
      </c>
    </row>
    <row r="344" spans="1:11" ht="16" x14ac:dyDescent="0.25">
      <c r="A344" t="s">
        <v>317</v>
      </c>
      <c r="B344">
        <v>7</v>
      </c>
      <c r="C344">
        <v>2022</v>
      </c>
      <c r="D344" t="s">
        <v>335</v>
      </c>
      <c r="E344">
        <v>3.1</v>
      </c>
      <c r="F344">
        <v>10913150</v>
      </c>
      <c r="G344" s="1" t="str">
        <f t="shared" si="5"/>
        <v>Georgia2022</v>
      </c>
      <c r="H344">
        <f>+INDEX(Sheet1!C:C, MATCH(Hoja1!G344, Sheet1!D:D, 0))</f>
        <v>779684</v>
      </c>
      <c r="I344">
        <f>+INDEX(Sheet1!G:G, MATCH(Hoja1!G344, Sheet1!I:I, 0))</f>
        <v>114075</v>
      </c>
      <c r="J344" s="2">
        <f>+INDEX(Sheet1!H:H, MATCH(Hoja1!G344, Sheet1!I:I, 0))</f>
        <v>3.5247887758528371E-2</v>
      </c>
      <c r="K344" s="2">
        <f>+INDEX(Sheet1!L:L, MATCH(Hoja1!G344,Sheet1!M:M, 0))</f>
        <v>11.7</v>
      </c>
    </row>
    <row r="345" spans="1:11" ht="16" x14ac:dyDescent="0.25">
      <c r="A345" t="s">
        <v>317</v>
      </c>
      <c r="B345">
        <v>8</v>
      </c>
      <c r="C345">
        <v>2022</v>
      </c>
      <c r="D345" t="s">
        <v>336</v>
      </c>
      <c r="E345">
        <v>3.2</v>
      </c>
      <c r="F345">
        <v>10913150</v>
      </c>
      <c r="G345" s="1" t="str">
        <f t="shared" si="5"/>
        <v>Georgia2022</v>
      </c>
      <c r="H345">
        <f>+INDEX(Sheet1!C:C, MATCH(Hoja1!G345, Sheet1!D:D, 0))</f>
        <v>779684</v>
      </c>
      <c r="I345">
        <f>+INDEX(Sheet1!G:G, MATCH(Hoja1!G345, Sheet1!I:I, 0))</f>
        <v>114075</v>
      </c>
      <c r="J345" s="2">
        <f>+INDEX(Sheet1!H:H, MATCH(Hoja1!G345, Sheet1!I:I, 0))</f>
        <v>3.5247887758528371E-2</v>
      </c>
      <c r="K345" s="2">
        <f>+INDEX(Sheet1!L:L, MATCH(Hoja1!G345,Sheet1!M:M, 0))</f>
        <v>11.7</v>
      </c>
    </row>
    <row r="346" spans="1:11" ht="16" x14ac:dyDescent="0.25">
      <c r="A346" t="s">
        <v>317</v>
      </c>
      <c r="B346">
        <v>9</v>
      </c>
      <c r="C346">
        <v>2022</v>
      </c>
      <c r="D346" t="s">
        <v>337</v>
      </c>
      <c r="E346">
        <v>3.2</v>
      </c>
      <c r="F346">
        <v>10913150</v>
      </c>
      <c r="G346" s="1" t="str">
        <f t="shared" si="5"/>
        <v>Georgia2022</v>
      </c>
      <c r="H346">
        <f>+INDEX(Sheet1!C:C, MATCH(Hoja1!G346, Sheet1!D:D, 0))</f>
        <v>779684</v>
      </c>
      <c r="I346">
        <f>+INDEX(Sheet1!G:G, MATCH(Hoja1!G346, Sheet1!I:I, 0))</f>
        <v>114075</v>
      </c>
      <c r="J346" s="2">
        <f>+INDEX(Sheet1!H:H, MATCH(Hoja1!G346, Sheet1!I:I, 0))</f>
        <v>3.5247887758528371E-2</v>
      </c>
      <c r="K346" s="2">
        <f>+INDEX(Sheet1!L:L, MATCH(Hoja1!G346,Sheet1!M:M, 0))</f>
        <v>11.7</v>
      </c>
    </row>
    <row r="347" spans="1:11" ht="16" x14ac:dyDescent="0.25">
      <c r="A347" t="s">
        <v>317</v>
      </c>
      <c r="B347">
        <v>10</v>
      </c>
      <c r="C347">
        <v>2022</v>
      </c>
      <c r="D347" t="s">
        <v>338</v>
      </c>
      <c r="E347">
        <v>3.3</v>
      </c>
      <c r="F347">
        <v>10913150</v>
      </c>
      <c r="G347" s="1" t="str">
        <f t="shared" si="5"/>
        <v>Georgia2022</v>
      </c>
      <c r="H347">
        <f>+INDEX(Sheet1!C:C, MATCH(Hoja1!G347, Sheet1!D:D, 0))</f>
        <v>779684</v>
      </c>
      <c r="I347">
        <f>+INDEX(Sheet1!G:G, MATCH(Hoja1!G347, Sheet1!I:I, 0))</f>
        <v>114075</v>
      </c>
      <c r="J347" s="2">
        <f>+INDEX(Sheet1!H:H, MATCH(Hoja1!G347, Sheet1!I:I, 0))</f>
        <v>3.5247887758528371E-2</v>
      </c>
      <c r="K347" s="2">
        <f>+INDEX(Sheet1!L:L, MATCH(Hoja1!G347,Sheet1!M:M, 0))</f>
        <v>11.7</v>
      </c>
    </row>
    <row r="348" spans="1:11" ht="16" x14ac:dyDescent="0.25">
      <c r="A348" t="s">
        <v>317</v>
      </c>
      <c r="B348">
        <v>11</v>
      </c>
      <c r="C348">
        <v>2022</v>
      </c>
      <c r="D348" t="s">
        <v>339</v>
      </c>
      <c r="E348">
        <v>3.3</v>
      </c>
      <c r="F348">
        <v>10913150</v>
      </c>
      <c r="G348" s="1" t="str">
        <f t="shared" si="5"/>
        <v>Georgia2022</v>
      </c>
      <c r="H348">
        <f>+INDEX(Sheet1!C:C, MATCH(Hoja1!G348, Sheet1!D:D, 0))</f>
        <v>779684</v>
      </c>
      <c r="I348">
        <f>+INDEX(Sheet1!G:G, MATCH(Hoja1!G348, Sheet1!I:I, 0))</f>
        <v>114075</v>
      </c>
      <c r="J348" s="2">
        <f>+INDEX(Sheet1!H:H, MATCH(Hoja1!G348, Sheet1!I:I, 0))</f>
        <v>3.5247887758528371E-2</v>
      </c>
      <c r="K348" s="2">
        <f>+INDEX(Sheet1!L:L, MATCH(Hoja1!G348,Sheet1!M:M, 0))</f>
        <v>11.7</v>
      </c>
    </row>
    <row r="349" spans="1:11" ht="16" x14ac:dyDescent="0.25">
      <c r="A349" t="s">
        <v>317</v>
      </c>
      <c r="B349">
        <v>12</v>
      </c>
      <c r="C349">
        <v>2022</v>
      </c>
      <c r="D349" t="s">
        <v>340</v>
      </c>
      <c r="E349">
        <v>3.3</v>
      </c>
      <c r="F349">
        <v>10913150</v>
      </c>
      <c r="G349" s="1" t="str">
        <f t="shared" si="5"/>
        <v>Georgia2022</v>
      </c>
      <c r="H349">
        <f>+INDEX(Sheet1!C:C, MATCH(Hoja1!G349, Sheet1!D:D, 0))</f>
        <v>779684</v>
      </c>
      <c r="I349">
        <f>+INDEX(Sheet1!G:G, MATCH(Hoja1!G349, Sheet1!I:I, 0))</f>
        <v>114075</v>
      </c>
      <c r="J349" s="2">
        <f>+INDEX(Sheet1!H:H, MATCH(Hoja1!G349, Sheet1!I:I, 0))</f>
        <v>3.5247887758528371E-2</v>
      </c>
      <c r="K349" s="2">
        <f>+INDEX(Sheet1!L:L, MATCH(Hoja1!G349,Sheet1!M:M, 0))</f>
        <v>11.7</v>
      </c>
    </row>
    <row r="350" spans="1:11" ht="16" x14ac:dyDescent="0.25">
      <c r="A350" t="s">
        <v>317</v>
      </c>
      <c r="B350">
        <v>1</v>
      </c>
      <c r="C350">
        <v>2023</v>
      </c>
      <c r="D350" t="s">
        <v>341</v>
      </c>
      <c r="E350">
        <v>3.2</v>
      </c>
      <c r="F350">
        <v>11029227</v>
      </c>
      <c r="G350" s="1" t="str">
        <f t="shared" si="5"/>
        <v>Georgia2023</v>
      </c>
      <c r="H350">
        <f>+INDEX(Sheet1!C:C, MATCH(Hoja1!G350, Sheet1!D:D, 0))</f>
        <v>831827.7</v>
      </c>
      <c r="I350">
        <f>+INDEX(Sheet1!G:G, MATCH(Hoja1!G350, Sheet1!I:I, 0))</f>
        <v>116221</v>
      </c>
      <c r="J350" s="2">
        <f>+INDEX(Sheet1!H:H, MATCH(Hoja1!G350, Sheet1!I:I, 0))</f>
        <v>1.8812184966031119E-2</v>
      </c>
      <c r="K350" s="2">
        <f>+INDEX(Sheet1!L:L, MATCH(Hoja1!G350,Sheet1!M:M, 0))</f>
        <v>12.9</v>
      </c>
    </row>
    <row r="351" spans="1:11" ht="16" x14ac:dyDescent="0.25">
      <c r="A351" t="s">
        <v>317</v>
      </c>
      <c r="B351">
        <v>2</v>
      </c>
      <c r="C351">
        <v>2023</v>
      </c>
      <c r="D351" t="s">
        <v>342</v>
      </c>
      <c r="E351">
        <v>3.2</v>
      </c>
      <c r="F351">
        <v>11029227</v>
      </c>
      <c r="G351" s="1" t="str">
        <f t="shared" si="5"/>
        <v>Georgia2023</v>
      </c>
      <c r="H351">
        <f>+INDEX(Sheet1!C:C, MATCH(Hoja1!G351, Sheet1!D:D, 0))</f>
        <v>831827.7</v>
      </c>
      <c r="I351">
        <f>+INDEX(Sheet1!G:G, MATCH(Hoja1!G351, Sheet1!I:I, 0))</f>
        <v>116221</v>
      </c>
      <c r="J351" s="2">
        <f>+INDEX(Sheet1!H:H, MATCH(Hoja1!G351, Sheet1!I:I, 0))</f>
        <v>1.8812184966031119E-2</v>
      </c>
      <c r="K351" s="2">
        <f>+INDEX(Sheet1!L:L, MATCH(Hoja1!G351,Sheet1!M:M, 0))</f>
        <v>12.9</v>
      </c>
    </row>
    <row r="352" spans="1:11" ht="16" x14ac:dyDescent="0.25">
      <c r="A352" t="s">
        <v>317</v>
      </c>
      <c r="B352">
        <v>3</v>
      </c>
      <c r="C352">
        <v>2023</v>
      </c>
      <c r="D352" t="s">
        <v>341</v>
      </c>
      <c r="E352">
        <v>3.2</v>
      </c>
      <c r="F352">
        <v>11029227</v>
      </c>
      <c r="G352" s="1" t="str">
        <f t="shared" si="5"/>
        <v>Georgia2023</v>
      </c>
      <c r="H352">
        <f>+INDEX(Sheet1!C:C, MATCH(Hoja1!G352, Sheet1!D:D, 0))</f>
        <v>831827.7</v>
      </c>
      <c r="I352">
        <f>+INDEX(Sheet1!G:G, MATCH(Hoja1!G352, Sheet1!I:I, 0))</f>
        <v>116221</v>
      </c>
      <c r="J352" s="2">
        <f>+INDEX(Sheet1!H:H, MATCH(Hoja1!G352, Sheet1!I:I, 0))</f>
        <v>1.8812184966031119E-2</v>
      </c>
      <c r="K352" s="2">
        <f>+INDEX(Sheet1!L:L, MATCH(Hoja1!G352,Sheet1!M:M, 0))</f>
        <v>12.9</v>
      </c>
    </row>
    <row r="353" spans="1:11" ht="16" x14ac:dyDescent="0.25">
      <c r="A353" t="s">
        <v>317</v>
      </c>
      <c r="B353">
        <v>4</v>
      </c>
      <c r="C353">
        <v>2023</v>
      </c>
      <c r="D353" t="s">
        <v>343</v>
      </c>
      <c r="E353">
        <v>3.2</v>
      </c>
      <c r="F353">
        <v>11029227</v>
      </c>
      <c r="G353" s="1" t="str">
        <f t="shared" si="5"/>
        <v>Georgia2023</v>
      </c>
      <c r="H353">
        <f>+INDEX(Sheet1!C:C, MATCH(Hoja1!G353, Sheet1!D:D, 0))</f>
        <v>831827.7</v>
      </c>
      <c r="I353">
        <f>+INDEX(Sheet1!G:G, MATCH(Hoja1!G353, Sheet1!I:I, 0))</f>
        <v>116221</v>
      </c>
      <c r="J353" s="2">
        <f>+INDEX(Sheet1!H:H, MATCH(Hoja1!G353, Sheet1!I:I, 0))</f>
        <v>1.8812184966031119E-2</v>
      </c>
      <c r="K353" s="2">
        <f>+INDEX(Sheet1!L:L, MATCH(Hoja1!G353,Sheet1!M:M, 0))</f>
        <v>12.9</v>
      </c>
    </row>
    <row r="354" spans="1:11" ht="16" x14ac:dyDescent="0.25">
      <c r="A354" t="s">
        <v>317</v>
      </c>
      <c r="B354">
        <v>5</v>
      </c>
      <c r="C354">
        <v>2023</v>
      </c>
      <c r="D354" t="s">
        <v>344</v>
      </c>
      <c r="E354">
        <v>3.2</v>
      </c>
      <c r="F354">
        <v>11029227</v>
      </c>
      <c r="G354" s="1" t="str">
        <f t="shared" si="5"/>
        <v>Georgia2023</v>
      </c>
      <c r="H354">
        <f>+INDEX(Sheet1!C:C, MATCH(Hoja1!G354, Sheet1!D:D, 0))</f>
        <v>831827.7</v>
      </c>
      <c r="I354">
        <f>+INDEX(Sheet1!G:G, MATCH(Hoja1!G354, Sheet1!I:I, 0))</f>
        <v>116221</v>
      </c>
      <c r="J354" s="2">
        <f>+INDEX(Sheet1!H:H, MATCH(Hoja1!G354, Sheet1!I:I, 0))</f>
        <v>1.8812184966031119E-2</v>
      </c>
      <c r="K354" s="2">
        <f>+INDEX(Sheet1!L:L, MATCH(Hoja1!G354,Sheet1!M:M, 0))</f>
        <v>12.9</v>
      </c>
    </row>
    <row r="355" spans="1:11" ht="16" x14ac:dyDescent="0.25">
      <c r="A355" t="s">
        <v>317</v>
      </c>
      <c r="B355">
        <v>6</v>
      </c>
      <c r="C355">
        <v>2023</v>
      </c>
      <c r="D355" t="s">
        <v>345</v>
      </c>
      <c r="E355">
        <v>3.2</v>
      </c>
      <c r="F355">
        <v>11029227</v>
      </c>
      <c r="G355" s="1" t="str">
        <f t="shared" si="5"/>
        <v>Georgia2023</v>
      </c>
      <c r="H355">
        <f>+INDEX(Sheet1!C:C, MATCH(Hoja1!G355, Sheet1!D:D, 0))</f>
        <v>831827.7</v>
      </c>
      <c r="I355">
        <f>+INDEX(Sheet1!G:G, MATCH(Hoja1!G355, Sheet1!I:I, 0))</f>
        <v>116221</v>
      </c>
      <c r="J355" s="2">
        <f>+INDEX(Sheet1!H:H, MATCH(Hoja1!G355, Sheet1!I:I, 0))</f>
        <v>1.8812184966031119E-2</v>
      </c>
      <c r="K355" s="2">
        <f>+INDEX(Sheet1!L:L, MATCH(Hoja1!G355,Sheet1!M:M, 0))</f>
        <v>12.9</v>
      </c>
    </row>
    <row r="356" spans="1:11" ht="16" x14ac:dyDescent="0.25">
      <c r="A356" t="s">
        <v>317</v>
      </c>
      <c r="B356">
        <v>7</v>
      </c>
      <c r="C356">
        <v>2023</v>
      </c>
      <c r="D356" t="s">
        <v>346</v>
      </c>
      <c r="E356">
        <v>3.2</v>
      </c>
      <c r="F356">
        <v>11029227</v>
      </c>
      <c r="G356" s="1" t="str">
        <f t="shared" si="5"/>
        <v>Georgia2023</v>
      </c>
      <c r="H356">
        <f>+INDEX(Sheet1!C:C, MATCH(Hoja1!G356, Sheet1!D:D, 0))</f>
        <v>831827.7</v>
      </c>
      <c r="I356">
        <f>+INDEX(Sheet1!G:G, MATCH(Hoja1!G356, Sheet1!I:I, 0))</f>
        <v>116221</v>
      </c>
      <c r="J356" s="2">
        <f>+INDEX(Sheet1!H:H, MATCH(Hoja1!G356, Sheet1!I:I, 0))</f>
        <v>1.8812184966031119E-2</v>
      </c>
      <c r="K356" s="2">
        <f>+INDEX(Sheet1!L:L, MATCH(Hoja1!G356,Sheet1!M:M, 0))</f>
        <v>12.9</v>
      </c>
    </row>
    <row r="357" spans="1:11" ht="16" x14ac:dyDescent="0.25">
      <c r="A357" t="s">
        <v>317</v>
      </c>
      <c r="B357">
        <v>8</v>
      </c>
      <c r="C357">
        <v>2023</v>
      </c>
      <c r="D357" t="s">
        <v>141</v>
      </c>
      <c r="E357">
        <v>3.2</v>
      </c>
      <c r="F357">
        <v>11029227</v>
      </c>
      <c r="G357" s="1" t="str">
        <f t="shared" si="5"/>
        <v>Georgia2023</v>
      </c>
      <c r="H357">
        <f>+INDEX(Sheet1!C:C, MATCH(Hoja1!G357, Sheet1!D:D, 0))</f>
        <v>831827.7</v>
      </c>
      <c r="I357">
        <f>+INDEX(Sheet1!G:G, MATCH(Hoja1!G357, Sheet1!I:I, 0))</f>
        <v>116221</v>
      </c>
      <c r="J357" s="2">
        <f>+INDEX(Sheet1!H:H, MATCH(Hoja1!G357, Sheet1!I:I, 0))</f>
        <v>1.8812184966031119E-2</v>
      </c>
      <c r="K357" s="2">
        <f>+INDEX(Sheet1!L:L, MATCH(Hoja1!G357,Sheet1!M:M, 0))</f>
        <v>12.9</v>
      </c>
    </row>
    <row r="358" spans="1:11" ht="16" x14ac:dyDescent="0.25">
      <c r="A358" t="s">
        <v>317</v>
      </c>
      <c r="B358">
        <v>9</v>
      </c>
      <c r="C358">
        <v>2023</v>
      </c>
      <c r="D358" t="s">
        <v>347</v>
      </c>
      <c r="E358">
        <v>3.2</v>
      </c>
      <c r="F358">
        <v>11029227</v>
      </c>
      <c r="G358" s="1" t="str">
        <f t="shared" si="5"/>
        <v>Georgia2023</v>
      </c>
      <c r="H358">
        <f>+INDEX(Sheet1!C:C, MATCH(Hoja1!G358, Sheet1!D:D, 0))</f>
        <v>831827.7</v>
      </c>
      <c r="I358">
        <f>+INDEX(Sheet1!G:G, MATCH(Hoja1!G358, Sheet1!I:I, 0))</f>
        <v>116221</v>
      </c>
      <c r="J358" s="2">
        <f>+INDEX(Sheet1!H:H, MATCH(Hoja1!G358, Sheet1!I:I, 0))</f>
        <v>1.8812184966031119E-2</v>
      </c>
      <c r="K358" s="2">
        <f>+INDEX(Sheet1!L:L, MATCH(Hoja1!G358,Sheet1!M:M, 0))</f>
        <v>12.9</v>
      </c>
    </row>
    <row r="359" spans="1:11" ht="16" x14ac:dyDescent="0.25">
      <c r="A359" t="s">
        <v>317</v>
      </c>
      <c r="B359">
        <v>10</v>
      </c>
      <c r="C359">
        <v>2023</v>
      </c>
      <c r="D359" t="s">
        <v>348</v>
      </c>
      <c r="E359">
        <v>3.2</v>
      </c>
      <c r="F359">
        <v>11029227</v>
      </c>
      <c r="G359" s="1" t="str">
        <f t="shared" si="5"/>
        <v>Georgia2023</v>
      </c>
      <c r="H359">
        <f>+INDEX(Sheet1!C:C, MATCH(Hoja1!G359, Sheet1!D:D, 0))</f>
        <v>831827.7</v>
      </c>
      <c r="I359">
        <f>+INDEX(Sheet1!G:G, MATCH(Hoja1!G359, Sheet1!I:I, 0))</f>
        <v>116221</v>
      </c>
      <c r="J359" s="2">
        <f>+INDEX(Sheet1!H:H, MATCH(Hoja1!G359, Sheet1!I:I, 0))</f>
        <v>1.8812184966031119E-2</v>
      </c>
      <c r="K359" s="2">
        <f>+INDEX(Sheet1!L:L, MATCH(Hoja1!G359,Sheet1!M:M, 0))</f>
        <v>12.9</v>
      </c>
    </row>
    <row r="360" spans="1:11" ht="16" x14ac:dyDescent="0.25">
      <c r="A360" t="s">
        <v>317</v>
      </c>
      <c r="B360">
        <v>11</v>
      </c>
      <c r="C360">
        <v>2023</v>
      </c>
      <c r="D360" t="s">
        <v>49</v>
      </c>
      <c r="E360">
        <v>3.2</v>
      </c>
      <c r="F360">
        <v>11029227</v>
      </c>
      <c r="G360" s="1" t="str">
        <f t="shared" si="5"/>
        <v>Georgia2023</v>
      </c>
      <c r="H360">
        <f>+INDEX(Sheet1!C:C, MATCH(Hoja1!G360, Sheet1!D:D, 0))</f>
        <v>831827.7</v>
      </c>
      <c r="I360">
        <f>+INDEX(Sheet1!G:G, MATCH(Hoja1!G360, Sheet1!I:I, 0))</f>
        <v>116221</v>
      </c>
      <c r="J360" s="2">
        <f>+INDEX(Sheet1!H:H, MATCH(Hoja1!G360, Sheet1!I:I, 0))</f>
        <v>1.8812184966031119E-2</v>
      </c>
      <c r="K360" s="2">
        <f>+INDEX(Sheet1!L:L, MATCH(Hoja1!G360,Sheet1!M:M, 0))</f>
        <v>12.9</v>
      </c>
    </row>
    <row r="361" spans="1:11" ht="16" x14ac:dyDescent="0.25">
      <c r="A361" t="s">
        <v>317</v>
      </c>
      <c r="B361">
        <v>12</v>
      </c>
      <c r="C361">
        <v>2023</v>
      </c>
      <c r="D361" t="s">
        <v>24</v>
      </c>
      <c r="E361">
        <v>3.2</v>
      </c>
      <c r="F361">
        <v>11029227</v>
      </c>
      <c r="G361" s="1" t="str">
        <f t="shared" si="5"/>
        <v>Georgia2023</v>
      </c>
      <c r="H361">
        <f>+INDEX(Sheet1!C:C, MATCH(Hoja1!G361, Sheet1!D:D, 0))</f>
        <v>831827.7</v>
      </c>
      <c r="I361">
        <f>+INDEX(Sheet1!G:G, MATCH(Hoja1!G361, Sheet1!I:I, 0))</f>
        <v>116221</v>
      </c>
      <c r="J361" s="2">
        <f>+INDEX(Sheet1!H:H, MATCH(Hoja1!G361, Sheet1!I:I, 0))</f>
        <v>1.8812184966031119E-2</v>
      </c>
      <c r="K361" s="2">
        <f>+INDEX(Sheet1!L:L, MATCH(Hoja1!G361,Sheet1!M:M, 0))</f>
        <v>12.9</v>
      </c>
    </row>
    <row r="362" spans="1:11" ht="16" x14ac:dyDescent="0.25">
      <c r="A362" t="s">
        <v>349</v>
      </c>
      <c r="B362">
        <v>1</v>
      </c>
      <c r="C362">
        <v>2021</v>
      </c>
      <c r="D362" t="s">
        <v>350</v>
      </c>
      <c r="E362">
        <v>9.4</v>
      </c>
      <c r="F362">
        <v>1446745</v>
      </c>
      <c r="G362" s="1" t="str">
        <f t="shared" si="5"/>
        <v>Hawaii2021</v>
      </c>
      <c r="H362">
        <f>+INDEX(Sheet1!C:C, MATCH(Hoja1!G362, Sheet1!D:D, 0))</f>
        <v>93400.4</v>
      </c>
      <c r="I362">
        <f>+INDEX(Sheet1!G:G, MATCH(Hoja1!G362, Sheet1!I:I, 0))</f>
        <v>96537</v>
      </c>
      <c r="J362" s="2">
        <f>+INDEX(Sheet1!H:H, MATCH(Hoja1!G362, Sheet1!I:I, 0))</f>
        <v>5.7221394778342385E-2</v>
      </c>
      <c r="K362" s="2">
        <f>+INDEX(Sheet1!L:L, MATCH(Hoja1!G362,Sheet1!M:M, 0))</f>
        <v>10.9</v>
      </c>
    </row>
    <row r="363" spans="1:11" ht="16" x14ac:dyDescent="0.25">
      <c r="A363" t="s">
        <v>349</v>
      </c>
      <c r="B363">
        <v>2</v>
      </c>
      <c r="C363">
        <v>2021</v>
      </c>
      <c r="D363" t="s">
        <v>351</v>
      </c>
      <c r="E363">
        <v>8.9</v>
      </c>
      <c r="F363">
        <v>1446745</v>
      </c>
      <c r="G363" s="1" t="str">
        <f t="shared" si="5"/>
        <v>Hawaii2021</v>
      </c>
      <c r="H363">
        <f>+INDEX(Sheet1!C:C, MATCH(Hoja1!G363, Sheet1!D:D, 0))</f>
        <v>93400.4</v>
      </c>
      <c r="I363">
        <f>+INDEX(Sheet1!G:G, MATCH(Hoja1!G363, Sheet1!I:I, 0))</f>
        <v>96537</v>
      </c>
      <c r="J363" s="2">
        <f>+INDEX(Sheet1!H:H, MATCH(Hoja1!G363, Sheet1!I:I, 0))</f>
        <v>5.7221394778342385E-2</v>
      </c>
      <c r="K363" s="2">
        <f>+INDEX(Sheet1!L:L, MATCH(Hoja1!G363,Sheet1!M:M, 0))</f>
        <v>10.9</v>
      </c>
    </row>
    <row r="364" spans="1:11" ht="16" x14ac:dyDescent="0.25">
      <c r="A364" t="s">
        <v>349</v>
      </c>
      <c r="B364">
        <v>3</v>
      </c>
      <c r="C364">
        <v>2021</v>
      </c>
      <c r="D364" t="s">
        <v>352</v>
      </c>
      <c r="E364">
        <v>8.1999999999999993</v>
      </c>
      <c r="F364">
        <v>1446745</v>
      </c>
      <c r="G364" s="1" t="str">
        <f t="shared" si="5"/>
        <v>Hawaii2021</v>
      </c>
      <c r="H364">
        <f>+INDEX(Sheet1!C:C, MATCH(Hoja1!G364, Sheet1!D:D, 0))</f>
        <v>93400.4</v>
      </c>
      <c r="I364">
        <f>+INDEX(Sheet1!G:G, MATCH(Hoja1!G364, Sheet1!I:I, 0))</f>
        <v>96537</v>
      </c>
      <c r="J364" s="2">
        <f>+INDEX(Sheet1!H:H, MATCH(Hoja1!G364, Sheet1!I:I, 0))</f>
        <v>5.7221394778342385E-2</v>
      </c>
      <c r="K364" s="2">
        <f>+INDEX(Sheet1!L:L, MATCH(Hoja1!G364,Sheet1!M:M, 0))</f>
        <v>10.9</v>
      </c>
    </row>
    <row r="365" spans="1:11" ht="16" x14ac:dyDescent="0.25">
      <c r="A365" t="s">
        <v>349</v>
      </c>
      <c r="B365">
        <v>4</v>
      </c>
      <c r="C365">
        <v>2021</v>
      </c>
      <c r="D365" t="s">
        <v>353</v>
      </c>
      <c r="E365">
        <v>7.6</v>
      </c>
      <c r="F365">
        <v>1446745</v>
      </c>
      <c r="G365" s="1" t="str">
        <f t="shared" si="5"/>
        <v>Hawaii2021</v>
      </c>
      <c r="H365">
        <f>+INDEX(Sheet1!C:C, MATCH(Hoja1!G365, Sheet1!D:D, 0))</f>
        <v>93400.4</v>
      </c>
      <c r="I365">
        <f>+INDEX(Sheet1!G:G, MATCH(Hoja1!G365, Sheet1!I:I, 0))</f>
        <v>96537</v>
      </c>
      <c r="J365" s="2">
        <f>+INDEX(Sheet1!H:H, MATCH(Hoja1!G365, Sheet1!I:I, 0))</f>
        <v>5.7221394778342385E-2</v>
      </c>
      <c r="K365" s="2">
        <f>+INDEX(Sheet1!L:L, MATCH(Hoja1!G365,Sheet1!M:M, 0))</f>
        <v>10.9</v>
      </c>
    </row>
    <row r="366" spans="1:11" ht="16" x14ac:dyDescent="0.25">
      <c r="A366" t="s">
        <v>349</v>
      </c>
      <c r="B366">
        <v>5</v>
      </c>
      <c r="C366">
        <v>2021</v>
      </c>
      <c r="D366" t="s">
        <v>353</v>
      </c>
      <c r="E366">
        <v>6.6</v>
      </c>
      <c r="F366">
        <v>1446745</v>
      </c>
      <c r="G366" s="1" t="str">
        <f t="shared" si="5"/>
        <v>Hawaii2021</v>
      </c>
      <c r="H366">
        <f>+INDEX(Sheet1!C:C, MATCH(Hoja1!G366, Sheet1!D:D, 0))</f>
        <v>93400.4</v>
      </c>
      <c r="I366">
        <f>+INDEX(Sheet1!G:G, MATCH(Hoja1!G366, Sheet1!I:I, 0))</f>
        <v>96537</v>
      </c>
      <c r="J366" s="2">
        <f>+INDEX(Sheet1!H:H, MATCH(Hoja1!G366, Sheet1!I:I, 0))</f>
        <v>5.7221394778342385E-2</v>
      </c>
      <c r="K366" s="2">
        <f>+INDEX(Sheet1!L:L, MATCH(Hoja1!G366,Sheet1!M:M, 0))</f>
        <v>10.9</v>
      </c>
    </row>
    <row r="367" spans="1:11" ht="16" x14ac:dyDescent="0.25">
      <c r="A367" t="s">
        <v>349</v>
      </c>
      <c r="B367">
        <v>6</v>
      </c>
      <c r="C367">
        <v>2021</v>
      </c>
      <c r="D367" t="s">
        <v>354</v>
      </c>
      <c r="E367">
        <v>7</v>
      </c>
      <c r="F367">
        <v>1446745</v>
      </c>
      <c r="G367" s="1" t="str">
        <f t="shared" si="5"/>
        <v>Hawaii2021</v>
      </c>
      <c r="H367">
        <f>+INDEX(Sheet1!C:C, MATCH(Hoja1!G367, Sheet1!D:D, 0))</f>
        <v>93400.4</v>
      </c>
      <c r="I367">
        <f>+INDEX(Sheet1!G:G, MATCH(Hoja1!G367, Sheet1!I:I, 0))</f>
        <v>96537</v>
      </c>
      <c r="J367" s="2">
        <f>+INDEX(Sheet1!H:H, MATCH(Hoja1!G367, Sheet1!I:I, 0))</f>
        <v>5.7221394778342385E-2</v>
      </c>
      <c r="K367" s="2">
        <f>+INDEX(Sheet1!L:L, MATCH(Hoja1!G367,Sheet1!M:M, 0))</f>
        <v>10.9</v>
      </c>
    </row>
    <row r="368" spans="1:11" ht="16" x14ac:dyDescent="0.25">
      <c r="A368" t="s">
        <v>349</v>
      </c>
      <c r="B368">
        <v>7</v>
      </c>
      <c r="C368">
        <v>2021</v>
      </c>
      <c r="D368" t="s">
        <v>351</v>
      </c>
      <c r="E368">
        <v>5.5</v>
      </c>
      <c r="F368">
        <v>1446745</v>
      </c>
      <c r="G368" s="1" t="str">
        <f t="shared" si="5"/>
        <v>Hawaii2021</v>
      </c>
      <c r="H368">
        <f>+INDEX(Sheet1!C:C, MATCH(Hoja1!G368, Sheet1!D:D, 0))</f>
        <v>93400.4</v>
      </c>
      <c r="I368">
        <f>+INDEX(Sheet1!G:G, MATCH(Hoja1!G368, Sheet1!I:I, 0))</f>
        <v>96537</v>
      </c>
      <c r="J368" s="2">
        <f>+INDEX(Sheet1!H:H, MATCH(Hoja1!G368, Sheet1!I:I, 0))</f>
        <v>5.7221394778342385E-2</v>
      </c>
      <c r="K368" s="2">
        <f>+INDEX(Sheet1!L:L, MATCH(Hoja1!G368,Sheet1!M:M, 0))</f>
        <v>10.9</v>
      </c>
    </row>
    <row r="369" spans="1:11" ht="16" x14ac:dyDescent="0.25">
      <c r="A369" t="s">
        <v>349</v>
      </c>
      <c r="B369">
        <v>8</v>
      </c>
      <c r="C369">
        <v>2021</v>
      </c>
      <c r="D369" t="s">
        <v>355</v>
      </c>
      <c r="E369">
        <v>4.9000000000000004</v>
      </c>
      <c r="F369">
        <v>1446745</v>
      </c>
      <c r="G369" s="1" t="str">
        <f t="shared" si="5"/>
        <v>Hawaii2021</v>
      </c>
      <c r="H369">
        <f>+INDEX(Sheet1!C:C, MATCH(Hoja1!G369, Sheet1!D:D, 0))</f>
        <v>93400.4</v>
      </c>
      <c r="I369">
        <f>+INDEX(Sheet1!G:G, MATCH(Hoja1!G369, Sheet1!I:I, 0))</f>
        <v>96537</v>
      </c>
      <c r="J369" s="2">
        <f>+INDEX(Sheet1!H:H, MATCH(Hoja1!G369, Sheet1!I:I, 0))</f>
        <v>5.7221394778342385E-2</v>
      </c>
      <c r="K369" s="2">
        <f>+INDEX(Sheet1!L:L, MATCH(Hoja1!G369,Sheet1!M:M, 0))</f>
        <v>10.9</v>
      </c>
    </row>
    <row r="370" spans="1:11" ht="16" x14ac:dyDescent="0.25">
      <c r="A370" t="s">
        <v>349</v>
      </c>
      <c r="B370">
        <v>9</v>
      </c>
      <c r="C370">
        <v>2021</v>
      </c>
      <c r="D370" t="s">
        <v>356</v>
      </c>
      <c r="E370">
        <v>4.2</v>
      </c>
      <c r="F370">
        <v>1446745</v>
      </c>
      <c r="G370" s="1" t="str">
        <f t="shared" si="5"/>
        <v>Hawaii2021</v>
      </c>
      <c r="H370">
        <f>+INDEX(Sheet1!C:C, MATCH(Hoja1!G370, Sheet1!D:D, 0))</f>
        <v>93400.4</v>
      </c>
      <c r="I370">
        <f>+INDEX(Sheet1!G:G, MATCH(Hoja1!G370, Sheet1!I:I, 0))</f>
        <v>96537</v>
      </c>
      <c r="J370" s="2">
        <f>+INDEX(Sheet1!H:H, MATCH(Hoja1!G370, Sheet1!I:I, 0))</f>
        <v>5.7221394778342385E-2</v>
      </c>
      <c r="K370" s="2">
        <f>+INDEX(Sheet1!L:L, MATCH(Hoja1!G370,Sheet1!M:M, 0))</f>
        <v>10.9</v>
      </c>
    </row>
    <row r="371" spans="1:11" ht="16" x14ac:dyDescent="0.25">
      <c r="A371" t="s">
        <v>349</v>
      </c>
      <c r="B371">
        <v>10</v>
      </c>
      <c r="C371">
        <v>2021</v>
      </c>
      <c r="D371" t="s">
        <v>352</v>
      </c>
      <c r="E371">
        <v>3.4</v>
      </c>
      <c r="F371">
        <v>1446745</v>
      </c>
      <c r="G371" s="1" t="str">
        <f t="shared" si="5"/>
        <v>Hawaii2021</v>
      </c>
      <c r="H371">
        <f>+INDEX(Sheet1!C:C, MATCH(Hoja1!G371, Sheet1!D:D, 0))</f>
        <v>93400.4</v>
      </c>
      <c r="I371">
        <f>+INDEX(Sheet1!G:G, MATCH(Hoja1!G371, Sheet1!I:I, 0))</f>
        <v>96537</v>
      </c>
      <c r="J371" s="2">
        <f>+INDEX(Sheet1!H:H, MATCH(Hoja1!G371, Sheet1!I:I, 0))</f>
        <v>5.7221394778342385E-2</v>
      </c>
      <c r="K371" s="2">
        <f>+INDEX(Sheet1!L:L, MATCH(Hoja1!G371,Sheet1!M:M, 0))</f>
        <v>10.9</v>
      </c>
    </row>
    <row r="372" spans="1:11" ht="16" x14ac:dyDescent="0.25">
      <c r="A372" t="s">
        <v>349</v>
      </c>
      <c r="B372">
        <v>11</v>
      </c>
      <c r="C372">
        <v>2021</v>
      </c>
      <c r="D372" t="s">
        <v>354</v>
      </c>
      <c r="E372">
        <v>3.1</v>
      </c>
      <c r="F372">
        <v>1446745</v>
      </c>
      <c r="G372" s="1" t="str">
        <f t="shared" si="5"/>
        <v>Hawaii2021</v>
      </c>
      <c r="H372">
        <f>+INDEX(Sheet1!C:C, MATCH(Hoja1!G372, Sheet1!D:D, 0))</f>
        <v>93400.4</v>
      </c>
      <c r="I372">
        <f>+INDEX(Sheet1!G:G, MATCH(Hoja1!G372, Sheet1!I:I, 0))</f>
        <v>96537</v>
      </c>
      <c r="J372" s="2">
        <f>+INDEX(Sheet1!H:H, MATCH(Hoja1!G372, Sheet1!I:I, 0))</f>
        <v>5.7221394778342385E-2</v>
      </c>
      <c r="K372" s="2">
        <f>+INDEX(Sheet1!L:L, MATCH(Hoja1!G372,Sheet1!M:M, 0))</f>
        <v>10.9</v>
      </c>
    </row>
    <row r="373" spans="1:11" ht="16" x14ac:dyDescent="0.25">
      <c r="A373" t="s">
        <v>349</v>
      </c>
      <c r="B373">
        <v>12</v>
      </c>
      <c r="C373">
        <v>2021</v>
      </c>
      <c r="D373" t="s">
        <v>357</v>
      </c>
      <c r="E373">
        <v>2.7</v>
      </c>
      <c r="F373">
        <v>1446745</v>
      </c>
      <c r="G373" s="1" t="str">
        <f t="shared" si="5"/>
        <v>Hawaii2021</v>
      </c>
      <c r="H373">
        <f>+INDEX(Sheet1!C:C, MATCH(Hoja1!G373, Sheet1!D:D, 0))</f>
        <v>93400.4</v>
      </c>
      <c r="I373">
        <f>+INDEX(Sheet1!G:G, MATCH(Hoja1!G373, Sheet1!I:I, 0))</f>
        <v>96537</v>
      </c>
      <c r="J373" s="2">
        <f>+INDEX(Sheet1!H:H, MATCH(Hoja1!G373, Sheet1!I:I, 0))</f>
        <v>5.7221394778342385E-2</v>
      </c>
      <c r="K373" s="2">
        <f>+INDEX(Sheet1!L:L, MATCH(Hoja1!G373,Sheet1!M:M, 0))</f>
        <v>10.9</v>
      </c>
    </row>
    <row r="374" spans="1:11" ht="16" x14ac:dyDescent="0.25">
      <c r="A374" t="s">
        <v>349</v>
      </c>
      <c r="B374">
        <v>1</v>
      </c>
      <c r="C374">
        <v>2022</v>
      </c>
      <c r="D374" t="s">
        <v>358</v>
      </c>
      <c r="E374">
        <v>3.2</v>
      </c>
      <c r="F374">
        <v>1439399</v>
      </c>
      <c r="G374" s="1" t="str">
        <f t="shared" si="5"/>
        <v>Hawaii2022</v>
      </c>
      <c r="H374">
        <f>+INDEX(Sheet1!C:C, MATCH(Hoja1!G374, Sheet1!D:D, 0))</f>
        <v>103153.1</v>
      </c>
      <c r="I374">
        <f>+INDEX(Sheet1!G:G, MATCH(Hoja1!G374, Sheet1!I:I, 0))</f>
        <v>99373</v>
      </c>
      <c r="J374" s="2">
        <f>+INDEX(Sheet1!H:H, MATCH(Hoja1!G374, Sheet1!I:I, 0))</f>
        <v>2.9377337186778128E-2</v>
      </c>
      <c r="K374" s="2">
        <f>+INDEX(Sheet1!L:L, MATCH(Hoja1!G374,Sheet1!M:M, 0))</f>
        <v>8.8000000000000007</v>
      </c>
    </row>
    <row r="375" spans="1:11" ht="16" x14ac:dyDescent="0.25">
      <c r="A375" t="s">
        <v>349</v>
      </c>
      <c r="B375">
        <v>2</v>
      </c>
      <c r="C375">
        <v>2022</v>
      </c>
      <c r="D375" t="s">
        <v>299</v>
      </c>
      <c r="E375">
        <v>3.1</v>
      </c>
      <c r="F375">
        <v>1439399</v>
      </c>
      <c r="G375" s="1" t="str">
        <f t="shared" si="5"/>
        <v>Hawaii2022</v>
      </c>
      <c r="H375">
        <f>+INDEX(Sheet1!C:C, MATCH(Hoja1!G375, Sheet1!D:D, 0))</f>
        <v>103153.1</v>
      </c>
      <c r="I375">
        <f>+INDEX(Sheet1!G:G, MATCH(Hoja1!G375, Sheet1!I:I, 0))</f>
        <v>99373</v>
      </c>
      <c r="J375" s="2">
        <f>+INDEX(Sheet1!H:H, MATCH(Hoja1!G375, Sheet1!I:I, 0))</f>
        <v>2.9377337186778128E-2</v>
      </c>
      <c r="K375" s="2">
        <f>+INDEX(Sheet1!L:L, MATCH(Hoja1!G375,Sheet1!M:M, 0))</f>
        <v>8.8000000000000007</v>
      </c>
    </row>
    <row r="376" spans="1:11" ht="16" x14ac:dyDescent="0.25">
      <c r="A376" t="s">
        <v>349</v>
      </c>
      <c r="B376">
        <v>3</v>
      </c>
      <c r="C376">
        <v>2022</v>
      </c>
      <c r="D376" t="s">
        <v>359</v>
      </c>
      <c r="E376">
        <v>3</v>
      </c>
      <c r="F376">
        <v>1439399</v>
      </c>
      <c r="G376" s="1" t="str">
        <f t="shared" si="5"/>
        <v>Hawaii2022</v>
      </c>
      <c r="H376">
        <f>+INDEX(Sheet1!C:C, MATCH(Hoja1!G376, Sheet1!D:D, 0))</f>
        <v>103153.1</v>
      </c>
      <c r="I376">
        <f>+INDEX(Sheet1!G:G, MATCH(Hoja1!G376, Sheet1!I:I, 0))</f>
        <v>99373</v>
      </c>
      <c r="J376" s="2">
        <f>+INDEX(Sheet1!H:H, MATCH(Hoja1!G376, Sheet1!I:I, 0))</f>
        <v>2.9377337186778128E-2</v>
      </c>
      <c r="K376" s="2">
        <f>+INDEX(Sheet1!L:L, MATCH(Hoja1!G376,Sheet1!M:M, 0))</f>
        <v>8.8000000000000007</v>
      </c>
    </row>
    <row r="377" spans="1:11" ht="16" x14ac:dyDescent="0.25">
      <c r="A377" t="s">
        <v>349</v>
      </c>
      <c r="B377">
        <v>4</v>
      </c>
      <c r="C377">
        <v>2022</v>
      </c>
      <c r="D377" t="s">
        <v>33</v>
      </c>
      <c r="E377">
        <v>3.1</v>
      </c>
      <c r="F377">
        <v>1439399</v>
      </c>
      <c r="G377" s="1" t="str">
        <f t="shared" si="5"/>
        <v>Hawaii2022</v>
      </c>
      <c r="H377">
        <f>+INDEX(Sheet1!C:C, MATCH(Hoja1!G377, Sheet1!D:D, 0))</f>
        <v>103153.1</v>
      </c>
      <c r="I377">
        <f>+INDEX(Sheet1!G:G, MATCH(Hoja1!G377, Sheet1!I:I, 0))</f>
        <v>99373</v>
      </c>
      <c r="J377" s="2">
        <f>+INDEX(Sheet1!H:H, MATCH(Hoja1!G377, Sheet1!I:I, 0))</f>
        <v>2.9377337186778128E-2</v>
      </c>
      <c r="K377" s="2">
        <f>+INDEX(Sheet1!L:L, MATCH(Hoja1!G377,Sheet1!M:M, 0))</f>
        <v>8.8000000000000007</v>
      </c>
    </row>
    <row r="378" spans="1:11" ht="16" x14ac:dyDescent="0.25">
      <c r="A378" t="s">
        <v>349</v>
      </c>
      <c r="B378">
        <v>5</v>
      </c>
      <c r="C378">
        <v>2022</v>
      </c>
      <c r="D378" t="s">
        <v>360</v>
      </c>
      <c r="E378">
        <v>3.1</v>
      </c>
      <c r="F378">
        <v>1439399</v>
      </c>
      <c r="G378" s="1" t="str">
        <f t="shared" si="5"/>
        <v>Hawaii2022</v>
      </c>
      <c r="H378">
        <f>+INDEX(Sheet1!C:C, MATCH(Hoja1!G378, Sheet1!D:D, 0))</f>
        <v>103153.1</v>
      </c>
      <c r="I378">
        <f>+INDEX(Sheet1!G:G, MATCH(Hoja1!G378, Sheet1!I:I, 0))</f>
        <v>99373</v>
      </c>
      <c r="J378" s="2">
        <f>+INDEX(Sheet1!H:H, MATCH(Hoja1!G378, Sheet1!I:I, 0))</f>
        <v>2.9377337186778128E-2</v>
      </c>
      <c r="K378" s="2">
        <f>+INDEX(Sheet1!L:L, MATCH(Hoja1!G378,Sheet1!M:M, 0))</f>
        <v>8.8000000000000007</v>
      </c>
    </row>
    <row r="379" spans="1:11" ht="16" x14ac:dyDescent="0.25">
      <c r="A379" t="s">
        <v>349</v>
      </c>
      <c r="B379">
        <v>6</v>
      </c>
      <c r="C379">
        <v>2022</v>
      </c>
      <c r="D379" t="s">
        <v>361</v>
      </c>
      <c r="E379">
        <v>3.9</v>
      </c>
      <c r="F379">
        <v>1439399</v>
      </c>
      <c r="G379" s="1" t="str">
        <f t="shared" si="5"/>
        <v>Hawaii2022</v>
      </c>
      <c r="H379">
        <f>+INDEX(Sheet1!C:C, MATCH(Hoja1!G379, Sheet1!D:D, 0))</f>
        <v>103153.1</v>
      </c>
      <c r="I379">
        <f>+INDEX(Sheet1!G:G, MATCH(Hoja1!G379, Sheet1!I:I, 0))</f>
        <v>99373</v>
      </c>
      <c r="J379" s="2">
        <f>+INDEX(Sheet1!H:H, MATCH(Hoja1!G379, Sheet1!I:I, 0))</f>
        <v>2.9377337186778128E-2</v>
      </c>
      <c r="K379" s="2">
        <f>+INDEX(Sheet1!L:L, MATCH(Hoja1!G379,Sheet1!M:M, 0))</f>
        <v>8.8000000000000007</v>
      </c>
    </row>
    <row r="380" spans="1:11" ht="16" x14ac:dyDescent="0.25">
      <c r="A380" t="s">
        <v>349</v>
      </c>
      <c r="B380">
        <v>7</v>
      </c>
      <c r="C380">
        <v>2022</v>
      </c>
      <c r="D380" t="s">
        <v>362</v>
      </c>
      <c r="E380">
        <v>3.4</v>
      </c>
      <c r="F380">
        <v>1439399</v>
      </c>
      <c r="G380" s="1" t="str">
        <f t="shared" si="5"/>
        <v>Hawaii2022</v>
      </c>
      <c r="H380">
        <f>+INDEX(Sheet1!C:C, MATCH(Hoja1!G380, Sheet1!D:D, 0))</f>
        <v>103153.1</v>
      </c>
      <c r="I380">
        <f>+INDEX(Sheet1!G:G, MATCH(Hoja1!G380, Sheet1!I:I, 0))</f>
        <v>99373</v>
      </c>
      <c r="J380" s="2">
        <f>+INDEX(Sheet1!H:H, MATCH(Hoja1!G380, Sheet1!I:I, 0))</f>
        <v>2.9377337186778128E-2</v>
      </c>
      <c r="K380" s="2">
        <f>+INDEX(Sheet1!L:L, MATCH(Hoja1!G380,Sheet1!M:M, 0))</f>
        <v>8.8000000000000007</v>
      </c>
    </row>
    <row r="381" spans="1:11" ht="16" x14ac:dyDescent="0.25">
      <c r="A381" t="s">
        <v>349</v>
      </c>
      <c r="B381">
        <v>8</v>
      </c>
      <c r="C381">
        <v>2022</v>
      </c>
      <c r="D381" t="s">
        <v>361</v>
      </c>
      <c r="E381">
        <v>3.5</v>
      </c>
      <c r="F381">
        <v>1439399</v>
      </c>
      <c r="G381" s="1" t="str">
        <f t="shared" si="5"/>
        <v>Hawaii2022</v>
      </c>
      <c r="H381">
        <f>+INDEX(Sheet1!C:C, MATCH(Hoja1!G381, Sheet1!D:D, 0))</f>
        <v>103153.1</v>
      </c>
      <c r="I381">
        <f>+INDEX(Sheet1!G:G, MATCH(Hoja1!G381, Sheet1!I:I, 0))</f>
        <v>99373</v>
      </c>
      <c r="J381" s="2">
        <f>+INDEX(Sheet1!H:H, MATCH(Hoja1!G381, Sheet1!I:I, 0))</f>
        <v>2.9377337186778128E-2</v>
      </c>
      <c r="K381" s="2">
        <f>+INDEX(Sheet1!L:L, MATCH(Hoja1!G381,Sheet1!M:M, 0))</f>
        <v>8.8000000000000007</v>
      </c>
    </row>
    <row r="382" spans="1:11" ht="16" x14ac:dyDescent="0.25">
      <c r="A382" t="s">
        <v>349</v>
      </c>
      <c r="B382">
        <v>9</v>
      </c>
      <c r="C382">
        <v>2022</v>
      </c>
      <c r="D382" t="s">
        <v>143</v>
      </c>
      <c r="E382">
        <v>3.5</v>
      </c>
      <c r="F382">
        <v>1439399</v>
      </c>
      <c r="G382" s="1" t="str">
        <f t="shared" si="5"/>
        <v>Hawaii2022</v>
      </c>
      <c r="H382">
        <f>+INDEX(Sheet1!C:C, MATCH(Hoja1!G382, Sheet1!D:D, 0))</f>
        <v>103153.1</v>
      </c>
      <c r="I382">
        <f>+INDEX(Sheet1!G:G, MATCH(Hoja1!G382, Sheet1!I:I, 0))</f>
        <v>99373</v>
      </c>
      <c r="J382" s="2">
        <f>+INDEX(Sheet1!H:H, MATCH(Hoja1!G382, Sheet1!I:I, 0))</f>
        <v>2.9377337186778128E-2</v>
      </c>
      <c r="K382" s="2">
        <f>+INDEX(Sheet1!L:L, MATCH(Hoja1!G382,Sheet1!M:M, 0))</f>
        <v>8.8000000000000007</v>
      </c>
    </row>
    <row r="383" spans="1:11" ht="16" x14ac:dyDescent="0.25">
      <c r="A383" t="s">
        <v>349</v>
      </c>
      <c r="B383">
        <v>10</v>
      </c>
      <c r="C383">
        <v>2022</v>
      </c>
      <c r="D383" t="s">
        <v>363</v>
      </c>
      <c r="E383">
        <v>3.4</v>
      </c>
      <c r="F383">
        <v>1439399</v>
      </c>
      <c r="G383" s="1" t="str">
        <f t="shared" si="5"/>
        <v>Hawaii2022</v>
      </c>
      <c r="H383">
        <f>+INDEX(Sheet1!C:C, MATCH(Hoja1!G383, Sheet1!D:D, 0))</f>
        <v>103153.1</v>
      </c>
      <c r="I383">
        <f>+INDEX(Sheet1!G:G, MATCH(Hoja1!G383, Sheet1!I:I, 0))</f>
        <v>99373</v>
      </c>
      <c r="J383" s="2">
        <f>+INDEX(Sheet1!H:H, MATCH(Hoja1!G383, Sheet1!I:I, 0))</f>
        <v>2.9377337186778128E-2</v>
      </c>
      <c r="K383" s="2">
        <f>+INDEX(Sheet1!L:L, MATCH(Hoja1!G383,Sheet1!M:M, 0))</f>
        <v>8.8000000000000007</v>
      </c>
    </row>
    <row r="384" spans="1:11" ht="16" x14ac:dyDescent="0.25">
      <c r="A384" t="s">
        <v>349</v>
      </c>
      <c r="B384">
        <v>11</v>
      </c>
      <c r="C384">
        <v>2022</v>
      </c>
      <c r="D384" t="s">
        <v>364</v>
      </c>
      <c r="E384">
        <v>3.4</v>
      </c>
      <c r="F384">
        <v>1439399</v>
      </c>
      <c r="G384" s="1" t="str">
        <f t="shared" si="5"/>
        <v>Hawaii2022</v>
      </c>
      <c r="H384">
        <f>+INDEX(Sheet1!C:C, MATCH(Hoja1!G384, Sheet1!D:D, 0))</f>
        <v>103153.1</v>
      </c>
      <c r="I384">
        <f>+INDEX(Sheet1!G:G, MATCH(Hoja1!G384, Sheet1!I:I, 0))</f>
        <v>99373</v>
      </c>
      <c r="J384" s="2">
        <f>+INDEX(Sheet1!H:H, MATCH(Hoja1!G384, Sheet1!I:I, 0))</f>
        <v>2.9377337186778128E-2</v>
      </c>
      <c r="K384" s="2">
        <f>+INDEX(Sheet1!L:L, MATCH(Hoja1!G384,Sheet1!M:M, 0))</f>
        <v>8.8000000000000007</v>
      </c>
    </row>
    <row r="385" spans="1:11" ht="16" x14ac:dyDescent="0.25">
      <c r="A385" t="s">
        <v>349</v>
      </c>
      <c r="B385">
        <v>12</v>
      </c>
      <c r="C385">
        <v>2022</v>
      </c>
      <c r="D385" t="s">
        <v>365</v>
      </c>
      <c r="E385">
        <v>2.9</v>
      </c>
      <c r="F385">
        <v>1439399</v>
      </c>
      <c r="G385" s="1" t="str">
        <f t="shared" si="5"/>
        <v>Hawaii2022</v>
      </c>
      <c r="H385">
        <f>+INDEX(Sheet1!C:C, MATCH(Hoja1!G385, Sheet1!D:D, 0))</f>
        <v>103153.1</v>
      </c>
      <c r="I385">
        <f>+INDEX(Sheet1!G:G, MATCH(Hoja1!G385, Sheet1!I:I, 0))</f>
        <v>99373</v>
      </c>
      <c r="J385" s="2">
        <f>+INDEX(Sheet1!H:H, MATCH(Hoja1!G385, Sheet1!I:I, 0))</f>
        <v>2.9377337186778128E-2</v>
      </c>
      <c r="K385" s="2">
        <f>+INDEX(Sheet1!L:L, MATCH(Hoja1!G385,Sheet1!M:M, 0))</f>
        <v>8.8000000000000007</v>
      </c>
    </row>
    <row r="386" spans="1:11" ht="16" x14ac:dyDescent="0.25">
      <c r="A386" t="s">
        <v>349</v>
      </c>
      <c r="B386">
        <v>1</v>
      </c>
      <c r="C386">
        <v>2023</v>
      </c>
      <c r="D386" t="s">
        <v>366</v>
      </c>
      <c r="E386">
        <v>3</v>
      </c>
      <c r="F386">
        <v>1435138</v>
      </c>
      <c r="G386" s="1" t="str">
        <f t="shared" si="5"/>
        <v>Hawaii2023</v>
      </c>
      <c r="H386">
        <f>+INDEX(Sheet1!C:C, MATCH(Hoja1!G386, Sheet1!D:D, 0))</f>
        <v>110265.4</v>
      </c>
      <c r="I386">
        <f>+INDEX(Sheet1!G:G, MATCH(Hoja1!G386, Sheet1!I:I, 0))</f>
        <v>101347</v>
      </c>
      <c r="J386" s="2">
        <f>+INDEX(Sheet1!H:H, MATCH(Hoja1!G386, Sheet1!I:I, 0))</f>
        <v>1.9864550733096516E-2</v>
      </c>
      <c r="K386" s="2">
        <f>+INDEX(Sheet1!L:L, MATCH(Hoja1!G386,Sheet1!M:M, 0))</f>
        <v>8.1999999999999993</v>
      </c>
    </row>
    <row r="387" spans="1:11" ht="16" x14ac:dyDescent="0.25">
      <c r="A387" t="s">
        <v>349</v>
      </c>
      <c r="B387">
        <v>2</v>
      </c>
      <c r="C387">
        <v>2023</v>
      </c>
      <c r="D387" t="s">
        <v>367</v>
      </c>
      <c r="E387">
        <v>2.9</v>
      </c>
      <c r="F387">
        <v>1435138</v>
      </c>
      <c r="G387" s="1" t="str">
        <f t="shared" ref="G387:G450" si="6">+A387&amp;C387</f>
        <v>Hawaii2023</v>
      </c>
      <c r="H387">
        <f>+INDEX(Sheet1!C:C, MATCH(Hoja1!G387, Sheet1!D:D, 0))</f>
        <v>110265.4</v>
      </c>
      <c r="I387">
        <f>+INDEX(Sheet1!G:G, MATCH(Hoja1!G387, Sheet1!I:I, 0))</f>
        <v>101347</v>
      </c>
      <c r="J387" s="2">
        <f>+INDEX(Sheet1!H:H, MATCH(Hoja1!G387, Sheet1!I:I, 0))</f>
        <v>1.9864550733096516E-2</v>
      </c>
      <c r="K387" s="2">
        <f>+INDEX(Sheet1!L:L, MATCH(Hoja1!G387,Sheet1!M:M, 0))</f>
        <v>8.1999999999999993</v>
      </c>
    </row>
    <row r="388" spans="1:11" ht="16" x14ac:dyDescent="0.25">
      <c r="A388" t="s">
        <v>349</v>
      </c>
      <c r="B388">
        <v>3</v>
      </c>
      <c r="C388">
        <v>2023</v>
      </c>
      <c r="D388" t="s">
        <v>368</v>
      </c>
      <c r="E388">
        <v>2.8</v>
      </c>
      <c r="F388">
        <v>1435138</v>
      </c>
      <c r="G388" s="1" t="str">
        <f t="shared" si="6"/>
        <v>Hawaii2023</v>
      </c>
      <c r="H388">
        <f>+INDEX(Sheet1!C:C, MATCH(Hoja1!G388, Sheet1!D:D, 0))</f>
        <v>110265.4</v>
      </c>
      <c r="I388">
        <f>+INDEX(Sheet1!G:G, MATCH(Hoja1!G388, Sheet1!I:I, 0))</f>
        <v>101347</v>
      </c>
      <c r="J388" s="2">
        <f>+INDEX(Sheet1!H:H, MATCH(Hoja1!G388, Sheet1!I:I, 0))</f>
        <v>1.9864550733096516E-2</v>
      </c>
      <c r="K388" s="2">
        <f>+INDEX(Sheet1!L:L, MATCH(Hoja1!G388,Sheet1!M:M, 0))</f>
        <v>8.1999999999999993</v>
      </c>
    </row>
    <row r="389" spans="1:11" ht="16" x14ac:dyDescent="0.25">
      <c r="A389" t="s">
        <v>349</v>
      </c>
      <c r="B389">
        <v>4</v>
      </c>
      <c r="C389">
        <v>2023</v>
      </c>
      <c r="D389" t="s">
        <v>369</v>
      </c>
      <c r="E389">
        <v>2.5</v>
      </c>
      <c r="F389">
        <v>1435138</v>
      </c>
      <c r="G389" s="1" t="str">
        <f t="shared" si="6"/>
        <v>Hawaii2023</v>
      </c>
      <c r="H389">
        <f>+INDEX(Sheet1!C:C, MATCH(Hoja1!G389, Sheet1!D:D, 0))</f>
        <v>110265.4</v>
      </c>
      <c r="I389">
        <f>+INDEX(Sheet1!G:G, MATCH(Hoja1!G389, Sheet1!I:I, 0))</f>
        <v>101347</v>
      </c>
      <c r="J389" s="2">
        <f>+INDEX(Sheet1!H:H, MATCH(Hoja1!G389, Sheet1!I:I, 0))</f>
        <v>1.9864550733096516E-2</v>
      </c>
      <c r="K389" s="2">
        <f>+INDEX(Sheet1!L:L, MATCH(Hoja1!G389,Sheet1!M:M, 0))</f>
        <v>8.1999999999999993</v>
      </c>
    </row>
    <row r="390" spans="1:11" ht="16" x14ac:dyDescent="0.25">
      <c r="A390" t="s">
        <v>349</v>
      </c>
      <c r="B390">
        <v>5</v>
      </c>
      <c r="C390">
        <v>2023</v>
      </c>
      <c r="D390" t="s">
        <v>370</v>
      </c>
      <c r="E390">
        <v>2.7</v>
      </c>
      <c r="F390">
        <v>1435138</v>
      </c>
      <c r="G390" s="1" t="str">
        <f t="shared" si="6"/>
        <v>Hawaii2023</v>
      </c>
      <c r="H390">
        <f>+INDEX(Sheet1!C:C, MATCH(Hoja1!G390, Sheet1!D:D, 0))</f>
        <v>110265.4</v>
      </c>
      <c r="I390">
        <f>+INDEX(Sheet1!G:G, MATCH(Hoja1!G390, Sheet1!I:I, 0))</f>
        <v>101347</v>
      </c>
      <c r="J390" s="2">
        <f>+INDEX(Sheet1!H:H, MATCH(Hoja1!G390, Sheet1!I:I, 0))</f>
        <v>1.9864550733096516E-2</v>
      </c>
      <c r="K390" s="2">
        <f>+INDEX(Sheet1!L:L, MATCH(Hoja1!G390,Sheet1!M:M, 0))</f>
        <v>8.1999999999999993</v>
      </c>
    </row>
    <row r="391" spans="1:11" ht="16" x14ac:dyDescent="0.25">
      <c r="A391" t="s">
        <v>349</v>
      </c>
      <c r="B391">
        <v>6</v>
      </c>
      <c r="C391">
        <v>2023</v>
      </c>
      <c r="D391" t="s">
        <v>371</v>
      </c>
      <c r="E391">
        <v>3.4</v>
      </c>
      <c r="F391">
        <v>1435138</v>
      </c>
      <c r="G391" s="1" t="str">
        <f t="shared" si="6"/>
        <v>Hawaii2023</v>
      </c>
      <c r="H391">
        <f>+INDEX(Sheet1!C:C, MATCH(Hoja1!G391, Sheet1!D:D, 0))</f>
        <v>110265.4</v>
      </c>
      <c r="I391">
        <f>+INDEX(Sheet1!G:G, MATCH(Hoja1!G391, Sheet1!I:I, 0))</f>
        <v>101347</v>
      </c>
      <c r="J391" s="2">
        <f>+INDEX(Sheet1!H:H, MATCH(Hoja1!G391, Sheet1!I:I, 0))</f>
        <v>1.9864550733096516E-2</v>
      </c>
      <c r="K391" s="2">
        <f>+INDEX(Sheet1!L:L, MATCH(Hoja1!G391,Sheet1!M:M, 0))</f>
        <v>8.1999999999999993</v>
      </c>
    </row>
    <row r="392" spans="1:11" ht="16" x14ac:dyDescent="0.25">
      <c r="A392" t="s">
        <v>349</v>
      </c>
      <c r="B392">
        <v>7</v>
      </c>
      <c r="C392">
        <v>2023</v>
      </c>
      <c r="D392" t="s">
        <v>372</v>
      </c>
      <c r="E392">
        <v>2.8</v>
      </c>
      <c r="F392">
        <v>1435138</v>
      </c>
      <c r="G392" s="1" t="str">
        <f t="shared" si="6"/>
        <v>Hawaii2023</v>
      </c>
      <c r="H392">
        <f>+INDEX(Sheet1!C:C, MATCH(Hoja1!G392, Sheet1!D:D, 0))</f>
        <v>110265.4</v>
      </c>
      <c r="I392">
        <f>+INDEX(Sheet1!G:G, MATCH(Hoja1!G392, Sheet1!I:I, 0))</f>
        <v>101347</v>
      </c>
      <c r="J392" s="2">
        <f>+INDEX(Sheet1!H:H, MATCH(Hoja1!G392, Sheet1!I:I, 0))</f>
        <v>1.9864550733096516E-2</v>
      </c>
      <c r="K392" s="2">
        <f>+INDEX(Sheet1!L:L, MATCH(Hoja1!G392,Sheet1!M:M, 0))</f>
        <v>8.1999999999999993</v>
      </c>
    </row>
    <row r="393" spans="1:11" ht="16" x14ac:dyDescent="0.25">
      <c r="A393" t="s">
        <v>349</v>
      </c>
      <c r="B393">
        <v>8</v>
      </c>
      <c r="C393">
        <v>2023</v>
      </c>
      <c r="D393" t="s">
        <v>373</v>
      </c>
      <c r="E393">
        <v>3.1</v>
      </c>
      <c r="F393">
        <v>1435138</v>
      </c>
      <c r="G393" s="1" t="str">
        <f t="shared" si="6"/>
        <v>Hawaii2023</v>
      </c>
      <c r="H393">
        <f>+INDEX(Sheet1!C:C, MATCH(Hoja1!G393, Sheet1!D:D, 0))</f>
        <v>110265.4</v>
      </c>
      <c r="I393">
        <f>+INDEX(Sheet1!G:G, MATCH(Hoja1!G393, Sheet1!I:I, 0))</f>
        <v>101347</v>
      </c>
      <c r="J393" s="2">
        <f>+INDEX(Sheet1!H:H, MATCH(Hoja1!G393, Sheet1!I:I, 0))</f>
        <v>1.9864550733096516E-2</v>
      </c>
      <c r="K393" s="2">
        <f>+INDEX(Sheet1!L:L, MATCH(Hoja1!G393,Sheet1!M:M, 0))</f>
        <v>8.1999999999999993</v>
      </c>
    </row>
    <row r="394" spans="1:11" ht="16" x14ac:dyDescent="0.25">
      <c r="A394" t="s">
        <v>349</v>
      </c>
      <c r="B394">
        <v>9</v>
      </c>
      <c r="C394">
        <v>2023</v>
      </c>
      <c r="D394" t="s">
        <v>374</v>
      </c>
      <c r="E394">
        <v>3.3</v>
      </c>
      <c r="F394">
        <v>1435138</v>
      </c>
      <c r="G394" s="1" t="str">
        <f t="shared" si="6"/>
        <v>Hawaii2023</v>
      </c>
      <c r="H394">
        <f>+INDEX(Sheet1!C:C, MATCH(Hoja1!G394, Sheet1!D:D, 0))</f>
        <v>110265.4</v>
      </c>
      <c r="I394">
        <f>+INDEX(Sheet1!G:G, MATCH(Hoja1!G394, Sheet1!I:I, 0))</f>
        <v>101347</v>
      </c>
      <c r="J394" s="2">
        <f>+INDEX(Sheet1!H:H, MATCH(Hoja1!G394, Sheet1!I:I, 0))</f>
        <v>1.9864550733096516E-2</v>
      </c>
      <c r="K394" s="2">
        <f>+INDEX(Sheet1!L:L, MATCH(Hoja1!G394,Sheet1!M:M, 0))</f>
        <v>8.1999999999999993</v>
      </c>
    </row>
    <row r="395" spans="1:11" ht="16" x14ac:dyDescent="0.25">
      <c r="A395" t="s">
        <v>349</v>
      </c>
      <c r="B395">
        <v>10</v>
      </c>
      <c r="C395">
        <v>2023</v>
      </c>
      <c r="D395" t="s">
        <v>375</v>
      </c>
      <c r="E395">
        <v>3.1</v>
      </c>
      <c r="F395">
        <v>1435138</v>
      </c>
      <c r="G395" s="1" t="str">
        <f t="shared" si="6"/>
        <v>Hawaii2023</v>
      </c>
      <c r="H395">
        <f>+INDEX(Sheet1!C:C, MATCH(Hoja1!G395, Sheet1!D:D, 0))</f>
        <v>110265.4</v>
      </c>
      <c r="I395">
        <f>+INDEX(Sheet1!G:G, MATCH(Hoja1!G395, Sheet1!I:I, 0))</f>
        <v>101347</v>
      </c>
      <c r="J395" s="2">
        <f>+INDEX(Sheet1!H:H, MATCH(Hoja1!G395, Sheet1!I:I, 0))</f>
        <v>1.9864550733096516E-2</v>
      </c>
      <c r="K395" s="2">
        <f>+INDEX(Sheet1!L:L, MATCH(Hoja1!G395,Sheet1!M:M, 0))</f>
        <v>8.1999999999999993</v>
      </c>
    </row>
    <row r="396" spans="1:11" ht="16" x14ac:dyDescent="0.25">
      <c r="A396" t="s">
        <v>349</v>
      </c>
      <c r="B396">
        <v>11</v>
      </c>
      <c r="C396">
        <v>2023</v>
      </c>
      <c r="D396" t="s">
        <v>50</v>
      </c>
      <c r="E396">
        <v>3</v>
      </c>
      <c r="F396">
        <v>1435138</v>
      </c>
      <c r="G396" s="1" t="str">
        <f t="shared" si="6"/>
        <v>Hawaii2023</v>
      </c>
      <c r="H396">
        <f>+INDEX(Sheet1!C:C, MATCH(Hoja1!G396, Sheet1!D:D, 0))</f>
        <v>110265.4</v>
      </c>
      <c r="I396">
        <f>+INDEX(Sheet1!G:G, MATCH(Hoja1!G396, Sheet1!I:I, 0))</f>
        <v>101347</v>
      </c>
      <c r="J396" s="2">
        <f>+INDEX(Sheet1!H:H, MATCH(Hoja1!G396, Sheet1!I:I, 0))</f>
        <v>1.9864550733096516E-2</v>
      </c>
      <c r="K396" s="2">
        <f>+INDEX(Sheet1!L:L, MATCH(Hoja1!G396,Sheet1!M:M, 0))</f>
        <v>8.1999999999999993</v>
      </c>
    </row>
    <row r="397" spans="1:11" ht="16" x14ac:dyDescent="0.25">
      <c r="A397" t="s">
        <v>349</v>
      </c>
      <c r="B397">
        <v>12</v>
      </c>
      <c r="C397">
        <v>2023</v>
      </c>
      <c r="D397" t="s">
        <v>376</v>
      </c>
      <c r="E397">
        <v>2.9</v>
      </c>
      <c r="F397">
        <v>1435138</v>
      </c>
      <c r="G397" s="1" t="str">
        <f t="shared" si="6"/>
        <v>Hawaii2023</v>
      </c>
      <c r="H397">
        <f>+INDEX(Sheet1!C:C, MATCH(Hoja1!G397, Sheet1!D:D, 0))</f>
        <v>110265.4</v>
      </c>
      <c r="I397">
        <f>+INDEX(Sheet1!G:G, MATCH(Hoja1!G397, Sheet1!I:I, 0))</f>
        <v>101347</v>
      </c>
      <c r="J397" s="2">
        <f>+INDEX(Sheet1!H:H, MATCH(Hoja1!G397, Sheet1!I:I, 0))</f>
        <v>1.9864550733096516E-2</v>
      </c>
      <c r="K397" s="2">
        <f>+INDEX(Sheet1!L:L, MATCH(Hoja1!G397,Sheet1!M:M, 0))</f>
        <v>8.1999999999999993</v>
      </c>
    </row>
    <row r="398" spans="1:11" ht="16" x14ac:dyDescent="0.25">
      <c r="A398" t="s">
        <v>377</v>
      </c>
      <c r="B398">
        <v>1</v>
      </c>
      <c r="C398">
        <v>2021</v>
      </c>
      <c r="D398" t="s">
        <v>378</v>
      </c>
      <c r="E398">
        <v>4.0999999999999996</v>
      </c>
      <c r="F398">
        <v>1904537</v>
      </c>
      <c r="G398" s="1" t="str">
        <f t="shared" si="6"/>
        <v>Idaho2021</v>
      </c>
      <c r="H398">
        <f>+INDEX(Sheet1!C:C, MATCH(Hoja1!G398, Sheet1!D:D, 0))</f>
        <v>99839.1</v>
      </c>
      <c r="I398">
        <f>+INDEX(Sheet1!G:G, MATCH(Hoja1!G398, Sheet1!I:I, 0))</f>
        <v>121985</v>
      </c>
      <c r="J398" s="2">
        <f>+INDEX(Sheet1!H:H, MATCH(Hoja1!G398, Sheet1!I:I, 0))</f>
        <v>7.5591648150107577E-2</v>
      </c>
      <c r="K398" s="2">
        <f>+INDEX(Sheet1!L:L, MATCH(Hoja1!G398,Sheet1!M:M, 0))</f>
        <v>9.3000000000000007</v>
      </c>
    </row>
    <row r="399" spans="1:11" ht="16" x14ac:dyDescent="0.25">
      <c r="A399" t="s">
        <v>377</v>
      </c>
      <c r="B399">
        <v>2</v>
      </c>
      <c r="C399">
        <v>2021</v>
      </c>
      <c r="D399" t="s">
        <v>379</v>
      </c>
      <c r="E399">
        <v>4.0999999999999996</v>
      </c>
      <c r="F399">
        <v>1904537</v>
      </c>
      <c r="G399" s="1" t="str">
        <f t="shared" si="6"/>
        <v>Idaho2021</v>
      </c>
      <c r="H399">
        <f>+INDEX(Sheet1!C:C, MATCH(Hoja1!G399, Sheet1!D:D, 0))</f>
        <v>99839.1</v>
      </c>
      <c r="I399">
        <f>+INDEX(Sheet1!G:G, MATCH(Hoja1!G399, Sheet1!I:I, 0))</f>
        <v>121985</v>
      </c>
      <c r="J399" s="2">
        <f>+INDEX(Sheet1!H:H, MATCH(Hoja1!G399, Sheet1!I:I, 0))</f>
        <v>7.5591648150107577E-2</v>
      </c>
      <c r="K399" s="2">
        <f>+INDEX(Sheet1!L:L, MATCH(Hoja1!G399,Sheet1!M:M, 0))</f>
        <v>9.3000000000000007</v>
      </c>
    </row>
    <row r="400" spans="1:11" ht="16" x14ac:dyDescent="0.25">
      <c r="A400" t="s">
        <v>377</v>
      </c>
      <c r="B400">
        <v>3</v>
      </c>
      <c r="C400">
        <v>2021</v>
      </c>
      <c r="D400" t="s">
        <v>380</v>
      </c>
      <c r="E400">
        <v>4</v>
      </c>
      <c r="F400">
        <v>1904537</v>
      </c>
      <c r="G400" s="1" t="str">
        <f t="shared" si="6"/>
        <v>Idaho2021</v>
      </c>
      <c r="H400">
        <f>+INDEX(Sheet1!C:C, MATCH(Hoja1!G400, Sheet1!D:D, 0))</f>
        <v>99839.1</v>
      </c>
      <c r="I400">
        <f>+INDEX(Sheet1!G:G, MATCH(Hoja1!G400, Sheet1!I:I, 0))</f>
        <v>121985</v>
      </c>
      <c r="J400" s="2">
        <f>+INDEX(Sheet1!H:H, MATCH(Hoja1!G400, Sheet1!I:I, 0))</f>
        <v>7.5591648150107577E-2</v>
      </c>
      <c r="K400" s="2">
        <f>+INDEX(Sheet1!L:L, MATCH(Hoja1!G400,Sheet1!M:M, 0))</f>
        <v>9.3000000000000007</v>
      </c>
    </row>
    <row r="401" spans="1:11" ht="16" x14ac:dyDescent="0.25">
      <c r="A401" t="s">
        <v>377</v>
      </c>
      <c r="B401">
        <v>4</v>
      </c>
      <c r="C401">
        <v>2021</v>
      </c>
      <c r="D401" t="s">
        <v>381</v>
      </c>
      <c r="E401">
        <v>3.9</v>
      </c>
      <c r="F401">
        <v>1904537</v>
      </c>
      <c r="G401" s="1" t="str">
        <f t="shared" si="6"/>
        <v>Idaho2021</v>
      </c>
      <c r="H401">
        <f>+INDEX(Sheet1!C:C, MATCH(Hoja1!G401, Sheet1!D:D, 0))</f>
        <v>99839.1</v>
      </c>
      <c r="I401">
        <f>+INDEX(Sheet1!G:G, MATCH(Hoja1!G401, Sheet1!I:I, 0))</f>
        <v>121985</v>
      </c>
      <c r="J401" s="2">
        <f>+INDEX(Sheet1!H:H, MATCH(Hoja1!G401, Sheet1!I:I, 0))</f>
        <v>7.5591648150107577E-2</v>
      </c>
      <c r="K401" s="2">
        <f>+INDEX(Sheet1!L:L, MATCH(Hoja1!G401,Sheet1!M:M, 0))</f>
        <v>9.3000000000000007</v>
      </c>
    </row>
    <row r="402" spans="1:11" ht="16" x14ac:dyDescent="0.25">
      <c r="A402" t="s">
        <v>377</v>
      </c>
      <c r="B402">
        <v>5</v>
      </c>
      <c r="C402">
        <v>2021</v>
      </c>
      <c r="D402" t="s">
        <v>382</v>
      </c>
      <c r="E402">
        <v>3.7</v>
      </c>
      <c r="F402">
        <v>1904537</v>
      </c>
      <c r="G402" s="1" t="str">
        <f t="shared" si="6"/>
        <v>Idaho2021</v>
      </c>
      <c r="H402">
        <f>+INDEX(Sheet1!C:C, MATCH(Hoja1!G402, Sheet1!D:D, 0))</f>
        <v>99839.1</v>
      </c>
      <c r="I402">
        <f>+INDEX(Sheet1!G:G, MATCH(Hoja1!G402, Sheet1!I:I, 0))</f>
        <v>121985</v>
      </c>
      <c r="J402" s="2">
        <f>+INDEX(Sheet1!H:H, MATCH(Hoja1!G402, Sheet1!I:I, 0))</f>
        <v>7.5591648150107577E-2</v>
      </c>
      <c r="K402" s="2">
        <f>+INDEX(Sheet1!L:L, MATCH(Hoja1!G402,Sheet1!M:M, 0))</f>
        <v>9.3000000000000007</v>
      </c>
    </row>
    <row r="403" spans="1:11" ht="16" x14ac:dyDescent="0.25">
      <c r="A403" t="s">
        <v>377</v>
      </c>
      <c r="B403">
        <v>6</v>
      </c>
      <c r="C403">
        <v>2021</v>
      </c>
      <c r="D403" t="s">
        <v>155</v>
      </c>
      <c r="E403">
        <v>3.6</v>
      </c>
      <c r="F403">
        <v>1904537</v>
      </c>
      <c r="G403" s="1" t="str">
        <f t="shared" si="6"/>
        <v>Idaho2021</v>
      </c>
      <c r="H403">
        <f>+INDEX(Sheet1!C:C, MATCH(Hoja1!G403, Sheet1!D:D, 0))</f>
        <v>99839.1</v>
      </c>
      <c r="I403">
        <f>+INDEX(Sheet1!G:G, MATCH(Hoja1!G403, Sheet1!I:I, 0))</f>
        <v>121985</v>
      </c>
      <c r="J403" s="2">
        <f>+INDEX(Sheet1!H:H, MATCH(Hoja1!G403, Sheet1!I:I, 0))</f>
        <v>7.5591648150107577E-2</v>
      </c>
      <c r="K403" s="2">
        <f>+INDEX(Sheet1!L:L, MATCH(Hoja1!G403,Sheet1!M:M, 0))</f>
        <v>9.3000000000000007</v>
      </c>
    </row>
    <row r="404" spans="1:11" ht="16" x14ac:dyDescent="0.25">
      <c r="A404" t="s">
        <v>377</v>
      </c>
      <c r="B404">
        <v>7</v>
      </c>
      <c r="C404">
        <v>2021</v>
      </c>
      <c r="D404" t="s">
        <v>383</v>
      </c>
      <c r="E404">
        <v>3.5</v>
      </c>
      <c r="F404">
        <v>1904537</v>
      </c>
      <c r="G404" s="1" t="str">
        <f t="shared" si="6"/>
        <v>Idaho2021</v>
      </c>
      <c r="H404">
        <f>+INDEX(Sheet1!C:C, MATCH(Hoja1!G404, Sheet1!D:D, 0))</f>
        <v>99839.1</v>
      </c>
      <c r="I404">
        <f>+INDEX(Sheet1!G:G, MATCH(Hoja1!G404, Sheet1!I:I, 0))</f>
        <v>121985</v>
      </c>
      <c r="J404" s="2">
        <f>+INDEX(Sheet1!H:H, MATCH(Hoja1!G404, Sheet1!I:I, 0))</f>
        <v>7.5591648150107577E-2</v>
      </c>
      <c r="K404" s="2">
        <f>+INDEX(Sheet1!L:L, MATCH(Hoja1!G404,Sheet1!M:M, 0))</f>
        <v>9.3000000000000007</v>
      </c>
    </row>
    <row r="405" spans="1:11" ht="16" x14ac:dyDescent="0.25">
      <c r="A405" t="s">
        <v>377</v>
      </c>
      <c r="B405">
        <v>8</v>
      </c>
      <c r="C405">
        <v>2021</v>
      </c>
      <c r="D405" t="s">
        <v>384</v>
      </c>
      <c r="E405">
        <v>3.4</v>
      </c>
      <c r="F405">
        <v>1904537</v>
      </c>
      <c r="G405" s="1" t="str">
        <f t="shared" si="6"/>
        <v>Idaho2021</v>
      </c>
      <c r="H405">
        <f>+INDEX(Sheet1!C:C, MATCH(Hoja1!G405, Sheet1!D:D, 0))</f>
        <v>99839.1</v>
      </c>
      <c r="I405">
        <f>+INDEX(Sheet1!G:G, MATCH(Hoja1!G405, Sheet1!I:I, 0))</f>
        <v>121985</v>
      </c>
      <c r="J405" s="2">
        <f>+INDEX(Sheet1!H:H, MATCH(Hoja1!G405, Sheet1!I:I, 0))</f>
        <v>7.5591648150107577E-2</v>
      </c>
      <c r="K405" s="2">
        <f>+INDEX(Sheet1!L:L, MATCH(Hoja1!G405,Sheet1!M:M, 0))</f>
        <v>9.3000000000000007</v>
      </c>
    </row>
    <row r="406" spans="1:11" ht="16" x14ac:dyDescent="0.25">
      <c r="A406" t="s">
        <v>377</v>
      </c>
      <c r="B406">
        <v>9</v>
      </c>
      <c r="C406">
        <v>2021</v>
      </c>
      <c r="D406" t="s">
        <v>385</v>
      </c>
      <c r="E406">
        <v>3.3</v>
      </c>
      <c r="F406">
        <v>1904537</v>
      </c>
      <c r="G406" s="1" t="str">
        <f t="shared" si="6"/>
        <v>Idaho2021</v>
      </c>
      <c r="H406">
        <f>+INDEX(Sheet1!C:C, MATCH(Hoja1!G406, Sheet1!D:D, 0))</f>
        <v>99839.1</v>
      </c>
      <c r="I406">
        <f>+INDEX(Sheet1!G:G, MATCH(Hoja1!G406, Sheet1!I:I, 0))</f>
        <v>121985</v>
      </c>
      <c r="J406" s="2">
        <f>+INDEX(Sheet1!H:H, MATCH(Hoja1!G406, Sheet1!I:I, 0))</f>
        <v>7.5591648150107577E-2</v>
      </c>
      <c r="K406" s="2">
        <f>+INDEX(Sheet1!L:L, MATCH(Hoja1!G406,Sheet1!M:M, 0))</f>
        <v>9.3000000000000007</v>
      </c>
    </row>
    <row r="407" spans="1:11" ht="16" x14ac:dyDescent="0.25">
      <c r="A407" t="s">
        <v>377</v>
      </c>
      <c r="B407">
        <v>10</v>
      </c>
      <c r="C407">
        <v>2021</v>
      </c>
      <c r="D407" t="s">
        <v>386</v>
      </c>
      <c r="E407">
        <v>3.1</v>
      </c>
      <c r="F407">
        <v>1904537</v>
      </c>
      <c r="G407" s="1" t="str">
        <f t="shared" si="6"/>
        <v>Idaho2021</v>
      </c>
      <c r="H407">
        <f>+INDEX(Sheet1!C:C, MATCH(Hoja1!G407, Sheet1!D:D, 0))</f>
        <v>99839.1</v>
      </c>
      <c r="I407">
        <f>+INDEX(Sheet1!G:G, MATCH(Hoja1!G407, Sheet1!I:I, 0))</f>
        <v>121985</v>
      </c>
      <c r="J407" s="2">
        <f>+INDEX(Sheet1!H:H, MATCH(Hoja1!G407, Sheet1!I:I, 0))</f>
        <v>7.5591648150107577E-2</v>
      </c>
      <c r="K407" s="2">
        <f>+INDEX(Sheet1!L:L, MATCH(Hoja1!G407,Sheet1!M:M, 0))</f>
        <v>9.3000000000000007</v>
      </c>
    </row>
    <row r="408" spans="1:11" ht="16" x14ac:dyDescent="0.25">
      <c r="A408" t="s">
        <v>377</v>
      </c>
      <c r="B408">
        <v>11</v>
      </c>
      <c r="C408">
        <v>2021</v>
      </c>
      <c r="D408" t="s">
        <v>387</v>
      </c>
      <c r="E408">
        <v>3</v>
      </c>
      <c r="F408">
        <v>1904537</v>
      </c>
      <c r="G408" s="1" t="str">
        <f t="shared" si="6"/>
        <v>Idaho2021</v>
      </c>
      <c r="H408">
        <f>+INDEX(Sheet1!C:C, MATCH(Hoja1!G408, Sheet1!D:D, 0))</f>
        <v>99839.1</v>
      </c>
      <c r="I408">
        <f>+INDEX(Sheet1!G:G, MATCH(Hoja1!G408, Sheet1!I:I, 0))</f>
        <v>121985</v>
      </c>
      <c r="J408" s="2">
        <f>+INDEX(Sheet1!H:H, MATCH(Hoja1!G408, Sheet1!I:I, 0))</f>
        <v>7.5591648150107577E-2</v>
      </c>
      <c r="K408" s="2">
        <f>+INDEX(Sheet1!L:L, MATCH(Hoja1!G408,Sheet1!M:M, 0))</f>
        <v>9.3000000000000007</v>
      </c>
    </row>
    <row r="409" spans="1:11" ht="16" x14ac:dyDescent="0.25">
      <c r="A409" t="s">
        <v>377</v>
      </c>
      <c r="B409">
        <v>12</v>
      </c>
      <c r="C409">
        <v>2021</v>
      </c>
      <c r="D409" t="s">
        <v>386</v>
      </c>
      <c r="E409">
        <v>2.9</v>
      </c>
      <c r="F409">
        <v>1904537</v>
      </c>
      <c r="G409" s="1" t="str">
        <f t="shared" si="6"/>
        <v>Idaho2021</v>
      </c>
      <c r="H409">
        <f>+INDEX(Sheet1!C:C, MATCH(Hoja1!G409, Sheet1!D:D, 0))</f>
        <v>99839.1</v>
      </c>
      <c r="I409">
        <f>+INDEX(Sheet1!G:G, MATCH(Hoja1!G409, Sheet1!I:I, 0))</f>
        <v>121985</v>
      </c>
      <c r="J409" s="2">
        <f>+INDEX(Sheet1!H:H, MATCH(Hoja1!G409, Sheet1!I:I, 0))</f>
        <v>7.5591648150107577E-2</v>
      </c>
      <c r="K409" s="2">
        <f>+INDEX(Sheet1!L:L, MATCH(Hoja1!G409,Sheet1!M:M, 0))</f>
        <v>9.3000000000000007</v>
      </c>
    </row>
    <row r="410" spans="1:11" ht="16" x14ac:dyDescent="0.25">
      <c r="A410" t="s">
        <v>377</v>
      </c>
      <c r="B410">
        <v>1</v>
      </c>
      <c r="C410">
        <v>2022</v>
      </c>
      <c r="D410" t="s">
        <v>388</v>
      </c>
      <c r="E410">
        <v>2.8</v>
      </c>
      <c r="F410">
        <v>1938996</v>
      </c>
      <c r="G410" s="1" t="str">
        <f t="shared" si="6"/>
        <v>Idaho2022</v>
      </c>
      <c r="H410">
        <f>+INDEX(Sheet1!C:C, MATCH(Hoja1!G410, Sheet1!D:D, 0))</f>
        <v>112290.1</v>
      </c>
      <c r="I410">
        <f>+INDEX(Sheet1!G:G, MATCH(Hoja1!G410, Sheet1!I:I, 0))</f>
        <v>127379</v>
      </c>
      <c r="J410" s="2">
        <f>+INDEX(Sheet1!H:H, MATCH(Hoja1!G410, Sheet1!I:I, 0))</f>
        <v>4.4218551461245238E-2</v>
      </c>
      <c r="K410" s="2">
        <f>+INDEX(Sheet1!L:L, MATCH(Hoja1!G410,Sheet1!M:M, 0))</f>
        <v>8.1999999999999993</v>
      </c>
    </row>
    <row r="411" spans="1:11" ht="16" x14ac:dyDescent="0.25">
      <c r="A411" t="s">
        <v>377</v>
      </c>
      <c r="B411">
        <v>2</v>
      </c>
      <c r="C411">
        <v>2022</v>
      </c>
      <c r="D411" t="s">
        <v>389</v>
      </c>
      <c r="E411">
        <v>2.7</v>
      </c>
      <c r="F411">
        <v>1938996</v>
      </c>
      <c r="G411" s="1" t="str">
        <f t="shared" si="6"/>
        <v>Idaho2022</v>
      </c>
      <c r="H411">
        <f>+INDEX(Sheet1!C:C, MATCH(Hoja1!G411, Sheet1!D:D, 0))</f>
        <v>112290.1</v>
      </c>
      <c r="I411">
        <f>+INDEX(Sheet1!G:G, MATCH(Hoja1!G411, Sheet1!I:I, 0))</f>
        <v>127379</v>
      </c>
      <c r="J411" s="2">
        <f>+INDEX(Sheet1!H:H, MATCH(Hoja1!G411, Sheet1!I:I, 0))</f>
        <v>4.4218551461245238E-2</v>
      </c>
      <c r="K411" s="2">
        <f>+INDEX(Sheet1!L:L, MATCH(Hoja1!G411,Sheet1!M:M, 0))</f>
        <v>8.1999999999999993</v>
      </c>
    </row>
    <row r="412" spans="1:11" ht="16" x14ac:dyDescent="0.25">
      <c r="A412" t="s">
        <v>377</v>
      </c>
      <c r="B412">
        <v>3</v>
      </c>
      <c r="C412">
        <v>2022</v>
      </c>
      <c r="D412" t="s">
        <v>390</v>
      </c>
      <c r="E412">
        <v>2.7</v>
      </c>
      <c r="F412">
        <v>1938996</v>
      </c>
      <c r="G412" s="1" t="str">
        <f t="shared" si="6"/>
        <v>Idaho2022</v>
      </c>
      <c r="H412">
        <f>+INDEX(Sheet1!C:C, MATCH(Hoja1!G412, Sheet1!D:D, 0))</f>
        <v>112290.1</v>
      </c>
      <c r="I412">
        <f>+INDEX(Sheet1!G:G, MATCH(Hoja1!G412, Sheet1!I:I, 0))</f>
        <v>127379</v>
      </c>
      <c r="J412" s="2">
        <f>+INDEX(Sheet1!H:H, MATCH(Hoja1!G412, Sheet1!I:I, 0))</f>
        <v>4.4218551461245238E-2</v>
      </c>
      <c r="K412" s="2">
        <f>+INDEX(Sheet1!L:L, MATCH(Hoja1!G412,Sheet1!M:M, 0))</f>
        <v>8.1999999999999993</v>
      </c>
    </row>
    <row r="413" spans="1:11" ht="16" x14ac:dyDescent="0.25">
      <c r="A413" t="s">
        <v>377</v>
      </c>
      <c r="B413">
        <v>4</v>
      </c>
      <c r="C413">
        <v>2022</v>
      </c>
      <c r="D413" t="s">
        <v>391</v>
      </c>
      <c r="E413">
        <v>2.7</v>
      </c>
      <c r="F413">
        <v>1938996</v>
      </c>
      <c r="G413" s="1" t="str">
        <f t="shared" si="6"/>
        <v>Idaho2022</v>
      </c>
      <c r="H413">
        <f>+INDEX(Sheet1!C:C, MATCH(Hoja1!G413, Sheet1!D:D, 0))</f>
        <v>112290.1</v>
      </c>
      <c r="I413">
        <f>+INDEX(Sheet1!G:G, MATCH(Hoja1!G413, Sheet1!I:I, 0))</f>
        <v>127379</v>
      </c>
      <c r="J413" s="2">
        <f>+INDEX(Sheet1!H:H, MATCH(Hoja1!G413, Sheet1!I:I, 0))</f>
        <v>4.4218551461245238E-2</v>
      </c>
      <c r="K413" s="2">
        <f>+INDEX(Sheet1!L:L, MATCH(Hoja1!G413,Sheet1!M:M, 0))</f>
        <v>8.1999999999999993</v>
      </c>
    </row>
    <row r="414" spans="1:11" ht="16" x14ac:dyDescent="0.25">
      <c r="A414" t="s">
        <v>377</v>
      </c>
      <c r="B414">
        <v>5</v>
      </c>
      <c r="C414">
        <v>2022</v>
      </c>
      <c r="D414" t="s">
        <v>392</v>
      </c>
      <c r="E414">
        <v>2.7</v>
      </c>
      <c r="F414">
        <v>1938996</v>
      </c>
      <c r="G414" s="1" t="str">
        <f t="shared" si="6"/>
        <v>Idaho2022</v>
      </c>
      <c r="H414">
        <f>+INDEX(Sheet1!C:C, MATCH(Hoja1!G414, Sheet1!D:D, 0))</f>
        <v>112290.1</v>
      </c>
      <c r="I414">
        <f>+INDEX(Sheet1!G:G, MATCH(Hoja1!G414, Sheet1!I:I, 0))</f>
        <v>127379</v>
      </c>
      <c r="J414" s="2">
        <f>+INDEX(Sheet1!H:H, MATCH(Hoja1!G414, Sheet1!I:I, 0))</f>
        <v>4.4218551461245238E-2</v>
      </c>
      <c r="K414" s="2">
        <f>+INDEX(Sheet1!L:L, MATCH(Hoja1!G414,Sheet1!M:M, 0))</f>
        <v>8.1999999999999993</v>
      </c>
    </row>
    <row r="415" spans="1:11" ht="16" x14ac:dyDescent="0.25">
      <c r="A415" t="s">
        <v>377</v>
      </c>
      <c r="B415">
        <v>6</v>
      </c>
      <c r="C415">
        <v>2022</v>
      </c>
      <c r="D415" t="s">
        <v>393</v>
      </c>
      <c r="E415">
        <v>2.8</v>
      </c>
      <c r="F415">
        <v>1938996</v>
      </c>
      <c r="G415" s="1" t="str">
        <f t="shared" si="6"/>
        <v>Idaho2022</v>
      </c>
      <c r="H415">
        <f>+INDEX(Sheet1!C:C, MATCH(Hoja1!G415, Sheet1!D:D, 0))</f>
        <v>112290.1</v>
      </c>
      <c r="I415">
        <f>+INDEX(Sheet1!G:G, MATCH(Hoja1!G415, Sheet1!I:I, 0))</f>
        <v>127379</v>
      </c>
      <c r="J415" s="2">
        <f>+INDEX(Sheet1!H:H, MATCH(Hoja1!G415, Sheet1!I:I, 0))</f>
        <v>4.4218551461245238E-2</v>
      </c>
      <c r="K415" s="2">
        <f>+INDEX(Sheet1!L:L, MATCH(Hoja1!G415,Sheet1!M:M, 0))</f>
        <v>8.1999999999999993</v>
      </c>
    </row>
    <row r="416" spans="1:11" ht="16" x14ac:dyDescent="0.25">
      <c r="A416" t="s">
        <v>377</v>
      </c>
      <c r="B416">
        <v>7</v>
      </c>
      <c r="C416">
        <v>2022</v>
      </c>
      <c r="D416" t="s">
        <v>367</v>
      </c>
      <c r="E416">
        <v>2.9</v>
      </c>
      <c r="F416">
        <v>1938996</v>
      </c>
      <c r="G416" s="1" t="str">
        <f t="shared" si="6"/>
        <v>Idaho2022</v>
      </c>
      <c r="H416">
        <f>+INDEX(Sheet1!C:C, MATCH(Hoja1!G416, Sheet1!D:D, 0))</f>
        <v>112290.1</v>
      </c>
      <c r="I416">
        <f>+INDEX(Sheet1!G:G, MATCH(Hoja1!G416, Sheet1!I:I, 0))</f>
        <v>127379</v>
      </c>
      <c r="J416" s="2">
        <f>+INDEX(Sheet1!H:H, MATCH(Hoja1!G416, Sheet1!I:I, 0))</f>
        <v>4.4218551461245238E-2</v>
      </c>
      <c r="K416" s="2">
        <f>+INDEX(Sheet1!L:L, MATCH(Hoja1!G416,Sheet1!M:M, 0))</f>
        <v>8.1999999999999993</v>
      </c>
    </row>
    <row r="417" spans="1:11" ht="16" x14ac:dyDescent="0.25">
      <c r="A417" t="s">
        <v>377</v>
      </c>
      <c r="B417">
        <v>8</v>
      </c>
      <c r="C417">
        <v>2022</v>
      </c>
      <c r="D417" t="s">
        <v>394</v>
      </c>
      <c r="E417">
        <v>2.9</v>
      </c>
      <c r="F417">
        <v>1938996</v>
      </c>
      <c r="G417" s="1" t="str">
        <f t="shared" si="6"/>
        <v>Idaho2022</v>
      </c>
      <c r="H417">
        <f>+INDEX(Sheet1!C:C, MATCH(Hoja1!G417, Sheet1!D:D, 0))</f>
        <v>112290.1</v>
      </c>
      <c r="I417">
        <f>+INDEX(Sheet1!G:G, MATCH(Hoja1!G417, Sheet1!I:I, 0))</f>
        <v>127379</v>
      </c>
      <c r="J417" s="2">
        <f>+INDEX(Sheet1!H:H, MATCH(Hoja1!G417, Sheet1!I:I, 0))</f>
        <v>4.4218551461245238E-2</v>
      </c>
      <c r="K417" s="2">
        <f>+INDEX(Sheet1!L:L, MATCH(Hoja1!G417,Sheet1!M:M, 0))</f>
        <v>8.1999999999999993</v>
      </c>
    </row>
    <row r="418" spans="1:11" ht="16" x14ac:dyDescent="0.25">
      <c r="A418" t="s">
        <v>377</v>
      </c>
      <c r="B418">
        <v>9</v>
      </c>
      <c r="C418">
        <v>2022</v>
      </c>
      <c r="D418" t="s">
        <v>395</v>
      </c>
      <c r="E418">
        <v>3</v>
      </c>
      <c r="F418">
        <v>1938996</v>
      </c>
      <c r="G418" s="1" t="str">
        <f t="shared" si="6"/>
        <v>Idaho2022</v>
      </c>
      <c r="H418">
        <f>+INDEX(Sheet1!C:C, MATCH(Hoja1!G418, Sheet1!D:D, 0))</f>
        <v>112290.1</v>
      </c>
      <c r="I418">
        <f>+INDEX(Sheet1!G:G, MATCH(Hoja1!G418, Sheet1!I:I, 0))</f>
        <v>127379</v>
      </c>
      <c r="J418" s="2">
        <f>+INDEX(Sheet1!H:H, MATCH(Hoja1!G418, Sheet1!I:I, 0))</f>
        <v>4.4218551461245238E-2</v>
      </c>
      <c r="K418" s="2">
        <f>+INDEX(Sheet1!L:L, MATCH(Hoja1!G418,Sheet1!M:M, 0))</f>
        <v>8.1999999999999993</v>
      </c>
    </row>
    <row r="419" spans="1:11" ht="16" x14ac:dyDescent="0.25">
      <c r="A419" t="s">
        <v>377</v>
      </c>
      <c r="B419">
        <v>10</v>
      </c>
      <c r="C419">
        <v>2022</v>
      </c>
      <c r="D419" t="s">
        <v>396</v>
      </c>
      <c r="E419">
        <v>3</v>
      </c>
      <c r="F419">
        <v>1938996</v>
      </c>
      <c r="G419" s="1" t="str">
        <f t="shared" si="6"/>
        <v>Idaho2022</v>
      </c>
      <c r="H419">
        <f>+INDEX(Sheet1!C:C, MATCH(Hoja1!G419, Sheet1!D:D, 0))</f>
        <v>112290.1</v>
      </c>
      <c r="I419">
        <f>+INDEX(Sheet1!G:G, MATCH(Hoja1!G419, Sheet1!I:I, 0))</f>
        <v>127379</v>
      </c>
      <c r="J419" s="2">
        <f>+INDEX(Sheet1!H:H, MATCH(Hoja1!G419, Sheet1!I:I, 0))</f>
        <v>4.4218551461245238E-2</v>
      </c>
      <c r="K419" s="2">
        <f>+INDEX(Sheet1!L:L, MATCH(Hoja1!G419,Sheet1!M:M, 0))</f>
        <v>8.1999999999999993</v>
      </c>
    </row>
    <row r="420" spans="1:11" ht="16" x14ac:dyDescent="0.25">
      <c r="A420" t="s">
        <v>377</v>
      </c>
      <c r="B420">
        <v>11</v>
      </c>
      <c r="C420">
        <v>2022</v>
      </c>
      <c r="D420" t="s">
        <v>397</v>
      </c>
      <c r="E420">
        <v>3</v>
      </c>
      <c r="F420">
        <v>1938996</v>
      </c>
      <c r="G420" s="1" t="str">
        <f t="shared" si="6"/>
        <v>Idaho2022</v>
      </c>
      <c r="H420">
        <f>+INDEX(Sheet1!C:C, MATCH(Hoja1!G420, Sheet1!D:D, 0))</f>
        <v>112290.1</v>
      </c>
      <c r="I420">
        <f>+INDEX(Sheet1!G:G, MATCH(Hoja1!G420, Sheet1!I:I, 0))</f>
        <v>127379</v>
      </c>
      <c r="J420" s="2">
        <f>+INDEX(Sheet1!H:H, MATCH(Hoja1!G420, Sheet1!I:I, 0))</f>
        <v>4.4218551461245238E-2</v>
      </c>
      <c r="K420" s="2">
        <f>+INDEX(Sheet1!L:L, MATCH(Hoja1!G420,Sheet1!M:M, 0))</f>
        <v>8.1999999999999993</v>
      </c>
    </row>
    <row r="421" spans="1:11" ht="16" x14ac:dyDescent="0.25">
      <c r="A421" t="s">
        <v>377</v>
      </c>
      <c r="B421">
        <v>12</v>
      </c>
      <c r="C421">
        <v>2022</v>
      </c>
      <c r="D421" t="s">
        <v>398</v>
      </c>
      <c r="E421">
        <v>2.9</v>
      </c>
      <c r="F421">
        <v>1938996</v>
      </c>
      <c r="G421" s="1" t="str">
        <f t="shared" si="6"/>
        <v>Idaho2022</v>
      </c>
      <c r="H421">
        <f>+INDEX(Sheet1!C:C, MATCH(Hoja1!G421, Sheet1!D:D, 0))</f>
        <v>112290.1</v>
      </c>
      <c r="I421">
        <f>+INDEX(Sheet1!G:G, MATCH(Hoja1!G421, Sheet1!I:I, 0))</f>
        <v>127379</v>
      </c>
      <c r="J421" s="2">
        <f>+INDEX(Sheet1!H:H, MATCH(Hoja1!G421, Sheet1!I:I, 0))</f>
        <v>4.4218551461245238E-2</v>
      </c>
      <c r="K421" s="2">
        <f>+INDEX(Sheet1!L:L, MATCH(Hoja1!G421,Sheet1!M:M, 0))</f>
        <v>8.1999999999999993</v>
      </c>
    </row>
    <row r="422" spans="1:11" ht="16" x14ac:dyDescent="0.25">
      <c r="A422" t="s">
        <v>377</v>
      </c>
      <c r="B422">
        <v>1</v>
      </c>
      <c r="C422">
        <v>2023</v>
      </c>
      <c r="D422" t="s">
        <v>399</v>
      </c>
      <c r="E422">
        <v>2.9</v>
      </c>
      <c r="F422">
        <v>1964726</v>
      </c>
      <c r="G422" s="1" t="str">
        <f t="shared" si="6"/>
        <v>Idaho2023</v>
      </c>
      <c r="H422">
        <f>+INDEX(Sheet1!C:C, MATCH(Hoja1!G422, Sheet1!D:D, 0))</f>
        <v>120958.3</v>
      </c>
      <c r="I422">
        <f>+INDEX(Sheet1!G:G, MATCH(Hoja1!G422, Sheet1!I:I, 0))</f>
        <v>131484</v>
      </c>
      <c r="J422" s="2">
        <f>+INDEX(Sheet1!H:H, MATCH(Hoja1!G422, Sheet1!I:I, 0))</f>
        <v>3.2226662165663097E-2</v>
      </c>
      <c r="K422" s="2">
        <f>+INDEX(Sheet1!L:L, MATCH(Hoja1!G422,Sheet1!M:M, 0))</f>
        <v>9.1</v>
      </c>
    </row>
    <row r="423" spans="1:11" ht="16" x14ac:dyDescent="0.25">
      <c r="A423" t="s">
        <v>377</v>
      </c>
      <c r="B423">
        <v>2</v>
      </c>
      <c r="C423">
        <v>2023</v>
      </c>
      <c r="D423" t="s">
        <v>400</v>
      </c>
      <c r="E423">
        <v>2.9</v>
      </c>
      <c r="F423">
        <v>1964726</v>
      </c>
      <c r="G423" s="1" t="str">
        <f t="shared" si="6"/>
        <v>Idaho2023</v>
      </c>
      <c r="H423">
        <f>+INDEX(Sheet1!C:C, MATCH(Hoja1!G423, Sheet1!D:D, 0))</f>
        <v>120958.3</v>
      </c>
      <c r="I423">
        <f>+INDEX(Sheet1!G:G, MATCH(Hoja1!G423, Sheet1!I:I, 0))</f>
        <v>131484</v>
      </c>
      <c r="J423" s="2">
        <f>+INDEX(Sheet1!H:H, MATCH(Hoja1!G423, Sheet1!I:I, 0))</f>
        <v>3.2226662165663097E-2</v>
      </c>
      <c r="K423" s="2">
        <f>+INDEX(Sheet1!L:L, MATCH(Hoja1!G423,Sheet1!M:M, 0))</f>
        <v>9.1</v>
      </c>
    </row>
    <row r="424" spans="1:11" ht="16" x14ac:dyDescent="0.25">
      <c r="A424" t="s">
        <v>377</v>
      </c>
      <c r="B424">
        <v>3</v>
      </c>
      <c r="C424">
        <v>2023</v>
      </c>
      <c r="D424" t="s">
        <v>401</v>
      </c>
      <c r="E424">
        <v>2.9</v>
      </c>
      <c r="F424">
        <v>1964726</v>
      </c>
      <c r="G424" s="1" t="str">
        <f t="shared" si="6"/>
        <v>Idaho2023</v>
      </c>
      <c r="H424">
        <f>+INDEX(Sheet1!C:C, MATCH(Hoja1!G424, Sheet1!D:D, 0))</f>
        <v>120958.3</v>
      </c>
      <c r="I424">
        <f>+INDEX(Sheet1!G:G, MATCH(Hoja1!G424, Sheet1!I:I, 0))</f>
        <v>131484</v>
      </c>
      <c r="J424" s="2">
        <f>+INDEX(Sheet1!H:H, MATCH(Hoja1!G424, Sheet1!I:I, 0))</f>
        <v>3.2226662165663097E-2</v>
      </c>
      <c r="K424" s="2">
        <f>+INDEX(Sheet1!L:L, MATCH(Hoja1!G424,Sheet1!M:M, 0))</f>
        <v>9.1</v>
      </c>
    </row>
    <row r="425" spans="1:11" ht="16" x14ac:dyDescent="0.25">
      <c r="A425" t="s">
        <v>377</v>
      </c>
      <c r="B425">
        <v>4</v>
      </c>
      <c r="C425">
        <v>2023</v>
      </c>
      <c r="D425" t="s">
        <v>402</v>
      </c>
      <c r="E425">
        <v>2.9</v>
      </c>
      <c r="F425">
        <v>1964726</v>
      </c>
      <c r="G425" s="1" t="str">
        <f t="shared" si="6"/>
        <v>Idaho2023</v>
      </c>
      <c r="H425">
        <f>+INDEX(Sheet1!C:C, MATCH(Hoja1!G425, Sheet1!D:D, 0))</f>
        <v>120958.3</v>
      </c>
      <c r="I425">
        <f>+INDEX(Sheet1!G:G, MATCH(Hoja1!G425, Sheet1!I:I, 0))</f>
        <v>131484</v>
      </c>
      <c r="J425" s="2">
        <f>+INDEX(Sheet1!H:H, MATCH(Hoja1!G425, Sheet1!I:I, 0))</f>
        <v>3.2226662165663097E-2</v>
      </c>
      <c r="K425" s="2">
        <f>+INDEX(Sheet1!L:L, MATCH(Hoja1!G425,Sheet1!M:M, 0))</f>
        <v>9.1</v>
      </c>
    </row>
    <row r="426" spans="1:11" ht="16" x14ac:dyDescent="0.25">
      <c r="A426" t="s">
        <v>377</v>
      </c>
      <c r="B426">
        <v>5</v>
      </c>
      <c r="C426">
        <v>2023</v>
      </c>
      <c r="D426" t="s">
        <v>403</v>
      </c>
      <c r="E426">
        <v>2.9</v>
      </c>
      <c r="F426">
        <v>1964726</v>
      </c>
      <c r="G426" s="1" t="str">
        <f t="shared" si="6"/>
        <v>Idaho2023</v>
      </c>
      <c r="H426">
        <f>+INDEX(Sheet1!C:C, MATCH(Hoja1!G426, Sheet1!D:D, 0))</f>
        <v>120958.3</v>
      </c>
      <c r="I426">
        <f>+INDEX(Sheet1!G:G, MATCH(Hoja1!G426, Sheet1!I:I, 0))</f>
        <v>131484</v>
      </c>
      <c r="J426" s="2">
        <f>+INDEX(Sheet1!H:H, MATCH(Hoja1!G426, Sheet1!I:I, 0))</f>
        <v>3.2226662165663097E-2</v>
      </c>
      <c r="K426" s="2">
        <f>+INDEX(Sheet1!L:L, MATCH(Hoja1!G426,Sheet1!M:M, 0))</f>
        <v>9.1</v>
      </c>
    </row>
    <row r="427" spans="1:11" ht="16" x14ac:dyDescent="0.25">
      <c r="A427" t="s">
        <v>377</v>
      </c>
      <c r="B427">
        <v>6</v>
      </c>
      <c r="C427">
        <v>2023</v>
      </c>
      <c r="D427" t="s">
        <v>357</v>
      </c>
      <c r="E427">
        <v>3</v>
      </c>
      <c r="F427">
        <v>1964726</v>
      </c>
      <c r="G427" s="1" t="str">
        <f t="shared" si="6"/>
        <v>Idaho2023</v>
      </c>
      <c r="H427">
        <f>+INDEX(Sheet1!C:C, MATCH(Hoja1!G427, Sheet1!D:D, 0))</f>
        <v>120958.3</v>
      </c>
      <c r="I427">
        <f>+INDEX(Sheet1!G:G, MATCH(Hoja1!G427, Sheet1!I:I, 0))</f>
        <v>131484</v>
      </c>
      <c r="J427" s="2">
        <f>+INDEX(Sheet1!H:H, MATCH(Hoja1!G427, Sheet1!I:I, 0))</f>
        <v>3.2226662165663097E-2</v>
      </c>
      <c r="K427" s="2">
        <f>+INDEX(Sheet1!L:L, MATCH(Hoja1!G427,Sheet1!M:M, 0))</f>
        <v>9.1</v>
      </c>
    </row>
    <row r="428" spans="1:11" ht="16" x14ac:dyDescent="0.25">
      <c r="A428" t="s">
        <v>377</v>
      </c>
      <c r="B428">
        <v>7</v>
      </c>
      <c r="C428">
        <v>2023</v>
      </c>
      <c r="D428" t="s">
        <v>404</v>
      </c>
      <c r="E428">
        <v>3.1</v>
      </c>
      <c r="F428">
        <v>1964726</v>
      </c>
      <c r="G428" s="1" t="str">
        <f t="shared" si="6"/>
        <v>Idaho2023</v>
      </c>
      <c r="H428">
        <f>+INDEX(Sheet1!C:C, MATCH(Hoja1!G428, Sheet1!D:D, 0))</f>
        <v>120958.3</v>
      </c>
      <c r="I428">
        <f>+INDEX(Sheet1!G:G, MATCH(Hoja1!G428, Sheet1!I:I, 0))</f>
        <v>131484</v>
      </c>
      <c r="J428" s="2">
        <f>+INDEX(Sheet1!H:H, MATCH(Hoja1!G428, Sheet1!I:I, 0))</f>
        <v>3.2226662165663097E-2</v>
      </c>
      <c r="K428" s="2">
        <f>+INDEX(Sheet1!L:L, MATCH(Hoja1!G428,Sheet1!M:M, 0))</f>
        <v>9.1</v>
      </c>
    </row>
    <row r="429" spans="1:11" ht="16" x14ac:dyDescent="0.25">
      <c r="A429" t="s">
        <v>377</v>
      </c>
      <c r="B429">
        <v>8</v>
      </c>
      <c r="C429">
        <v>2023</v>
      </c>
      <c r="D429" t="s">
        <v>405</v>
      </c>
      <c r="E429">
        <v>3.2</v>
      </c>
      <c r="F429">
        <v>1964726</v>
      </c>
      <c r="G429" s="1" t="str">
        <f t="shared" si="6"/>
        <v>Idaho2023</v>
      </c>
      <c r="H429">
        <f>+INDEX(Sheet1!C:C, MATCH(Hoja1!G429, Sheet1!D:D, 0))</f>
        <v>120958.3</v>
      </c>
      <c r="I429">
        <f>+INDEX(Sheet1!G:G, MATCH(Hoja1!G429, Sheet1!I:I, 0))</f>
        <v>131484</v>
      </c>
      <c r="J429" s="2">
        <f>+INDEX(Sheet1!H:H, MATCH(Hoja1!G429, Sheet1!I:I, 0))</f>
        <v>3.2226662165663097E-2</v>
      </c>
      <c r="K429" s="2">
        <f>+INDEX(Sheet1!L:L, MATCH(Hoja1!G429,Sheet1!M:M, 0))</f>
        <v>9.1</v>
      </c>
    </row>
    <row r="430" spans="1:11" ht="16" x14ac:dyDescent="0.25">
      <c r="A430" t="s">
        <v>377</v>
      </c>
      <c r="B430">
        <v>9</v>
      </c>
      <c r="C430">
        <v>2023</v>
      </c>
      <c r="D430" t="s">
        <v>394</v>
      </c>
      <c r="E430">
        <v>3.3</v>
      </c>
      <c r="F430">
        <v>1964726</v>
      </c>
      <c r="G430" s="1" t="str">
        <f t="shared" si="6"/>
        <v>Idaho2023</v>
      </c>
      <c r="H430">
        <f>+INDEX(Sheet1!C:C, MATCH(Hoja1!G430, Sheet1!D:D, 0))</f>
        <v>120958.3</v>
      </c>
      <c r="I430">
        <f>+INDEX(Sheet1!G:G, MATCH(Hoja1!G430, Sheet1!I:I, 0))</f>
        <v>131484</v>
      </c>
      <c r="J430" s="2">
        <f>+INDEX(Sheet1!H:H, MATCH(Hoja1!G430, Sheet1!I:I, 0))</f>
        <v>3.2226662165663097E-2</v>
      </c>
      <c r="K430" s="2">
        <f>+INDEX(Sheet1!L:L, MATCH(Hoja1!G430,Sheet1!M:M, 0))</f>
        <v>9.1</v>
      </c>
    </row>
    <row r="431" spans="1:11" ht="16" x14ac:dyDescent="0.25">
      <c r="A431" t="s">
        <v>377</v>
      </c>
      <c r="B431">
        <v>10</v>
      </c>
      <c r="C431">
        <v>2023</v>
      </c>
      <c r="D431" t="s">
        <v>353</v>
      </c>
      <c r="E431">
        <v>3.3</v>
      </c>
      <c r="F431">
        <v>1964726</v>
      </c>
      <c r="G431" s="1" t="str">
        <f t="shared" si="6"/>
        <v>Idaho2023</v>
      </c>
      <c r="H431">
        <f>+INDEX(Sheet1!C:C, MATCH(Hoja1!G431, Sheet1!D:D, 0))</f>
        <v>120958.3</v>
      </c>
      <c r="I431">
        <f>+INDEX(Sheet1!G:G, MATCH(Hoja1!G431, Sheet1!I:I, 0))</f>
        <v>131484</v>
      </c>
      <c r="J431" s="2">
        <f>+INDEX(Sheet1!H:H, MATCH(Hoja1!G431, Sheet1!I:I, 0))</f>
        <v>3.2226662165663097E-2</v>
      </c>
      <c r="K431" s="2">
        <f>+INDEX(Sheet1!L:L, MATCH(Hoja1!G431,Sheet1!M:M, 0))</f>
        <v>9.1</v>
      </c>
    </row>
    <row r="432" spans="1:11" ht="16" x14ac:dyDescent="0.25">
      <c r="A432" t="s">
        <v>377</v>
      </c>
      <c r="B432">
        <v>11</v>
      </c>
      <c r="C432">
        <v>2023</v>
      </c>
      <c r="D432" t="s">
        <v>406</v>
      </c>
      <c r="E432">
        <v>3.3</v>
      </c>
      <c r="F432">
        <v>1964726</v>
      </c>
      <c r="G432" s="1" t="str">
        <f t="shared" si="6"/>
        <v>Idaho2023</v>
      </c>
      <c r="H432">
        <f>+INDEX(Sheet1!C:C, MATCH(Hoja1!G432, Sheet1!D:D, 0))</f>
        <v>120958.3</v>
      </c>
      <c r="I432">
        <f>+INDEX(Sheet1!G:G, MATCH(Hoja1!G432, Sheet1!I:I, 0))</f>
        <v>131484</v>
      </c>
      <c r="J432" s="2">
        <f>+INDEX(Sheet1!H:H, MATCH(Hoja1!G432, Sheet1!I:I, 0))</f>
        <v>3.2226662165663097E-2</v>
      </c>
      <c r="K432" s="2">
        <f>+INDEX(Sheet1!L:L, MATCH(Hoja1!G432,Sheet1!M:M, 0))</f>
        <v>9.1</v>
      </c>
    </row>
    <row r="433" spans="1:11" ht="16" x14ac:dyDescent="0.25">
      <c r="A433" t="s">
        <v>377</v>
      </c>
      <c r="B433">
        <v>12</v>
      </c>
      <c r="C433">
        <v>2023</v>
      </c>
      <c r="D433" t="s">
        <v>407</v>
      </c>
      <c r="E433">
        <v>3.3</v>
      </c>
      <c r="F433">
        <v>1964726</v>
      </c>
      <c r="G433" s="1" t="str">
        <f t="shared" si="6"/>
        <v>Idaho2023</v>
      </c>
      <c r="H433">
        <f>+INDEX(Sheet1!C:C, MATCH(Hoja1!G433, Sheet1!D:D, 0))</f>
        <v>120958.3</v>
      </c>
      <c r="I433">
        <f>+INDEX(Sheet1!G:G, MATCH(Hoja1!G433, Sheet1!I:I, 0))</f>
        <v>131484</v>
      </c>
      <c r="J433" s="2">
        <f>+INDEX(Sheet1!H:H, MATCH(Hoja1!G433, Sheet1!I:I, 0))</f>
        <v>3.2226662165663097E-2</v>
      </c>
      <c r="K433" s="2">
        <f>+INDEX(Sheet1!L:L, MATCH(Hoja1!G433,Sheet1!M:M, 0))</f>
        <v>9.1</v>
      </c>
    </row>
    <row r="434" spans="1:11" ht="16" x14ac:dyDescent="0.25">
      <c r="A434" t="s">
        <v>408</v>
      </c>
      <c r="B434">
        <v>1</v>
      </c>
      <c r="C434">
        <v>2021</v>
      </c>
      <c r="D434" t="s">
        <v>328</v>
      </c>
      <c r="E434">
        <v>7.8</v>
      </c>
      <c r="F434">
        <v>12690341</v>
      </c>
      <c r="G434" s="1" t="str">
        <f t="shared" si="6"/>
        <v>Illinois2021</v>
      </c>
      <c r="H434">
        <f>+INDEX(Sheet1!C:C, MATCH(Hoja1!G434, Sheet1!D:D, 0))</f>
        <v>946776.2</v>
      </c>
      <c r="I434">
        <f>+INDEX(Sheet1!G:G, MATCH(Hoja1!G434, Sheet1!I:I, 0))</f>
        <v>102769</v>
      </c>
      <c r="J434" s="2">
        <f>+INDEX(Sheet1!H:H, MATCH(Hoja1!G434, Sheet1!I:I, 0))</f>
        <v>5.6392175405774903E-2</v>
      </c>
      <c r="K434" s="2">
        <f>+INDEX(Sheet1!L:L, MATCH(Hoja1!G434,Sheet1!M:M, 0))</f>
        <v>10.7</v>
      </c>
    </row>
    <row r="435" spans="1:11" ht="16" x14ac:dyDescent="0.25">
      <c r="A435" t="s">
        <v>408</v>
      </c>
      <c r="B435">
        <v>2</v>
      </c>
      <c r="C435">
        <v>2021</v>
      </c>
      <c r="D435" t="s">
        <v>409</v>
      </c>
      <c r="E435">
        <v>7.3</v>
      </c>
      <c r="F435">
        <v>12690341</v>
      </c>
      <c r="G435" s="1" t="str">
        <f t="shared" si="6"/>
        <v>Illinois2021</v>
      </c>
      <c r="H435">
        <f>+INDEX(Sheet1!C:C, MATCH(Hoja1!G435, Sheet1!D:D, 0))</f>
        <v>946776.2</v>
      </c>
      <c r="I435">
        <f>+INDEX(Sheet1!G:G, MATCH(Hoja1!G435, Sheet1!I:I, 0))</f>
        <v>102769</v>
      </c>
      <c r="J435" s="2">
        <f>+INDEX(Sheet1!H:H, MATCH(Hoja1!G435, Sheet1!I:I, 0))</f>
        <v>5.6392175405774903E-2</v>
      </c>
      <c r="K435" s="2">
        <f>+INDEX(Sheet1!L:L, MATCH(Hoja1!G435,Sheet1!M:M, 0))</f>
        <v>10.7</v>
      </c>
    </row>
    <row r="436" spans="1:11" ht="16" x14ac:dyDescent="0.25">
      <c r="A436" t="s">
        <v>408</v>
      </c>
      <c r="B436">
        <v>3</v>
      </c>
      <c r="C436">
        <v>2021</v>
      </c>
      <c r="D436" t="s">
        <v>410</v>
      </c>
      <c r="E436">
        <v>6.7</v>
      </c>
      <c r="F436">
        <v>12690341</v>
      </c>
      <c r="G436" s="1" t="str">
        <f t="shared" si="6"/>
        <v>Illinois2021</v>
      </c>
      <c r="H436">
        <f>+INDEX(Sheet1!C:C, MATCH(Hoja1!G436, Sheet1!D:D, 0))</f>
        <v>946776.2</v>
      </c>
      <c r="I436">
        <f>+INDEX(Sheet1!G:G, MATCH(Hoja1!G436, Sheet1!I:I, 0))</f>
        <v>102769</v>
      </c>
      <c r="J436" s="2">
        <f>+INDEX(Sheet1!H:H, MATCH(Hoja1!G436, Sheet1!I:I, 0))</f>
        <v>5.6392175405774903E-2</v>
      </c>
      <c r="K436" s="2">
        <f>+INDEX(Sheet1!L:L, MATCH(Hoja1!G436,Sheet1!M:M, 0))</f>
        <v>10.7</v>
      </c>
    </row>
    <row r="437" spans="1:11" ht="16" x14ac:dyDescent="0.25">
      <c r="A437" t="s">
        <v>408</v>
      </c>
      <c r="B437">
        <v>4</v>
      </c>
      <c r="C437">
        <v>2021</v>
      </c>
      <c r="D437" t="s">
        <v>411</v>
      </c>
      <c r="E437">
        <v>6.5</v>
      </c>
      <c r="F437">
        <v>12690341</v>
      </c>
      <c r="G437" s="1" t="str">
        <f t="shared" si="6"/>
        <v>Illinois2021</v>
      </c>
      <c r="H437">
        <f>+INDEX(Sheet1!C:C, MATCH(Hoja1!G437, Sheet1!D:D, 0))</f>
        <v>946776.2</v>
      </c>
      <c r="I437">
        <f>+INDEX(Sheet1!G:G, MATCH(Hoja1!G437, Sheet1!I:I, 0))</f>
        <v>102769</v>
      </c>
      <c r="J437" s="2">
        <f>+INDEX(Sheet1!H:H, MATCH(Hoja1!G437, Sheet1!I:I, 0))</f>
        <v>5.6392175405774903E-2</v>
      </c>
      <c r="K437" s="2">
        <f>+INDEX(Sheet1!L:L, MATCH(Hoja1!G437,Sheet1!M:M, 0))</f>
        <v>10.7</v>
      </c>
    </row>
    <row r="438" spans="1:11" ht="16" x14ac:dyDescent="0.25">
      <c r="A438" t="s">
        <v>408</v>
      </c>
      <c r="B438">
        <v>5</v>
      </c>
      <c r="C438">
        <v>2021</v>
      </c>
      <c r="D438" t="s">
        <v>158</v>
      </c>
      <c r="E438">
        <v>6.2</v>
      </c>
      <c r="F438">
        <v>12690341</v>
      </c>
      <c r="G438" s="1" t="str">
        <f t="shared" si="6"/>
        <v>Illinois2021</v>
      </c>
      <c r="H438">
        <f>+INDEX(Sheet1!C:C, MATCH(Hoja1!G438, Sheet1!D:D, 0))</f>
        <v>946776.2</v>
      </c>
      <c r="I438">
        <f>+INDEX(Sheet1!G:G, MATCH(Hoja1!G438, Sheet1!I:I, 0))</f>
        <v>102769</v>
      </c>
      <c r="J438" s="2">
        <f>+INDEX(Sheet1!H:H, MATCH(Hoja1!G438, Sheet1!I:I, 0))</f>
        <v>5.6392175405774903E-2</v>
      </c>
      <c r="K438" s="2">
        <f>+INDEX(Sheet1!L:L, MATCH(Hoja1!G438,Sheet1!M:M, 0))</f>
        <v>10.7</v>
      </c>
    </row>
    <row r="439" spans="1:11" ht="16" x14ac:dyDescent="0.25">
      <c r="A439" t="s">
        <v>408</v>
      </c>
      <c r="B439">
        <v>6</v>
      </c>
      <c r="C439">
        <v>2021</v>
      </c>
      <c r="D439" t="s">
        <v>412</v>
      </c>
      <c r="E439">
        <v>7.3</v>
      </c>
      <c r="F439">
        <v>12690341</v>
      </c>
      <c r="G439" s="1" t="str">
        <f t="shared" si="6"/>
        <v>Illinois2021</v>
      </c>
      <c r="H439">
        <f>+INDEX(Sheet1!C:C, MATCH(Hoja1!G439, Sheet1!D:D, 0))</f>
        <v>946776.2</v>
      </c>
      <c r="I439">
        <f>+INDEX(Sheet1!G:G, MATCH(Hoja1!G439, Sheet1!I:I, 0))</f>
        <v>102769</v>
      </c>
      <c r="J439" s="2">
        <f>+INDEX(Sheet1!H:H, MATCH(Hoja1!G439, Sheet1!I:I, 0))</f>
        <v>5.6392175405774903E-2</v>
      </c>
      <c r="K439" s="2">
        <f>+INDEX(Sheet1!L:L, MATCH(Hoja1!G439,Sheet1!M:M, 0))</f>
        <v>10.7</v>
      </c>
    </row>
    <row r="440" spans="1:11" ht="16" x14ac:dyDescent="0.25">
      <c r="A440" t="s">
        <v>408</v>
      </c>
      <c r="B440">
        <v>7</v>
      </c>
      <c r="C440">
        <v>2021</v>
      </c>
      <c r="D440" t="s">
        <v>413</v>
      </c>
      <c r="E440">
        <v>6.6</v>
      </c>
      <c r="F440">
        <v>12690341</v>
      </c>
      <c r="G440" s="1" t="str">
        <f t="shared" si="6"/>
        <v>Illinois2021</v>
      </c>
      <c r="H440">
        <f>+INDEX(Sheet1!C:C, MATCH(Hoja1!G440, Sheet1!D:D, 0))</f>
        <v>946776.2</v>
      </c>
      <c r="I440">
        <f>+INDEX(Sheet1!G:G, MATCH(Hoja1!G440, Sheet1!I:I, 0))</f>
        <v>102769</v>
      </c>
      <c r="J440" s="2">
        <f>+INDEX(Sheet1!H:H, MATCH(Hoja1!G440, Sheet1!I:I, 0))</f>
        <v>5.6392175405774903E-2</v>
      </c>
      <c r="K440" s="2">
        <f>+INDEX(Sheet1!L:L, MATCH(Hoja1!G440,Sheet1!M:M, 0))</f>
        <v>10.7</v>
      </c>
    </row>
    <row r="441" spans="1:11" ht="16" x14ac:dyDescent="0.25">
      <c r="A441" t="s">
        <v>408</v>
      </c>
      <c r="B441">
        <v>8</v>
      </c>
      <c r="C441">
        <v>2021</v>
      </c>
      <c r="D441" t="s">
        <v>414</v>
      </c>
      <c r="E441">
        <v>6.2</v>
      </c>
      <c r="F441">
        <v>12690341</v>
      </c>
      <c r="G441" s="1" t="str">
        <f t="shared" si="6"/>
        <v>Illinois2021</v>
      </c>
      <c r="H441">
        <f>+INDEX(Sheet1!C:C, MATCH(Hoja1!G441, Sheet1!D:D, 0))</f>
        <v>946776.2</v>
      </c>
      <c r="I441">
        <f>+INDEX(Sheet1!G:G, MATCH(Hoja1!G441, Sheet1!I:I, 0))</f>
        <v>102769</v>
      </c>
      <c r="J441" s="2">
        <f>+INDEX(Sheet1!H:H, MATCH(Hoja1!G441, Sheet1!I:I, 0))</f>
        <v>5.6392175405774903E-2</v>
      </c>
      <c r="K441" s="2">
        <f>+INDEX(Sheet1!L:L, MATCH(Hoja1!G441,Sheet1!M:M, 0))</f>
        <v>10.7</v>
      </c>
    </row>
    <row r="442" spans="1:11" ht="16" x14ac:dyDescent="0.25">
      <c r="A442" t="s">
        <v>408</v>
      </c>
      <c r="B442">
        <v>9</v>
      </c>
      <c r="C442">
        <v>2021</v>
      </c>
      <c r="D442" t="s">
        <v>415</v>
      </c>
      <c r="E442">
        <v>5.2</v>
      </c>
      <c r="F442">
        <v>12690341</v>
      </c>
      <c r="G442" s="1" t="str">
        <f t="shared" si="6"/>
        <v>Illinois2021</v>
      </c>
      <c r="H442">
        <f>+INDEX(Sheet1!C:C, MATCH(Hoja1!G442, Sheet1!D:D, 0))</f>
        <v>946776.2</v>
      </c>
      <c r="I442">
        <f>+INDEX(Sheet1!G:G, MATCH(Hoja1!G442, Sheet1!I:I, 0))</f>
        <v>102769</v>
      </c>
      <c r="J442" s="2">
        <f>+INDEX(Sheet1!H:H, MATCH(Hoja1!G442, Sheet1!I:I, 0))</f>
        <v>5.6392175405774903E-2</v>
      </c>
      <c r="K442" s="2">
        <f>+INDEX(Sheet1!L:L, MATCH(Hoja1!G442,Sheet1!M:M, 0))</f>
        <v>10.7</v>
      </c>
    </row>
    <row r="443" spans="1:11" ht="16" x14ac:dyDescent="0.25">
      <c r="A443" t="s">
        <v>408</v>
      </c>
      <c r="B443">
        <v>10</v>
      </c>
      <c r="C443">
        <v>2021</v>
      </c>
      <c r="D443" t="s">
        <v>127</v>
      </c>
      <c r="E443">
        <v>4.9000000000000004</v>
      </c>
      <c r="F443">
        <v>12690341</v>
      </c>
      <c r="G443" s="1" t="str">
        <f t="shared" si="6"/>
        <v>Illinois2021</v>
      </c>
      <c r="H443">
        <f>+INDEX(Sheet1!C:C, MATCH(Hoja1!G443, Sheet1!D:D, 0))</f>
        <v>946776.2</v>
      </c>
      <c r="I443">
        <f>+INDEX(Sheet1!G:G, MATCH(Hoja1!G443, Sheet1!I:I, 0))</f>
        <v>102769</v>
      </c>
      <c r="J443" s="2">
        <f>+INDEX(Sheet1!H:H, MATCH(Hoja1!G443, Sheet1!I:I, 0))</f>
        <v>5.6392175405774903E-2</v>
      </c>
      <c r="K443" s="2">
        <f>+INDEX(Sheet1!L:L, MATCH(Hoja1!G443,Sheet1!M:M, 0))</f>
        <v>10.7</v>
      </c>
    </row>
    <row r="444" spans="1:11" ht="16" x14ac:dyDescent="0.25">
      <c r="A444" t="s">
        <v>408</v>
      </c>
      <c r="B444">
        <v>11</v>
      </c>
      <c r="C444">
        <v>2021</v>
      </c>
      <c r="D444" t="s">
        <v>46</v>
      </c>
      <c r="E444">
        <v>4.4000000000000004</v>
      </c>
      <c r="F444">
        <v>12690341</v>
      </c>
      <c r="G444" s="1" t="str">
        <f t="shared" si="6"/>
        <v>Illinois2021</v>
      </c>
      <c r="H444">
        <f>+INDEX(Sheet1!C:C, MATCH(Hoja1!G444, Sheet1!D:D, 0))</f>
        <v>946776.2</v>
      </c>
      <c r="I444">
        <f>+INDEX(Sheet1!G:G, MATCH(Hoja1!G444, Sheet1!I:I, 0))</f>
        <v>102769</v>
      </c>
      <c r="J444" s="2">
        <f>+INDEX(Sheet1!H:H, MATCH(Hoja1!G444, Sheet1!I:I, 0))</f>
        <v>5.6392175405774903E-2</v>
      </c>
      <c r="K444" s="2">
        <f>+INDEX(Sheet1!L:L, MATCH(Hoja1!G444,Sheet1!M:M, 0))</f>
        <v>10.7</v>
      </c>
    </row>
    <row r="445" spans="1:11" ht="16" x14ac:dyDescent="0.25">
      <c r="A445" t="s">
        <v>408</v>
      </c>
      <c r="B445">
        <v>12</v>
      </c>
      <c r="C445">
        <v>2021</v>
      </c>
      <c r="D445" t="s">
        <v>127</v>
      </c>
      <c r="E445">
        <v>4.2</v>
      </c>
      <c r="F445">
        <v>12690341</v>
      </c>
      <c r="G445" s="1" t="str">
        <f t="shared" si="6"/>
        <v>Illinois2021</v>
      </c>
      <c r="H445">
        <f>+INDEX(Sheet1!C:C, MATCH(Hoja1!G445, Sheet1!D:D, 0))</f>
        <v>946776.2</v>
      </c>
      <c r="I445">
        <f>+INDEX(Sheet1!G:G, MATCH(Hoja1!G445, Sheet1!I:I, 0))</f>
        <v>102769</v>
      </c>
      <c r="J445" s="2">
        <f>+INDEX(Sheet1!H:H, MATCH(Hoja1!G445, Sheet1!I:I, 0))</f>
        <v>5.6392175405774903E-2</v>
      </c>
      <c r="K445" s="2">
        <f>+INDEX(Sheet1!L:L, MATCH(Hoja1!G445,Sheet1!M:M, 0))</f>
        <v>10.7</v>
      </c>
    </row>
    <row r="446" spans="1:11" ht="16" x14ac:dyDescent="0.25">
      <c r="A446" t="s">
        <v>408</v>
      </c>
      <c r="B446">
        <v>1</v>
      </c>
      <c r="C446">
        <v>2022</v>
      </c>
      <c r="D446" t="s">
        <v>416</v>
      </c>
      <c r="E446">
        <v>5.2</v>
      </c>
      <c r="F446">
        <v>12582515</v>
      </c>
      <c r="G446" s="1" t="str">
        <f t="shared" si="6"/>
        <v>Illinois2022</v>
      </c>
      <c r="H446">
        <f>+INDEX(Sheet1!C:C, MATCH(Hoja1!G446, Sheet1!D:D, 0))</f>
        <v>1040353.3</v>
      </c>
      <c r="I446">
        <f>+INDEX(Sheet1!G:G, MATCH(Hoja1!G446, Sheet1!I:I, 0))</f>
        <v>105248</v>
      </c>
      <c r="J446" s="2">
        <f>+INDEX(Sheet1!H:H, MATCH(Hoja1!G446, Sheet1!I:I, 0))</f>
        <v>2.4122060154326695E-2</v>
      </c>
      <c r="K446" s="2">
        <f>+INDEX(Sheet1!L:L, MATCH(Hoja1!G446,Sheet1!M:M, 0))</f>
        <v>9.5</v>
      </c>
    </row>
    <row r="447" spans="1:11" ht="16" x14ac:dyDescent="0.25">
      <c r="A447" t="s">
        <v>408</v>
      </c>
      <c r="B447">
        <v>2</v>
      </c>
      <c r="C447">
        <v>2022</v>
      </c>
      <c r="D447" t="s">
        <v>364</v>
      </c>
      <c r="E447">
        <v>5</v>
      </c>
      <c r="F447">
        <v>12582515</v>
      </c>
      <c r="G447" s="1" t="str">
        <f t="shared" si="6"/>
        <v>Illinois2022</v>
      </c>
      <c r="H447">
        <f>+INDEX(Sheet1!C:C, MATCH(Hoja1!G447, Sheet1!D:D, 0))</f>
        <v>1040353.3</v>
      </c>
      <c r="I447">
        <f>+INDEX(Sheet1!G:G, MATCH(Hoja1!G447, Sheet1!I:I, 0))</f>
        <v>105248</v>
      </c>
      <c r="J447" s="2">
        <f>+INDEX(Sheet1!H:H, MATCH(Hoja1!G447, Sheet1!I:I, 0))</f>
        <v>2.4122060154326695E-2</v>
      </c>
      <c r="K447" s="2">
        <f>+INDEX(Sheet1!L:L, MATCH(Hoja1!G447,Sheet1!M:M, 0))</f>
        <v>9.5</v>
      </c>
    </row>
    <row r="448" spans="1:11" ht="16" x14ac:dyDescent="0.25">
      <c r="A448" t="s">
        <v>408</v>
      </c>
      <c r="B448">
        <v>3</v>
      </c>
      <c r="C448">
        <v>2022</v>
      </c>
      <c r="D448" t="s">
        <v>417</v>
      </c>
      <c r="E448">
        <v>4.5999999999999996</v>
      </c>
      <c r="F448">
        <v>12582515</v>
      </c>
      <c r="G448" s="1" t="str">
        <f t="shared" si="6"/>
        <v>Illinois2022</v>
      </c>
      <c r="H448">
        <f>+INDEX(Sheet1!C:C, MATCH(Hoja1!G448, Sheet1!D:D, 0))</f>
        <v>1040353.3</v>
      </c>
      <c r="I448">
        <f>+INDEX(Sheet1!G:G, MATCH(Hoja1!G448, Sheet1!I:I, 0))</f>
        <v>105248</v>
      </c>
      <c r="J448" s="2">
        <f>+INDEX(Sheet1!H:H, MATCH(Hoja1!G448, Sheet1!I:I, 0))</f>
        <v>2.4122060154326695E-2</v>
      </c>
      <c r="K448" s="2">
        <f>+INDEX(Sheet1!L:L, MATCH(Hoja1!G448,Sheet1!M:M, 0))</f>
        <v>9.5</v>
      </c>
    </row>
    <row r="449" spans="1:11" ht="16" x14ac:dyDescent="0.25">
      <c r="A449" t="s">
        <v>408</v>
      </c>
      <c r="B449">
        <v>4</v>
      </c>
      <c r="C449">
        <v>2022</v>
      </c>
      <c r="D449" t="s">
        <v>418</v>
      </c>
      <c r="E449">
        <v>4.3</v>
      </c>
      <c r="F449">
        <v>12582515</v>
      </c>
      <c r="G449" s="1" t="str">
        <f t="shared" si="6"/>
        <v>Illinois2022</v>
      </c>
      <c r="H449">
        <f>+INDEX(Sheet1!C:C, MATCH(Hoja1!G449, Sheet1!D:D, 0))</f>
        <v>1040353.3</v>
      </c>
      <c r="I449">
        <f>+INDEX(Sheet1!G:G, MATCH(Hoja1!G449, Sheet1!I:I, 0))</f>
        <v>105248</v>
      </c>
      <c r="J449" s="2">
        <f>+INDEX(Sheet1!H:H, MATCH(Hoja1!G449, Sheet1!I:I, 0))</f>
        <v>2.4122060154326695E-2</v>
      </c>
      <c r="K449" s="2">
        <f>+INDEX(Sheet1!L:L, MATCH(Hoja1!G449,Sheet1!M:M, 0))</f>
        <v>9.5</v>
      </c>
    </row>
    <row r="450" spans="1:11" ht="16" x14ac:dyDescent="0.25">
      <c r="A450" t="s">
        <v>408</v>
      </c>
      <c r="B450">
        <v>5</v>
      </c>
      <c r="C450">
        <v>2022</v>
      </c>
      <c r="D450" t="s">
        <v>39</v>
      </c>
      <c r="E450">
        <v>4.4000000000000004</v>
      </c>
      <c r="F450">
        <v>12582515</v>
      </c>
      <c r="G450" s="1" t="str">
        <f t="shared" si="6"/>
        <v>Illinois2022</v>
      </c>
      <c r="H450">
        <f>+INDEX(Sheet1!C:C, MATCH(Hoja1!G450, Sheet1!D:D, 0))</f>
        <v>1040353.3</v>
      </c>
      <c r="I450">
        <f>+INDEX(Sheet1!G:G, MATCH(Hoja1!G450, Sheet1!I:I, 0))</f>
        <v>105248</v>
      </c>
      <c r="J450" s="2">
        <f>+INDEX(Sheet1!H:H, MATCH(Hoja1!G450, Sheet1!I:I, 0))</f>
        <v>2.4122060154326695E-2</v>
      </c>
      <c r="K450" s="2">
        <f>+INDEX(Sheet1!L:L, MATCH(Hoja1!G450,Sheet1!M:M, 0))</f>
        <v>9.5</v>
      </c>
    </row>
    <row r="451" spans="1:11" ht="16" x14ac:dyDescent="0.25">
      <c r="A451" t="s">
        <v>408</v>
      </c>
      <c r="B451">
        <v>6</v>
      </c>
      <c r="C451">
        <v>2022</v>
      </c>
      <c r="D451" t="s">
        <v>419</v>
      </c>
      <c r="E451">
        <v>4.9000000000000004</v>
      </c>
      <c r="F451">
        <v>12582515</v>
      </c>
      <c r="G451" s="1" t="str">
        <f t="shared" ref="G451:G514" si="7">+A451&amp;C451</f>
        <v>Illinois2022</v>
      </c>
      <c r="H451">
        <f>+INDEX(Sheet1!C:C, MATCH(Hoja1!G451, Sheet1!D:D, 0))</f>
        <v>1040353.3</v>
      </c>
      <c r="I451">
        <f>+INDEX(Sheet1!G:G, MATCH(Hoja1!G451, Sheet1!I:I, 0))</f>
        <v>105248</v>
      </c>
      <c r="J451" s="2">
        <f>+INDEX(Sheet1!H:H, MATCH(Hoja1!G451, Sheet1!I:I, 0))</f>
        <v>2.4122060154326695E-2</v>
      </c>
      <c r="K451" s="2">
        <f>+INDEX(Sheet1!L:L, MATCH(Hoja1!G451,Sheet1!M:M, 0))</f>
        <v>9.5</v>
      </c>
    </row>
    <row r="452" spans="1:11" ht="16" x14ac:dyDescent="0.25">
      <c r="A452" t="s">
        <v>408</v>
      </c>
      <c r="B452">
        <v>7</v>
      </c>
      <c r="C452">
        <v>2022</v>
      </c>
      <c r="D452" t="s">
        <v>420</v>
      </c>
      <c r="E452">
        <v>4.8</v>
      </c>
      <c r="F452">
        <v>12582515</v>
      </c>
      <c r="G452" s="1" t="str">
        <f t="shared" si="7"/>
        <v>Illinois2022</v>
      </c>
      <c r="H452">
        <f>+INDEX(Sheet1!C:C, MATCH(Hoja1!G452, Sheet1!D:D, 0))</f>
        <v>1040353.3</v>
      </c>
      <c r="I452">
        <f>+INDEX(Sheet1!G:G, MATCH(Hoja1!G452, Sheet1!I:I, 0))</f>
        <v>105248</v>
      </c>
      <c r="J452" s="2">
        <f>+INDEX(Sheet1!H:H, MATCH(Hoja1!G452, Sheet1!I:I, 0))</f>
        <v>2.4122060154326695E-2</v>
      </c>
      <c r="K452" s="2">
        <f>+INDEX(Sheet1!L:L, MATCH(Hoja1!G452,Sheet1!M:M, 0))</f>
        <v>9.5</v>
      </c>
    </row>
    <row r="453" spans="1:11" ht="16" x14ac:dyDescent="0.25">
      <c r="A453" t="s">
        <v>408</v>
      </c>
      <c r="B453">
        <v>8</v>
      </c>
      <c r="C453">
        <v>2022</v>
      </c>
      <c r="D453" t="s">
        <v>421</v>
      </c>
      <c r="E453">
        <v>4.9000000000000004</v>
      </c>
      <c r="F453">
        <v>12582515</v>
      </c>
      <c r="G453" s="1" t="str">
        <f t="shared" si="7"/>
        <v>Illinois2022</v>
      </c>
      <c r="H453">
        <f>+INDEX(Sheet1!C:C, MATCH(Hoja1!G453, Sheet1!D:D, 0))</f>
        <v>1040353.3</v>
      </c>
      <c r="I453">
        <f>+INDEX(Sheet1!G:G, MATCH(Hoja1!G453, Sheet1!I:I, 0))</f>
        <v>105248</v>
      </c>
      <c r="J453" s="2">
        <f>+INDEX(Sheet1!H:H, MATCH(Hoja1!G453, Sheet1!I:I, 0))</f>
        <v>2.4122060154326695E-2</v>
      </c>
      <c r="K453" s="2">
        <f>+INDEX(Sheet1!L:L, MATCH(Hoja1!G453,Sheet1!M:M, 0))</f>
        <v>9.5</v>
      </c>
    </row>
    <row r="454" spans="1:11" ht="16" x14ac:dyDescent="0.25">
      <c r="A454" t="s">
        <v>408</v>
      </c>
      <c r="B454">
        <v>9</v>
      </c>
      <c r="C454">
        <v>2022</v>
      </c>
      <c r="D454" t="s">
        <v>422</v>
      </c>
      <c r="E454">
        <v>4.3</v>
      </c>
      <c r="F454">
        <v>12582515</v>
      </c>
      <c r="G454" s="1" t="str">
        <f t="shared" si="7"/>
        <v>Illinois2022</v>
      </c>
      <c r="H454">
        <f>+INDEX(Sheet1!C:C, MATCH(Hoja1!G454, Sheet1!D:D, 0))</f>
        <v>1040353.3</v>
      </c>
      <c r="I454">
        <f>+INDEX(Sheet1!G:G, MATCH(Hoja1!G454, Sheet1!I:I, 0))</f>
        <v>105248</v>
      </c>
      <c r="J454" s="2">
        <f>+INDEX(Sheet1!H:H, MATCH(Hoja1!G454, Sheet1!I:I, 0))</f>
        <v>2.4122060154326695E-2</v>
      </c>
      <c r="K454" s="2">
        <f>+INDEX(Sheet1!L:L, MATCH(Hoja1!G454,Sheet1!M:M, 0))</f>
        <v>9.5</v>
      </c>
    </row>
    <row r="455" spans="1:11" ht="16" x14ac:dyDescent="0.25">
      <c r="A455" t="s">
        <v>408</v>
      </c>
      <c r="B455">
        <v>10</v>
      </c>
      <c r="C455">
        <v>2022</v>
      </c>
      <c r="D455" t="s">
        <v>348</v>
      </c>
      <c r="E455">
        <v>4.3</v>
      </c>
      <c r="F455">
        <v>12582515</v>
      </c>
      <c r="G455" s="1" t="str">
        <f t="shared" si="7"/>
        <v>Illinois2022</v>
      </c>
      <c r="H455">
        <f>+INDEX(Sheet1!C:C, MATCH(Hoja1!G455, Sheet1!D:D, 0))</f>
        <v>1040353.3</v>
      </c>
      <c r="I455">
        <f>+INDEX(Sheet1!G:G, MATCH(Hoja1!G455, Sheet1!I:I, 0))</f>
        <v>105248</v>
      </c>
      <c r="J455" s="2">
        <f>+INDEX(Sheet1!H:H, MATCH(Hoja1!G455, Sheet1!I:I, 0))</f>
        <v>2.4122060154326695E-2</v>
      </c>
      <c r="K455" s="2">
        <f>+INDEX(Sheet1!L:L, MATCH(Hoja1!G455,Sheet1!M:M, 0))</f>
        <v>9.5</v>
      </c>
    </row>
    <row r="456" spans="1:11" ht="16" x14ac:dyDescent="0.25">
      <c r="A456" t="s">
        <v>408</v>
      </c>
      <c r="B456">
        <v>11</v>
      </c>
      <c r="C456">
        <v>2022</v>
      </c>
      <c r="D456" t="s">
        <v>423</v>
      </c>
      <c r="E456">
        <v>4.2</v>
      </c>
      <c r="F456">
        <v>12582515</v>
      </c>
      <c r="G456" s="1" t="str">
        <f t="shared" si="7"/>
        <v>Illinois2022</v>
      </c>
      <c r="H456">
        <f>+INDEX(Sheet1!C:C, MATCH(Hoja1!G456, Sheet1!D:D, 0))</f>
        <v>1040353.3</v>
      </c>
      <c r="I456">
        <f>+INDEX(Sheet1!G:G, MATCH(Hoja1!G456, Sheet1!I:I, 0))</f>
        <v>105248</v>
      </c>
      <c r="J456" s="2">
        <f>+INDEX(Sheet1!H:H, MATCH(Hoja1!G456, Sheet1!I:I, 0))</f>
        <v>2.4122060154326695E-2</v>
      </c>
      <c r="K456" s="2">
        <f>+INDEX(Sheet1!L:L, MATCH(Hoja1!G456,Sheet1!M:M, 0))</f>
        <v>9.5</v>
      </c>
    </row>
    <row r="457" spans="1:11" ht="16" x14ac:dyDescent="0.25">
      <c r="A457" t="s">
        <v>408</v>
      </c>
      <c r="B457">
        <v>12</v>
      </c>
      <c r="C457">
        <v>2022</v>
      </c>
      <c r="D457" t="s">
        <v>424</v>
      </c>
      <c r="E457">
        <v>4</v>
      </c>
      <c r="F457">
        <v>12582515</v>
      </c>
      <c r="G457" s="1" t="str">
        <f t="shared" si="7"/>
        <v>Illinois2022</v>
      </c>
      <c r="H457">
        <f>+INDEX(Sheet1!C:C, MATCH(Hoja1!G457, Sheet1!D:D, 0))</f>
        <v>1040353.3</v>
      </c>
      <c r="I457">
        <f>+INDEX(Sheet1!G:G, MATCH(Hoja1!G457, Sheet1!I:I, 0))</f>
        <v>105248</v>
      </c>
      <c r="J457" s="2">
        <f>+INDEX(Sheet1!H:H, MATCH(Hoja1!G457, Sheet1!I:I, 0))</f>
        <v>2.4122060154326695E-2</v>
      </c>
      <c r="K457" s="2">
        <f>+INDEX(Sheet1!L:L, MATCH(Hoja1!G457,Sheet1!M:M, 0))</f>
        <v>9.5</v>
      </c>
    </row>
    <row r="458" spans="1:11" ht="16" x14ac:dyDescent="0.25">
      <c r="A458" t="s">
        <v>408</v>
      </c>
      <c r="B458">
        <v>1</v>
      </c>
      <c r="C458">
        <v>2023</v>
      </c>
      <c r="D458" t="s">
        <v>425</v>
      </c>
      <c r="E458">
        <v>4.7</v>
      </c>
      <c r="F458">
        <v>12549689</v>
      </c>
      <c r="G458" s="1" t="str">
        <f t="shared" si="7"/>
        <v>Illinois2023</v>
      </c>
      <c r="H458">
        <f>+INDEX(Sheet1!C:C, MATCH(Hoja1!G458, Sheet1!D:D, 0))</f>
        <v>1098346.1000000001</v>
      </c>
      <c r="I458">
        <f>+INDEX(Sheet1!G:G, MATCH(Hoja1!G458, Sheet1!I:I, 0))</f>
        <v>106343</v>
      </c>
      <c r="J458" s="2">
        <f>+INDEX(Sheet1!H:H, MATCH(Hoja1!G458, Sheet1!I:I, 0))</f>
        <v>1.0403998175737306E-2</v>
      </c>
      <c r="K458" s="2">
        <f>+INDEX(Sheet1!L:L, MATCH(Hoja1!G458,Sheet1!M:M, 0))</f>
        <v>9.8000000000000007</v>
      </c>
    </row>
    <row r="459" spans="1:11" ht="16" x14ac:dyDescent="0.25">
      <c r="A459" t="s">
        <v>408</v>
      </c>
      <c r="B459">
        <v>2</v>
      </c>
      <c r="C459">
        <v>2023</v>
      </c>
      <c r="D459" t="s">
        <v>426</v>
      </c>
      <c r="E459">
        <v>4.7</v>
      </c>
      <c r="F459">
        <v>12549689</v>
      </c>
      <c r="G459" s="1" t="str">
        <f t="shared" si="7"/>
        <v>Illinois2023</v>
      </c>
      <c r="H459">
        <f>+INDEX(Sheet1!C:C, MATCH(Hoja1!G459, Sheet1!D:D, 0))</f>
        <v>1098346.1000000001</v>
      </c>
      <c r="I459">
        <f>+INDEX(Sheet1!G:G, MATCH(Hoja1!G459, Sheet1!I:I, 0))</f>
        <v>106343</v>
      </c>
      <c r="J459" s="2">
        <f>+INDEX(Sheet1!H:H, MATCH(Hoja1!G459, Sheet1!I:I, 0))</f>
        <v>1.0403998175737306E-2</v>
      </c>
      <c r="K459" s="2">
        <f>+INDEX(Sheet1!L:L, MATCH(Hoja1!G459,Sheet1!M:M, 0))</f>
        <v>9.8000000000000007</v>
      </c>
    </row>
    <row r="460" spans="1:11" ht="16" x14ac:dyDescent="0.25">
      <c r="A460" t="s">
        <v>408</v>
      </c>
      <c r="B460">
        <v>3</v>
      </c>
      <c r="C460">
        <v>2023</v>
      </c>
      <c r="D460" t="s">
        <v>427</v>
      </c>
      <c r="E460">
        <v>4.3</v>
      </c>
      <c r="F460">
        <v>12549689</v>
      </c>
      <c r="G460" s="1" t="str">
        <f t="shared" si="7"/>
        <v>Illinois2023</v>
      </c>
      <c r="H460">
        <f>+INDEX(Sheet1!C:C, MATCH(Hoja1!G460, Sheet1!D:D, 0))</f>
        <v>1098346.1000000001</v>
      </c>
      <c r="I460">
        <f>+INDEX(Sheet1!G:G, MATCH(Hoja1!G460, Sheet1!I:I, 0))</f>
        <v>106343</v>
      </c>
      <c r="J460" s="2">
        <f>+INDEX(Sheet1!H:H, MATCH(Hoja1!G460, Sheet1!I:I, 0))</f>
        <v>1.0403998175737306E-2</v>
      </c>
      <c r="K460" s="2">
        <f>+INDEX(Sheet1!L:L, MATCH(Hoja1!G460,Sheet1!M:M, 0))</f>
        <v>9.8000000000000007</v>
      </c>
    </row>
    <row r="461" spans="1:11" ht="16" x14ac:dyDescent="0.25">
      <c r="A461" t="s">
        <v>408</v>
      </c>
      <c r="B461">
        <v>4</v>
      </c>
      <c r="C461">
        <v>2023</v>
      </c>
      <c r="D461" t="s">
        <v>428</v>
      </c>
      <c r="E461">
        <v>3.8</v>
      </c>
      <c r="F461">
        <v>12549689</v>
      </c>
      <c r="G461" s="1" t="str">
        <f t="shared" si="7"/>
        <v>Illinois2023</v>
      </c>
      <c r="H461">
        <f>+INDEX(Sheet1!C:C, MATCH(Hoja1!G461, Sheet1!D:D, 0))</f>
        <v>1098346.1000000001</v>
      </c>
      <c r="I461">
        <f>+INDEX(Sheet1!G:G, MATCH(Hoja1!G461, Sheet1!I:I, 0))</f>
        <v>106343</v>
      </c>
      <c r="J461" s="2">
        <f>+INDEX(Sheet1!H:H, MATCH(Hoja1!G461, Sheet1!I:I, 0))</f>
        <v>1.0403998175737306E-2</v>
      </c>
      <c r="K461" s="2">
        <f>+INDEX(Sheet1!L:L, MATCH(Hoja1!G461,Sheet1!M:M, 0))</f>
        <v>9.8000000000000007</v>
      </c>
    </row>
    <row r="462" spans="1:11" ht="16" x14ac:dyDescent="0.25">
      <c r="A462" t="s">
        <v>408</v>
      </c>
      <c r="B462">
        <v>5</v>
      </c>
      <c r="C462">
        <v>2023</v>
      </c>
      <c r="D462" t="s">
        <v>27</v>
      </c>
      <c r="E462">
        <v>4</v>
      </c>
      <c r="F462">
        <v>12549689</v>
      </c>
      <c r="G462" s="1" t="str">
        <f t="shared" si="7"/>
        <v>Illinois2023</v>
      </c>
      <c r="H462">
        <f>+INDEX(Sheet1!C:C, MATCH(Hoja1!G462, Sheet1!D:D, 0))</f>
        <v>1098346.1000000001</v>
      </c>
      <c r="I462">
        <f>+INDEX(Sheet1!G:G, MATCH(Hoja1!G462, Sheet1!I:I, 0))</f>
        <v>106343</v>
      </c>
      <c r="J462" s="2">
        <f>+INDEX(Sheet1!H:H, MATCH(Hoja1!G462, Sheet1!I:I, 0))</f>
        <v>1.0403998175737306E-2</v>
      </c>
      <c r="K462" s="2">
        <f>+INDEX(Sheet1!L:L, MATCH(Hoja1!G462,Sheet1!M:M, 0))</f>
        <v>9.8000000000000007</v>
      </c>
    </row>
    <row r="463" spans="1:11" ht="16" x14ac:dyDescent="0.25">
      <c r="A463" t="s">
        <v>408</v>
      </c>
      <c r="B463">
        <v>6</v>
      </c>
      <c r="C463">
        <v>2023</v>
      </c>
      <c r="D463" t="s">
        <v>429</v>
      </c>
      <c r="E463">
        <v>4.8</v>
      </c>
      <c r="F463">
        <v>12549689</v>
      </c>
      <c r="G463" s="1" t="str">
        <f t="shared" si="7"/>
        <v>Illinois2023</v>
      </c>
      <c r="H463">
        <f>+INDEX(Sheet1!C:C, MATCH(Hoja1!G463, Sheet1!D:D, 0))</f>
        <v>1098346.1000000001</v>
      </c>
      <c r="I463">
        <f>+INDEX(Sheet1!G:G, MATCH(Hoja1!G463, Sheet1!I:I, 0))</f>
        <v>106343</v>
      </c>
      <c r="J463" s="2">
        <f>+INDEX(Sheet1!H:H, MATCH(Hoja1!G463, Sheet1!I:I, 0))</f>
        <v>1.0403998175737306E-2</v>
      </c>
      <c r="K463" s="2">
        <f>+INDEX(Sheet1!L:L, MATCH(Hoja1!G463,Sheet1!M:M, 0))</f>
        <v>9.8000000000000007</v>
      </c>
    </row>
    <row r="464" spans="1:11" ht="16" x14ac:dyDescent="0.25">
      <c r="A464" t="s">
        <v>408</v>
      </c>
      <c r="B464">
        <v>7</v>
      </c>
      <c r="C464">
        <v>2023</v>
      </c>
      <c r="D464" t="s">
        <v>430</v>
      </c>
      <c r="E464">
        <v>4.7</v>
      </c>
      <c r="F464">
        <v>12549689</v>
      </c>
      <c r="G464" s="1" t="str">
        <f t="shared" si="7"/>
        <v>Illinois2023</v>
      </c>
      <c r="H464">
        <f>+INDEX(Sheet1!C:C, MATCH(Hoja1!G464, Sheet1!D:D, 0))</f>
        <v>1098346.1000000001</v>
      </c>
      <c r="I464">
        <f>+INDEX(Sheet1!G:G, MATCH(Hoja1!G464, Sheet1!I:I, 0))</f>
        <v>106343</v>
      </c>
      <c r="J464" s="2">
        <f>+INDEX(Sheet1!H:H, MATCH(Hoja1!G464, Sheet1!I:I, 0))</f>
        <v>1.0403998175737306E-2</v>
      </c>
      <c r="K464" s="2">
        <f>+INDEX(Sheet1!L:L, MATCH(Hoja1!G464,Sheet1!M:M, 0))</f>
        <v>9.8000000000000007</v>
      </c>
    </row>
    <row r="465" spans="1:11" ht="16" x14ac:dyDescent="0.25">
      <c r="A465" t="s">
        <v>408</v>
      </c>
      <c r="B465">
        <v>8</v>
      </c>
      <c r="C465">
        <v>2023</v>
      </c>
      <c r="D465" t="s">
        <v>431</v>
      </c>
      <c r="E465">
        <v>5.0999999999999996</v>
      </c>
      <c r="F465">
        <v>12549689</v>
      </c>
      <c r="G465" s="1" t="str">
        <f t="shared" si="7"/>
        <v>Illinois2023</v>
      </c>
      <c r="H465">
        <f>+INDEX(Sheet1!C:C, MATCH(Hoja1!G465, Sheet1!D:D, 0))</f>
        <v>1098346.1000000001</v>
      </c>
      <c r="I465">
        <f>+INDEX(Sheet1!G:G, MATCH(Hoja1!G465, Sheet1!I:I, 0))</f>
        <v>106343</v>
      </c>
      <c r="J465" s="2">
        <f>+INDEX(Sheet1!H:H, MATCH(Hoja1!G465, Sheet1!I:I, 0))</f>
        <v>1.0403998175737306E-2</v>
      </c>
      <c r="K465" s="2">
        <f>+INDEX(Sheet1!L:L, MATCH(Hoja1!G465,Sheet1!M:M, 0))</f>
        <v>9.8000000000000007</v>
      </c>
    </row>
    <row r="466" spans="1:11" ht="16" x14ac:dyDescent="0.25">
      <c r="A466" t="s">
        <v>408</v>
      </c>
      <c r="B466">
        <v>9</v>
      </c>
      <c r="C466">
        <v>2023</v>
      </c>
      <c r="D466" t="s">
        <v>303</v>
      </c>
      <c r="E466">
        <v>4.7</v>
      </c>
      <c r="F466">
        <v>12549689</v>
      </c>
      <c r="G466" s="1" t="str">
        <f t="shared" si="7"/>
        <v>Illinois2023</v>
      </c>
      <c r="H466">
        <f>+INDEX(Sheet1!C:C, MATCH(Hoja1!G466, Sheet1!D:D, 0))</f>
        <v>1098346.1000000001</v>
      </c>
      <c r="I466">
        <f>+INDEX(Sheet1!G:G, MATCH(Hoja1!G466, Sheet1!I:I, 0))</f>
        <v>106343</v>
      </c>
      <c r="J466" s="2">
        <f>+INDEX(Sheet1!H:H, MATCH(Hoja1!G466, Sheet1!I:I, 0))</f>
        <v>1.0403998175737306E-2</v>
      </c>
      <c r="K466" s="2">
        <f>+INDEX(Sheet1!L:L, MATCH(Hoja1!G466,Sheet1!M:M, 0))</f>
        <v>9.8000000000000007</v>
      </c>
    </row>
    <row r="467" spans="1:11" ht="16" x14ac:dyDescent="0.25">
      <c r="A467" t="s">
        <v>408</v>
      </c>
      <c r="B467">
        <v>10</v>
      </c>
      <c r="C467">
        <v>2023</v>
      </c>
      <c r="D467" t="s">
        <v>432</v>
      </c>
      <c r="E467">
        <v>4.5</v>
      </c>
      <c r="F467">
        <v>12549689</v>
      </c>
      <c r="G467" s="1" t="str">
        <f t="shared" si="7"/>
        <v>Illinois2023</v>
      </c>
      <c r="H467">
        <f>+INDEX(Sheet1!C:C, MATCH(Hoja1!G467, Sheet1!D:D, 0))</f>
        <v>1098346.1000000001</v>
      </c>
      <c r="I467">
        <f>+INDEX(Sheet1!G:G, MATCH(Hoja1!G467, Sheet1!I:I, 0))</f>
        <v>106343</v>
      </c>
      <c r="J467" s="2">
        <f>+INDEX(Sheet1!H:H, MATCH(Hoja1!G467, Sheet1!I:I, 0))</f>
        <v>1.0403998175737306E-2</v>
      </c>
      <c r="K467" s="2">
        <f>+INDEX(Sheet1!L:L, MATCH(Hoja1!G467,Sheet1!M:M, 0))</f>
        <v>9.8000000000000007</v>
      </c>
    </row>
    <row r="468" spans="1:11" ht="16" x14ac:dyDescent="0.25">
      <c r="A468" t="s">
        <v>408</v>
      </c>
      <c r="B468">
        <v>11</v>
      </c>
      <c r="C468">
        <v>2023</v>
      </c>
      <c r="D468" t="s">
        <v>433</v>
      </c>
      <c r="E468">
        <v>4.0999999999999996</v>
      </c>
      <c r="F468">
        <v>12549689</v>
      </c>
      <c r="G468" s="1" t="str">
        <f t="shared" si="7"/>
        <v>Illinois2023</v>
      </c>
      <c r="H468">
        <f>+INDEX(Sheet1!C:C, MATCH(Hoja1!G468, Sheet1!D:D, 0))</f>
        <v>1098346.1000000001</v>
      </c>
      <c r="I468">
        <f>+INDEX(Sheet1!G:G, MATCH(Hoja1!G468, Sheet1!I:I, 0))</f>
        <v>106343</v>
      </c>
      <c r="J468" s="2">
        <f>+INDEX(Sheet1!H:H, MATCH(Hoja1!G468, Sheet1!I:I, 0))</f>
        <v>1.0403998175737306E-2</v>
      </c>
      <c r="K468" s="2">
        <f>+INDEX(Sheet1!L:L, MATCH(Hoja1!G468,Sheet1!M:M, 0))</f>
        <v>9.8000000000000007</v>
      </c>
    </row>
    <row r="469" spans="1:11" ht="16" x14ac:dyDescent="0.25">
      <c r="A469" t="s">
        <v>408</v>
      </c>
      <c r="B469">
        <v>12</v>
      </c>
      <c r="C469">
        <v>2023</v>
      </c>
      <c r="D469" t="s">
        <v>434</v>
      </c>
      <c r="E469">
        <v>4.2</v>
      </c>
      <c r="F469">
        <v>12549689</v>
      </c>
      <c r="G469" s="1" t="str">
        <f t="shared" si="7"/>
        <v>Illinois2023</v>
      </c>
      <c r="H469">
        <f>+INDEX(Sheet1!C:C, MATCH(Hoja1!G469, Sheet1!D:D, 0))</f>
        <v>1098346.1000000001</v>
      </c>
      <c r="I469">
        <f>+INDEX(Sheet1!G:G, MATCH(Hoja1!G469, Sheet1!I:I, 0))</f>
        <v>106343</v>
      </c>
      <c r="J469" s="2">
        <f>+INDEX(Sheet1!H:H, MATCH(Hoja1!G469, Sheet1!I:I, 0))</f>
        <v>1.0403998175737306E-2</v>
      </c>
      <c r="K469" s="2">
        <f>+INDEX(Sheet1!L:L, MATCH(Hoja1!G469,Sheet1!M:M, 0))</f>
        <v>9.8000000000000007</v>
      </c>
    </row>
    <row r="470" spans="1:11" ht="16" x14ac:dyDescent="0.25">
      <c r="A470" t="s">
        <v>435</v>
      </c>
      <c r="B470">
        <v>1</v>
      </c>
      <c r="C470">
        <v>2021</v>
      </c>
      <c r="D470" t="s">
        <v>436</v>
      </c>
      <c r="E470">
        <v>4.7</v>
      </c>
      <c r="F470">
        <v>6813798</v>
      </c>
      <c r="G470" s="1" t="str">
        <f t="shared" si="7"/>
        <v>Indiana2021</v>
      </c>
      <c r="H470">
        <f>+INDEX(Sheet1!C:C, MATCH(Hoja1!G470, Sheet1!D:D, 0))</f>
        <v>425863.8</v>
      </c>
      <c r="I470">
        <f>+INDEX(Sheet1!G:G, MATCH(Hoja1!G470, Sheet1!I:I, 0))</f>
        <v>108275</v>
      </c>
      <c r="J470" s="2">
        <f>+INDEX(Sheet1!H:H, MATCH(Hoja1!G470, Sheet1!I:I, 0))</f>
        <v>7.5971380304084263E-2</v>
      </c>
      <c r="K470" s="2">
        <f>+INDEX(Sheet1!L:L, MATCH(Hoja1!G470,Sheet1!M:M, 0))</f>
        <v>10.4</v>
      </c>
    </row>
    <row r="471" spans="1:11" ht="16" x14ac:dyDescent="0.25">
      <c r="A471" t="s">
        <v>435</v>
      </c>
      <c r="B471">
        <v>2</v>
      </c>
      <c r="C471">
        <v>2021</v>
      </c>
      <c r="D471" t="s">
        <v>437</v>
      </c>
      <c r="E471">
        <v>4.5999999999999996</v>
      </c>
      <c r="F471">
        <v>6813798</v>
      </c>
      <c r="G471" s="1" t="str">
        <f t="shared" si="7"/>
        <v>Indiana2021</v>
      </c>
      <c r="H471">
        <f>+INDEX(Sheet1!C:C, MATCH(Hoja1!G471, Sheet1!D:D, 0))</f>
        <v>425863.8</v>
      </c>
      <c r="I471">
        <f>+INDEX(Sheet1!G:G, MATCH(Hoja1!G471, Sheet1!I:I, 0))</f>
        <v>108275</v>
      </c>
      <c r="J471" s="2">
        <f>+INDEX(Sheet1!H:H, MATCH(Hoja1!G471, Sheet1!I:I, 0))</f>
        <v>7.5971380304084263E-2</v>
      </c>
      <c r="K471" s="2">
        <f>+INDEX(Sheet1!L:L, MATCH(Hoja1!G471,Sheet1!M:M, 0))</f>
        <v>10.4</v>
      </c>
    </row>
    <row r="472" spans="1:11" ht="16" x14ac:dyDescent="0.25">
      <c r="A472" t="s">
        <v>435</v>
      </c>
      <c r="B472">
        <v>3</v>
      </c>
      <c r="C472">
        <v>2021</v>
      </c>
      <c r="D472" t="s">
        <v>438</v>
      </c>
      <c r="E472">
        <v>4.5</v>
      </c>
      <c r="F472">
        <v>6813798</v>
      </c>
      <c r="G472" s="1" t="str">
        <f t="shared" si="7"/>
        <v>Indiana2021</v>
      </c>
      <c r="H472">
        <f>+INDEX(Sheet1!C:C, MATCH(Hoja1!G472, Sheet1!D:D, 0))</f>
        <v>425863.8</v>
      </c>
      <c r="I472">
        <f>+INDEX(Sheet1!G:G, MATCH(Hoja1!G472, Sheet1!I:I, 0))</f>
        <v>108275</v>
      </c>
      <c r="J472" s="2">
        <f>+INDEX(Sheet1!H:H, MATCH(Hoja1!G472, Sheet1!I:I, 0))</f>
        <v>7.5971380304084263E-2</v>
      </c>
      <c r="K472" s="2">
        <f>+INDEX(Sheet1!L:L, MATCH(Hoja1!G472,Sheet1!M:M, 0))</f>
        <v>10.4</v>
      </c>
    </row>
    <row r="473" spans="1:11" ht="16" x14ac:dyDescent="0.25">
      <c r="A473" t="s">
        <v>435</v>
      </c>
      <c r="B473">
        <v>4</v>
      </c>
      <c r="C473">
        <v>2021</v>
      </c>
      <c r="D473" t="s">
        <v>439</v>
      </c>
      <c r="E473">
        <v>4.4000000000000004</v>
      </c>
      <c r="F473">
        <v>6813798</v>
      </c>
      <c r="G473" s="1" t="str">
        <f t="shared" si="7"/>
        <v>Indiana2021</v>
      </c>
      <c r="H473">
        <f>+INDEX(Sheet1!C:C, MATCH(Hoja1!G473, Sheet1!D:D, 0))</f>
        <v>425863.8</v>
      </c>
      <c r="I473">
        <f>+INDEX(Sheet1!G:G, MATCH(Hoja1!G473, Sheet1!I:I, 0))</f>
        <v>108275</v>
      </c>
      <c r="J473" s="2">
        <f>+INDEX(Sheet1!H:H, MATCH(Hoja1!G473, Sheet1!I:I, 0))</f>
        <v>7.5971380304084263E-2</v>
      </c>
      <c r="K473" s="2">
        <f>+INDEX(Sheet1!L:L, MATCH(Hoja1!G473,Sheet1!M:M, 0))</f>
        <v>10.4</v>
      </c>
    </row>
    <row r="474" spans="1:11" ht="16" x14ac:dyDescent="0.25">
      <c r="A474" t="s">
        <v>435</v>
      </c>
      <c r="B474">
        <v>5</v>
      </c>
      <c r="C474">
        <v>2021</v>
      </c>
      <c r="D474" t="s">
        <v>440</v>
      </c>
      <c r="E474">
        <v>4.2</v>
      </c>
      <c r="F474">
        <v>6813798</v>
      </c>
      <c r="G474" s="1" t="str">
        <f t="shared" si="7"/>
        <v>Indiana2021</v>
      </c>
      <c r="H474">
        <f>+INDEX(Sheet1!C:C, MATCH(Hoja1!G474, Sheet1!D:D, 0))</f>
        <v>425863.8</v>
      </c>
      <c r="I474">
        <f>+INDEX(Sheet1!G:G, MATCH(Hoja1!G474, Sheet1!I:I, 0))</f>
        <v>108275</v>
      </c>
      <c r="J474" s="2">
        <f>+INDEX(Sheet1!H:H, MATCH(Hoja1!G474, Sheet1!I:I, 0))</f>
        <v>7.5971380304084263E-2</v>
      </c>
      <c r="K474" s="2">
        <f>+INDEX(Sheet1!L:L, MATCH(Hoja1!G474,Sheet1!M:M, 0))</f>
        <v>10.4</v>
      </c>
    </row>
    <row r="475" spans="1:11" ht="16" x14ac:dyDescent="0.25">
      <c r="A475" t="s">
        <v>435</v>
      </c>
      <c r="B475">
        <v>6</v>
      </c>
      <c r="C475">
        <v>2021</v>
      </c>
      <c r="D475" t="s">
        <v>441</v>
      </c>
      <c r="E475">
        <v>4.0999999999999996</v>
      </c>
      <c r="F475">
        <v>6813798</v>
      </c>
      <c r="G475" s="1" t="str">
        <f t="shared" si="7"/>
        <v>Indiana2021</v>
      </c>
      <c r="H475">
        <f>+INDEX(Sheet1!C:C, MATCH(Hoja1!G475, Sheet1!D:D, 0))</f>
        <v>425863.8</v>
      </c>
      <c r="I475">
        <f>+INDEX(Sheet1!G:G, MATCH(Hoja1!G475, Sheet1!I:I, 0))</f>
        <v>108275</v>
      </c>
      <c r="J475" s="2">
        <f>+INDEX(Sheet1!H:H, MATCH(Hoja1!G475, Sheet1!I:I, 0))</f>
        <v>7.5971380304084263E-2</v>
      </c>
      <c r="K475" s="2">
        <f>+INDEX(Sheet1!L:L, MATCH(Hoja1!G475,Sheet1!M:M, 0))</f>
        <v>10.4</v>
      </c>
    </row>
    <row r="476" spans="1:11" ht="16" x14ac:dyDescent="0.25">
      <c r="A476" t="s">
        <v>435</v>
      </c>
      <c r="B476">
        <v>7</v>
      </c>
      <c r="C476">
        <v>2021</v>
      </c>
      <c r="D476" t="s">
        <v>442</v>
      </c>
      <c r="E476">
        <v>3.9</v>
      </c>
      <c r="F476">
        <v>6813798</v>
      </c>
      <c r="G476" s="1" t="str">
        <f t="shared" si="7"/>
        <v>Indiana2021</v>
      </c>
      <c r="H476">
        <f>+INDEX(Sheet1!C:C, MATCH(Hoja1!G476, Sheet1!D:D, 0))</f>
        <v>425863.8</v>
      </c>
      <c r="I476">
        <f>+INDEX(Sheet1!G:G, MATCH(Hoja1!G476, Sheet1!I:I, 0))</f>
        <v>108275</v>
      </c>
      <c r="J476" s="2">
        <f>+INDEX(Sheet1!H:H, MATCH(Hoja1!G476, Sheet1!I:I, 0))</f>
        <v>7.5971380304084263E-2</v>
      </c>
      <c r="K476" s="2">
        <f>+INDEX(Sheet1!L:L, MATCH(Hoja1!G476,Sheet1!M:M, 0))</f>
        <v>10.4</v>
      </c>
    </row>
    <row r="477" spans="1:11" ht="16" x14ac:dyDescent="0.25">
      <c r="A477" t="s">
        <v>435</v>
      </c>
      <c r="B477">
        <v>8</v>
      </c>
      <c r="C477">
        <v>2021</v>
      </c>
      <c r="D477" t="s">
        <v>401</v>
      </c>
      <c r="E477">
        <v>3.7</v>
      </c>
      <c r="F477">
        <v>6813798</v>
      </c>
      <c r="G477" s="1" t="str">
        <f t="shared" si="7"/>
        <v>Indiana2021</v>
      </c>
      <c r="H477">
        <f>+INDEX(Sheet1!C:C, MATCH(Hoja1!G477, Sheet1!D:D, 0))</f>
        <v>425863.8</v>
      </c>
      <c r="I477">
        <f>+INDEX(Sheet1!G:G, MATCH(Hoja1!G477, Sheet1!I:I, 0))</f>
        <v>108275</v>
      </c>
      <c r="J477" s="2">
        <f>+INDEX(Sheet1!H:H, MATCH(Hoja1!G477, Sheet1!I:I, 0))</f>
        <v>7.5971380304084263E-2</v>
      </c>
      <c r="K477" s="2">
        <f>+INDEX(Sheet1!L:L, MATCH(Hoja1!G477,Sheet1!M:M, 0))</f>
        <v>10.4</v>
      </c>
    </row>
    <row r="478" spans="1:11" ht="16" x14ac:dyDescent="0.25">
      <c r="A478" t="s">
        <v>435</v>
      </c>
      <c r="B478">
        <v>9</v>
      </c>
      <c r="C478">
        <v>2021</v>
      </c>
      <c r="D478" t="s">
        <v>443</v>
      </c>
      <c r="E478">
        <v>3.5</v>
      </c>
      <c r="F478">
        <v>6813798</v>
      </c>
      <c r="G478" s="1" t="str">
        <f t="shared" si="7"/>
        <v>Indiana2021</v>
      </c>
      <c r="H478">
        <f>+INDEX(Sheet1!C:C, MATCH(Hoja1!G478, Sheet1!D:D, 0))</f>
        <v>425863.8</v>
      </c>
      <c r="I478">
        <f>+INDEX(Sheet1!G:G, MATCH(Hoja1!G478, Sheet1!I:I, 0))</f>
        <v>108275</v>
      </c>
      <c r="J478" s="2">
        <f>+INDEX(Sheet1!H:H, MATCH(Hoja1!G478, Sheet1!I:I, 0))</f>
        <v>7.5971380304084263E-2</v>
      </c>
      <c r="K478" s="2">
        <f>+INDEX(Sheet1!L:L, MATCH(Hoja1!G478,Sheet1!M:M, 0))</f>
        <v>10.4</v>
      </c>
    </row>
    <row r="479" spans="1:11" ht="16" x14ac:dyDescent="0.25">
      <c r="A479" t="s">
        <v>435</v>
      </c>
      <c r="B479">
        <v>10</v>
      </c>
      <c r="C479">
        <v>2021</v>
      </c>
      <c r="D479" t="s">
        <v>444</v>
      </c>
      <c r="E479">
        <v>3.3</v>
      </c>
      <c r="F479">
        <v>6813798</v>
      </c>
      <c r="G479" s="1" t="str">
        <f t="shared" si="7"/>
        <v>Indiana2021</v>
      </c>
      <c r="H479">
        <f>+INDEX(Sheet1!C:C, MATCH(Hoja1!G479, Sheet1!D:D, 0))</f>
        <v>425863.8</v>
      </c>
      <c r="I479">
        <f>+INDEX(Sheet1!G:G, MATCH(Hoja1!G479, Sheet1!I:I, 0))</f>
        <v>108275</v>
      </c>
      <c r="J479" s="2">
        <f>+INDEX(Sheet1!H:H, MATCH(Hoja1!G479, Sheet1!I:I, 0))</f>
        <v>7.5971380304084263E-2</v>
      </c>
      <c r="K479" s="2">
        <f>+INDEX(Sheet1!L:L, MATCH(Hoja1!G479,Sheet1!M:M, 0))</f>
        <v>10.4</v>
      </c>
    </row>
    <row r="480" spans="1:11" ht="16" x14ac:dyDescent="0.25">
      <c r="A480" t="s">
        <v>435</v>
      </c>
      <c r="B480">
        <v>11</v>
      </c>
      <c r="C480">
        <v>2021</v>
      </c>
      <c r="D480" t="s">
        <v>445</v>
      </c>
      <c r="E480">
        <v>3.1</v>
      </c>
      <c r="F480">
        <v>6813798</v>
      </c>
      <c r="G480" s="1" t="str">
        <f t="shared" si="7"/>
        <v>Indiana2021</v>
      </c>
      <c r="H480">
        <f>+INDEX(Sheet1!C:C, MATCH(Hoja1!G480, Sheet1!D:D, 0))</f>
        <v>425863.8</v>
      </c>
      <c r="I480">
        <f>+INDEX(Sheet1!G:G, MATCH(Hoja1!G480, Sheet1!I:I, 0))</f>
        <v>108275</v>
      </c>
      <c r="J480" s="2">
        <f>+INDEX(Sheet1!H:H, MATCH(Hoja1!G480, Sheet1!I:I, 0))</f>
        <v>7.5971380304084263E-2</v>
      </c>
      <c r="K480" s="2">
        <f>+INDEX(Sheet1!L:L, MATCH(Hoja1!G480,Sheet1!M:M, 0))</f>
        <v>10.4</v>
      </c>
    </row>
    <row r="481" spans="1:11" ht="16" x14ac:dyDescent="0.25">
      <c r="A481" t="s">
        <v>435</v>
      </c>
      <c r="B481">
        <v>12</v>
      </c>
      <c r="C481">
        <v>2021</v>
      </c>
      <c r="D481" t="s">
        <v>446</v>
      </c>
      <c r="E481">
        <v>3</v>
      </c>
      <c r="F481">
        <v>6813798</v>
      </c>
      <c r="G481" s="1" t="str">
        <f t="shared" si="7"/>
        <v>Indiana2021</v>
      </c>
      <c r="H481">
        <f>+INDEX(Sheet1!C:C, MATCH(Hoja1!G481, Sheet1!D:D, 0))</f>
        <v>425863.8</v>
      </c>
      <c r="I481">
        <f>+INDEX(Sheet1!G:G, MATCH(Hoja1!G481, Sheet1!I:I, 0))</f>
        <v>108275</v>
      </c>
      <c r="J481" s="2">
        <f>+INDEX(Sheet1!H:H, MATCH(Hoja1!G481, Sheet1!I:I, 0))</f>
        <v>7.5971380304084263E-2</v>
      </c>
      <c r="K481" s="2">
        <f>+INDEX(Sheet1!L:L, MATCH(Hoja1!G481,Sheet1!M:M, 0))</f>
        <v>10.4</v>
      </c>
    </row>
    <row r="482" spans="1:11" ht="16" x14ac:dyDescent="0.25">
      <c r="A482" t="s">
        <v>435</v>
      </c>
      <c r="B482">
        <v>1</v>
      </c>
      <c r="C482">
        <v>2022</v>
      </c>
      <c r="D482" t="s">
        <v>447</v>
      </c>
      <c r="E482">
        <v>2.9</v>
      </c>
      <c r="F482">
        <v>6832274</v>
      </c>
      <c r="G482" s="1" t="str">
        <f t="shared" si="7"/>
        <v>Indiana2022</v>
      </c>
      <c r="H482">
        <f>+INDEX(Sheet1!C:C, MATCH(Hoja1!G482, Sheet1!D:D, 0))</f>
        <v>473492.9</v>
      </c>
      <c r="I482">
        <f>+INDEX(Sheet1!G:G, MATCH(Hoja1!G482, Sheet1!I:I, 0))</f>
        <v>111676</v>
      </c>
      <c r="J482" s="2">
        <f>+INDEX(Sheet1!H:H, MATCH(Hoja1!G482, Sheet1!I:I, 0))</f>
        <v>3.1410759639806052E-2</v>
      </c>
      <c r="K482" s="2">
        <f>+INDEX(Sheet1!L:L, MATCH(Hoja1!G482,Sheet1!M:M, 0))</f>
        <v>10.4</v>
      </c>
    </row>
    <row r="483" spans="1:11" ht="16" x14ac:dyDescent="0.25">
      <c r="A483" t="s">
        <v>435</v>
      </c>
      <c r="B483">
        <v>2</v>
      </c>
      <c r="C483">
        <v>2022</v>
      </c>
      <c r="D483" t="s">
        <v>404</v>
      </c>
      <c r="E483">
        <v>2.9</v>
      </c>
      <c r="F483">
        <v>6832274</v>
      </c>
      <c r="G483" s="1" t="str">
        <f t="shared" si="7"/>
        <v>Indiana2022</v>
      </c>
      <c r="H483">
        <f>+INDEX(Sheet1!C:C, MATCH(Hoja1!G483, Sheet1!D:D, 0))</f>
        <v>473492.9</v>
      </c>
      <c r="I483">
        <f>+INDEX(Sheet1!G:G, MATCH(Hoja1!G483, Sheet1!I:I, 0))</f>
        <v>111676</v>
      </c>
      <c r="J483" s="2">
        <f>+INDEX(Sheet1!H:H, MATCH(Hoja1!G483, Sheet1!I:I, 0))</f>
        <v>3.1410759639806052E-2</v>
      </c>
      <c r="K483" s="2">
        <f>+INDEX(Sheet1!L:L, MATCH(Hoja1!G483,Sheet1!M:M, 0))</f>
        <v>10.4</v>
      </c>
    </row>
    <row r="484" spans="1:11" ht="16" x14ac:dyDescent="0.25">
      <c r="A484" t="s">
        <v>435</v>
      </c>
      <c r="B484">
        <v>3</v>
      </c>
      <c r="C484">
        <v>2022</v>
      </c>
      <c r="D484" t="s">
        <v>448</v>
      </c>
      <c r="E484">
        <v>2.8</v>
      </c>
      <c r="F484">
        <v>6832274</v>
      </c>
      <c r="G484" s="1" t="str">
        <f t="shared" si="7"/>
        <v>Indiana2022</v>
      </c>
      <c r="H484">
        <f>+INDEX(Sheet1!C:C, MATCH(Hoja1!G484, Sheet1!D:D, 0))</f>
        <v>473492.9</v>
      </c>
      <c r="I484">
        <f>+INDEX(Sheet1!G:G, MATCH(Hoja1!G484, Sheet1!I:I, 0))</f>
        <v>111676</v>
      </c>
      <c r="J484" s="2">
        <f>+INDEX(Sheet1!H:H, MATCH(Hoja1!G484, Sheet1!I:I, 0))</f>
        <v>3.1410759639806052E-2</v>
      </c>
      <c r="K484" s="2">
        <f>+INDEX(Sheet1!L:L, MATCH(Hoja1!G484,Sheet1!M:M, 0))</f>
        <v>10.4</v>
      </c>
    </row>
    <row r="485" spans="1:11" ht="16" x14ac:dyDescent="0.25">
      <c r="A485" t="s">
        <v>435</v>
      </c>
      <c r="B485">
        <v>4</v>
      </c>
      <c r="C485">
        <v>2022</v>
      </c>
      <c r="D485" t="s">
        <v>449</v>
      </c>
      <c r="E485">
        <v>2.9</v>
      </c>
      <c r="F485">
        <v>6832274</v>
      </c>
      <c r="G485" s="1" t="str">
        <f t="shared" si="7"/>
        <v>Indiana2022</v>
      </c>
      <c r="H485">
        <f>+INDEX(Sheet1!C:C, MATCH(Hoja1!G485, Sheet1!D:D, 0))</f>
        <v>473492.9</v>
      </c>
      <c r="I485">
        <f>+INDEX(Sheet1!G:G, MATCH(Hoja1!G485, Sheet1!I:I, 0))</f>
        <v>111676</v>
      </c>
      <c r="J485" s="2">
        <f>+INDEX(Sheet1!H:H, MATCH(Hoja1!G485, Sheet1!I:I, 0))</f>
        <v>3.1410759639806052E-2</v>
      </c>
      <c r="K485" s="2">
        <f>+INDEX(Sheet1!L:L, MATCH(Hoja1!G485,Sheet1!M:M, 0))</f>
        <v>10.4</v>
      </c>
    </row>
    <row r="486" spans="1:11" ht="16" x14ac:dyDescent="0.25">
      <c r="A486" t="s">
        <v>435</v>
      </c>
      <c r="B486">
        <v>5</v>
      </c>
      <c r="C486">
        <v>2022</v>
      </c>
      <c r="D486" t="s">
        <v>139</v>
      </c>
      <c r="E486">
        <v>2.9</v>
      </c>
      <c r="F486">
        <v>6832274</v>
      </c>
      <c r="G486" s="1" t="str">
        <f t="shared" si="7"/>
        <v>Indiana2022</v>
      </c>
      <c r="H486">
        <f>+INDEX(Sheet1!C:C, MATCH(Hoja1!G486, Sheet1!D:D, 0))</f>
        <v>473492.9</v>
      </c>
      <c r="I486">
        <f>+INDEX(Sheet1!G:G, MATCH(Hoja1!G486, Sheet1!I:I, 0))</f>
        <v>111676</v>
      </c>
      <c r="J486" s="2">
        <f>+INDEX(Sheet1!H:H, MATCH(Hoja1!G486, Sheet1!I:I, 0))</f>
        <v>3.1410759639806052E-2</v>
      </c>
      <c r="K486" s="2">
        <f>+INDEX(Sheet1!L:L, MATCH(Hoja1!G486,Sheet1!M:M, 0))</f>
        <v>10.4</v>
      </c>
    </row>
    <row r="487" spans="1:11" ht="16" x14ac:dyDescent="0.25">
      <c r="A487" t="s">
        <v>435</v>
      </c>
      <c r="B487">
        <v>6</v>
      </c>
      <c r="C487">
        <v>2022</v>
      </c>
      <c r="D487" t="s">
        <v>56</v>
      </c>
      <c r="E487">
        <v>3</v>
      </c>
      <c r="F487">
        <v>6832274</v>
      </c>
      <c r="G487" s="1" t="str">
        <f t="shared" si="7"/>
        <v>Indiana2022</v>
      </c>
      <c r="H487">
        <f>+INDEX(Sheet1!C:C, MATCH(Hoja1!G487, Sheet1!D:D, 0))</f>
        <v>473492.9</v>
      </c>
      <c r="I487">
        <f>+INDEX(Sheet1!G:G, MATCH(Hoja1!G487, Sheet1!I:I, 0))</f>
        <v>111676</v>
      </c>
      <c r="J487" s="2">
        <f>+INDEX(Sheet1!H:H, MATCH(Hoja1!G487, Sheet1!I:I, 0))</f>
        <v>3.1410759639806052E-2</v>
      </c>
      <c r="K487" s="2">
        <f>+INDEX(Sheet1!L:L, MATCH(Hoja1!G487,Sheet1!M:M, 0))</f>
        <v>10.4</v>
      </c>
    </row>
    <row r="488" spans="1:11" ht="16" x14ac:dyDescent="0.25">
      <c r="A488" t="s">
        <v>435</v>
      </c>
      <c r="B488">
        <v>7</v>
      </c>
      <c r="C488">
        <v>2022</v>
      </c>
      <c r="D488" t="s">
        <v>135</v>
      </c>
      <c r="E488">
        <v>3.1</v>
      </c>
      <c r="F488">
        <v>6832274</v>
      </c>
      <c r="G488" s="1" t="str">
        <f t="shared" si="7"/>
        <v>Indiana2022</v>
      </c>
      <c r="H488">
        <f>+INDEX(Sheet1!C:C, MATCH(Hoja1!G488, Sheet1!D:D, 0))</f>
        <v>473492.9</v>
      </c>
      <c r="I488">
        <f>+INDEX(Sheet1!G:G, MATCH(Hoja1!G488, Sheet1!I:I, 0))</f>
        <v>111676</v>
      </c>
      <c r="J488" s="2">
        <f>+INDEX(Sheet1!H:H, MATCH(Hoja1!G488, Sheet1!I:I, 0))</f>
        <v>3.1410759639806052E-2</v>
      </c>
      <c r="K488" s="2">
        <f>+INDEX(Sheet1!L:L, MATCH(Hoja1!G488,Sheet1!M:M, 0))</f>
        <v>10.4</v>
      </c>
    </row>
    <row r="489" spans="1:11" ht="16" x14ac:dyDescent="0.25">
      <c r="A489" t="s">
        <v>435</v>
      </c>
      <c r="B489">
        <v>8</v>
      </c>
      <c r="C489">
        <v>2022</v>
      </c>
      <c r="D489" t="s">
        <v>294</v>
      </c>
      <c r="E489">
        <v>3.2</v>
      </c>
      <c r="F489">
        <v>6832274</v>
      </c>
      <c r="G489" s="1" t="str">
        <f t="shared" si="7"/>
        <v>Indiana2022</v>
      </c>
      <c r="H489">
        <f>+INDEX(Sheet1!C:C, MATCH(Hoja1!G489, Sheet1!D:D, 0))</f>
        <v>473492.9</v>
      </c>
      <c r="I489">
        <f>+INDEX(Sheet1!G:G, MATCH(Hoja1!G489, Sheet1!I:I, 0))</f>
        <v>111676</v>
      </c>
      <c r="J489" s="2">
        <f>+INDEX(Sheet1!H:H, MATCH(Hoja1!G489, Sheet1!I:I, 0))</f>
        <v>3.1410759639806052E-2</v>
      </c>
      <c r="K489" s="2">
        <f>+INDEX(Sheet1!L:L, MATCH(Hoja1!G489,Sheet1!M:M, 0))</f>
        <v>10.4</v>
      </c>
    </row>
    <row r="490" spans="1:11" ht="16" x14ac:dyDescent="0.25">
      <c r="A490" t="s">
        <v>435</v>
      </c>
      <c r="B490">
        <v>9</v>
      </c>
      <c r="C490">
        <v>2022</v>
      </c>
      <c r="D490" t="s">
        <v>132</v>
      </c>
      <c r="E490">
        <v>3.2</v>
      </c>
      <c r="F490">
        <v>6832274</v>
      </c>
      <c r="G490" s="1" t="str">
        <f t="shared" si="7"/>
        <v>Indiana2022</v>
      </c>
      <c r="H490">
        <f>+INDEX(Sheet1!C:C, MATCH(Hoja1!G490, Sheet1!D:D, 0))</f>
        <v>473492.9</v>
      </c>
      <c r="I490">
        <f>+INDEX(Sheet1!G:G, MATCH(Hoja1!G490, Sheet1!I:I, 0))</f>
        <v>111676</v>
      </c>
      <c r="J490" s="2">
        <f>+INDEX(Sheet1!H:H, MATCH(Hoja1!G490, Sheet1!I:I, 0))</f>
        <v>3.1410759639806052E-2</v>
      </c>
      <c r="K490" s="2">
        <f>+INDEX(Sheet1!L:L, MATCH(Hoja1!G490,Sheet1!M:M, 0))</f>
        <v>10.4</v>
      </c>
    </row>
    <row r="491" spans="1:11" ht="16" x14ac:dyDescent="0.25">
      <c r="A491" t="s">
        <v>435</v>
      </c>
      <c r="B491">
        <v>10</v>
      </c>
      <c r="C491">
        <v>2022</v>
      </c>
      <c r="D491" t="s">
        <v>450</v>
      </c>
      <c r="E491">
        <v>3.3</v>
      </c>
      <c r="F491">
        <v>6832274</v>
      </c>
      <c r="G491" s="1" t="str">
        <f t="shared" si="7"/>
        <v>Indiana2022</v>
      </c>
      <c r="H491">
        <f>+INDEX(Sheet1!C:C, MATCH(Hoja1!G491, Sheet1!D:D, 0))</f>
        <v>473492.9</v>
      </c>
      <c r="I491">
        <f>+INDEX(Sheet1!G:G, MATCH(Hoja1!G491, Sheet1!I:I, 0))</f>
        <v>111676</v>
      </c>
      <c r="J491" s="2">
        <f>+INDEX(Sheet1!H:H, MATCH(Hoja1!G491, Sheet1!I:I, 0))</f>
        <v>3.1410759639806052E-2</v>
      </c>
      <c r="K491" s="2">
        <f>+INDEX(Sheet1!L:L, MATCH(Hoja1!G491,Sheet1!M:M, 0))</f>
        <v>10.4</v>
      </c>
    </row>
    <row r="492" spans="1:11" ht="16" x14ac:dyDescent="0.25">
      <c r="A492" t="s">
        <v>435</v>
      </c>
      <c r="B492">
        <v>11</v>
      </c>
      <c r="C492">
        <v>2022</v>
      </c>
      <c r="D492" t="s">
        <v>451</v>
      </c>
      <c r="E492">
        <v>3.3</v>
      </c>
      <c r="F492">
        <v>6832274</v>
      </c>
      <c r="G492" s="1" t="str">
        <f t="shared" si="7"/>
        <v>Indiana2022</v>
      </c>
      <c r="H492">
        <f>+INDEX(Sheet1!C:C, MATCH(Hoja1!G492, Sheet1!D:D, 0))</f>
        <v>473492.9</v>
      </c>
      <c r="I492">
        <f>+INDEX(Sheet1!G:G, MATCH(Hoja1!G492, Sheet1!I:I, 0))</f>
        <v>111676</v>
      </c>
      <c r="J492" s="2">
        <f>+INDEX(Sheet1!H:H, MATCH(Hoja1!G492, Sheet1!I:I, 0))</f>
        <v>3.1410759639806052E-2</v>
      </c>
      <c r="K492" s="2">
        <f>+INDEX(Sheet1!L:L, MATCH(Hoja1!G492,Sheet1!M:M, 0))</f>
        <v>10.4</v>
      </c>
    </row>
    <row r="493" spans="1:11" ht="16" x14ac:dyDescent="0.25">
      <c r="A493" t="s">
        <v>435</v>
      </c>
      <c r="B493">
        <v>12</v>
      </c>
      <c r="C493">
        <v>2022</v>
      </c>
      <c r="D493" t="s">
        <v>452</v>
      </c>
      <c r="E493">
        <v>3.3</v>
      </c>
      <c r="F493">
        <v>6832274</v>
      </c>
      <c r="G493" s="1" t="str">
        <f t="shared" si="7"/>
        <v>Indiana2022</v>
      </c>
      <c r="H493">
        <f>+INDEX(Sheet1!C:C, MATCH(Hoja1!G493, Sheet1!D:D, 0))</f>
        <v>473492.9</v>
      </c>
      <c r="I493">
        <f>+INDEX(Sheet1!G:G, MATCH(Hoja1!G493, Sheet1!I:I, 0))</f>
        <v>111676</v>
      </c>
      <c r="J493" s="2">
        <f>+INDEX(Sheet1!H:H, MATCH(Hoja1!G493, Sheet1!I:I, 0))</f>
        <v>3.1410759639806052E-2</v>
      </c>
      <c r="K493" s="2">
        <f>+INDEX(Sheet1!L:L, MATCH(Hoja1!G493,Sheet1!M:M, 0))</f>
        <v>10.4</v>
      </c>
    </row>
    <row r="494" spans="1:11" ht="16" x14ac:dyDescent="0.25">
      <c r="A494" t="s">
        <v>435</v>
      </c>
      <c r="B494">
        <v>1</v>
      </c>
      <c r="C494">
        <v>2023</v>
      </c>
      <c r="D494" t="s">
        <v>453</v>
      </c>
      <c r="E494">
        <v>3.2</v>
      </c>
      <c r="F494">
        <v>6862199</v>
      </c>
      <c r="G494" s="1" t="str">
        <f t="shared" si="7"/>
        <v>Indiana2023</v>
      </c>
      <c r="H494">
        <f>+INDEX(Sheet1!C:C, MATCH(Hoja1!G494, Sheet1!D:D, 0))</f>
        <v>499503.1</v>
      </c>
      <c r="I494">
        <f>+INDEX(Sheet1!G:G, MATCH(Hoja1!G494, Sheet1!I:I, 0))</f>
        <v>113077</v>
      </c>
      <c r="J494" s="2">
        <f>+INDEX(Sheet1!H:H, MATCH(Hoja1!G494, Sheet1!I:I, 0))</f>
        <v>1.2545220101006484E-2</v>
      </c>
      <c r="K494" s="2">
        <f>+INDEX(Sheet1!L:L, MATCH(Hoja1!G494,Sheet1!M:M, 0))</f>
        <v>8.3000000000000007</v>
      </c>
    </row>
    <row r="495" spans="1:11" ht="16" x14ac:dyDescent="0.25">
      <c r="A495" t="s">
        <v>435</v>
      </c>
      <c r="B495">
        <v>2</v>
      </c>
      <c r="C495">
        <v>2023</v>
      </c>
      <c r="D495" t="s">
        <v>140</v>
      </c>
      <c r="E495">
        <v>3.2</v>
      </c>
      <c r="F495">
        <v>6862199</v>
      </c>
      <c r="G495" s="1" t="str">
        <f t="shared" si="7"/>
        <v>Indiana2023</v>
      </c>
      <c r="H495">
        <f>+INDEX(Sheet1!C:C, MATCH(Hoja1!G495, Sheet1!D:D, 0))</f>
        <v>499503.1</v>
      </c>
      <c r="I495">
        <f>+INDEX(Sheet1!G:G, MATCH(Hoja1!G495, Sheet1!I:I, 0))</f>
        <v>113077</v>
      </c>
      <c r="J495" s="2">
        <f>+INDEX(Sheet1!H:H, MATCH(Hoja1!G495, Sheet1!I:I, 0))</f>
        <v>1.2545220101006484E-2</v>
      </c>
      <c r="K495" s="2">
        <f>+INDEX(Sheet1!L:L, MATCH(Hoja1!G495,Sheet1!M:M, 0))</f>
        <v>8.3000000000000007</v>
      </c>
    </row>
    <row r="496" spans="1:11" ht="16" x14ac:dyDescent="0.25">
      <c r="A496" t="s">
        <v>435</v>
      </c>
      <c r="B496">
        <v>3</v>
      </c>
      <c r="C496">
        <v>2023</v>
      </c>
      <c r="D496" t="s">
        <v>454</v>
      </c>
      <c r="E496">
        <v>3.2</v>
      </c>
      <c r="F496">
        <v>6862199</v>
      </c>
      <c r="G496" s="1" t="str">
        <f t="shared" si="7"/>
        <v>Indiana2023</v>
      </c>
      <c r="H496">
        <f>+INDEX(Sheet1!C:C, MATCH(Hoja1!G496, Sheet1!D:D, 0))</f>
        <v>499503.1</v>
      </c>
      <c r="I496">
        <f>+INDEX(Sheet1!G:G, MATCH(Hoja1!G496, Sheet1!I:I, 0))</f>
        <v>113077</v>
      </c>
      <c r="J496" s="2">
        <f>+INDEX(Sheet1!H:H, MATCH(Hoja1!G496, Sheet1!I:I, 0))</f>
        <v>1.2545220101006484E-2</v>
      </c>
      <c r="K496" s="2">
        <f>+INDEX(Sheet1!L:L, MATCH(Hoja1!G496,Sheet1!M:M, 0))</f>
        <v>8.3000000000000007</v>
      </c>
    </row>
    <row r="497" spans="1:11" ht="16" x14ac:dyDescent="0.25">
      <c r="A497" t="s">
        <v>435</v>
      </c>
      <c r="B497">
        <v>4</v>
      </c>
      <c r="C497">
        <v>2023</v>
      </c>
      <c r="D497" t="s">
        <v>455</v>
      </c>
      <c r="E497">
        <v>3.2</v>
      </c>
      <c r="F497">
        <v>6862199</v>
      </c>
      <c r="G497" s="1" t="str">
        <f t="shared" si="7"/>
        <v>Indiana2023</v>
      </c>
      <c r="H497">
        <f>+INDEX(Sheet1!C:C, MATCH(Hoja1!G497, Sheet1!D:D, 0))</f>
        <v>499503.1</v>
      </c>
      <c r="I497">
        <f>+INDEX(Sheet1!G:G, MATCH(Hoja1!G497, Sheet1!I:I, 0))</f>
        <v>113077</v>
      </c>
      <c r="J497" s="2">
        <f>+INDEX(Sheet1!H:H, MATCH(Hoja1!G497, Sheet1!I:I, 0))</f>
        <v>1.2545220101006484E-2</v>
      </c>
      <c r="K497" s="2">
        <f>+INDEX(Sheet1!L:L, MATCH(Hoja1!G497,Sheet1!M:M, 0))</f>
        <v>8.3000000000000007</v>
      </c>
    </row>
    <row r="498" spans="1:11" ht="16" x14ac:dyDescent="0.25">
      <c r="A498" t="s">
        <v>435</v>
      </c>
      <c r="B498">
        <v>5</v>
      </c>
      <c r="C498">
        <v>2023</v>
      </c>
      <c r="D498" t="s">
        <v>456</v>
      </c>
      <c r="E498">
        <v>3.2</v>
      </c>
      <c r="F498">
        <v>6862199</v>
      </c>
      <c r="G498" s="1" t="str">
        <f t="shared" si="7"/>
        <v>Indiana2023</v>
      </c>
      <c r="H498">
        <f>+INDEX(Sheet1!C:C, MATCH(Hoja1!G498, Sheet1!D:D, 0))</f>
        <v>499503.1</v>
      </c>
      <c r="I498">
        <f>+INDEX(Sheet1!G:G, MATCH(Hoja1!G498, Sheet1!I:I, 0))</f>
        <v>113077</v>
      </c>
      <c r="J498" s="2">
        <f>+INDEX(Sheet1!H:H, MATCH(Hoja1!G498, Sheet1!I:I, 0))</f>
        <v>1.2545220101006484E-2</v>
      </c>
      <c r="K498" s="2">
        <f>+INDEX(Sheet1!L:L, MATCH(Hoja1!G498,Sheet1!M:M, 0))</f>
        <v>8.3000000000000007</v>
      </c>
    </row>
    <row r="499" spans="1:11" ht="16" x14ac:dyDescent="0.25">
      <c r="A499" t="s">
        <v>435</v>
      </c>
      <c r="B499">
        <v>6</v>
      </c>
      <c r="C499">
        <v>2023</v>
      </c>
      <c r="D499" t="s">
        <v>457</v>
      </c>
      <c r="E499">
        <v>3.3</v>
      </c>
      <c r="F499">
        <v>6862199</v>
      </c>
      <c r="G499" s="1" t="str">
        <f t="shared" si="7"/>
        <v>Indiana2023</v>
      </c>
      <c r="H499">
        <f>+INDEX(Sheet1!C:C, MATCH(Hoja1!G499, Sheet1!D:D, 0))</f>
        <v>499503.1</v>
      </c>
      <c r="I499">
        <f>+INDEX(Sheet1!G:G, MATCH(Hoja1!G499, Sheet1!I:I, 0))</f>
        <v>113077</v>
      </c>
      <c r="J499" s="2">
        <f>+INDEX(Sheet1!H:H, MATCH(Hoja1!G499, Sheet1!I:I, 0))</f>
        <v>1.2545220101006484E-2</v>
      </c>
      <c r="K499" s="2">
        <f>+INDEX(Sheet1!L:L, MATCH(Hoja1!G499,Sheet1!M:M, 0))</f>
        <v>8.3000000000000007</v>
      </c>
    </row>
    <row r="500" spans="1:11" ht="16" x14ac:dyDescent="0.25">
      <c r="A500" t="s">
        <v>435</v>
      </c>
      <c r="B500">
        <v>7</v>
      </c>
      <c r="C500">
        <v>2023</v>
      </c>
      <c r="D500" t="s">
        <v>451</v>
      </c>
      <c r="E500">
        <v>3.4</v>
      </c>
      <c r="F500">
        <v>6862199</v>
      </c>
      <c r="G500" s="1" t="str">
        <f t="shared" si="7"/>
        <v>Indiana2023</v>
      </c>
      <c r="H500">
        <f>+INDEX(Sheet1!C:C, MATCH(Hoja1!G500, Sheet1!D:D, 0))</f>
        <v>499503.1</v>
      </c>
      <c r="I500">
        <f>+INDEX(Sheet1!G:G, MATCH(Hoja1!G500, Sheet1!I:I, 0))</f>
        <v>113077</v>
      </c>
      <c r="J500" s="2">
        <f>+INDEX(Sheet1!H:H, MATCH(Hoja1!G500, Sheet1!I:I, 0))</f>
        <v>1.2545220101006484E-2</v>
      </c>
      <c r="K500" s="2">
        <f>+INDEX(Sheet1!L:L, MATCH(Hoja1!G500,Sheet1!M:M, 0))</f>
        <v>8.3000000000000007</v>
      </c>
    </row>
    <row r="501" spans="1:11" ht="16" x14ac:dyDescent="0.25">
      <c r="A501" t="s">
        <v>435</v>
      </c>
      <c r="B501">
        <v>8</v>
      </c>
      <c r="C501">
        <v>2023</v>
      </c>
      <c r="D501" t="s">
        <v>458</v>
      </c>
      <c r="E501">
        <v>3.4</v>
      </c>
      <c r="F501">
        <v>6862199</v>
      </c>
      <c r="G501" s="1" t="str">
        <f t="shared" si="7"/>
        <v>Indiana2023</v>
      </c>
      <c r="H501">
        <f>+INDEX(Sheet1!C:C, MATCH(Hoja1!G501, Sheet1!D:D, 0))</f>
        <v>499503.1</v>
      </c>
      <c r="I501">
        <f>+INDEX(Sheet1!G:G, MATCH(Hoja1!G501, Sheet1!I:I, 0))</f>
        <v>113077</v>
      </c>
      <c r="J501" s="2">
        <f>+INDEX(Sheet1!H:H, MATCH(Hoja1!G501, Sheet1!I:I, 0))</f>
        <v>1.2545220101006484E-2</v>
      </c>
      <c r="K501" s="2">
        <f>+INDEX(Sheet1!L:L, MATCH(Hoja1!G501,Sheet1!M:M, 0))</f>
        <v>8.3000000000000007</v>
      </c>
    </row>
    <row r="502" spans="1:11" ht="16" x14ac:dyDescent="0.25">
      <c r="A502" t="s">
        <v>435</v>
      </c>
      <c r="B502">
        <v>9</v>
      </c>
      <c r="C502">
        <v>2023</v>
      </c>
      <c r="D502" t="s">
        <v>459</v>
      </c>
      <c r="E502">
        <v>3.5</v>
      </c>
      <c r="F502">
        <v>6862199</v>
      </c>
      <c r="G502" s="1" t="str">
        <f t="shared" si="7"/>
        <v>Indiana2023</v>
      </c>
      <c r="H502">
        <f>+INDEX(Sheet1!C:C, MATCH(Hoja1!G502, Sheet1!D:D, 0))</f>
        <v>499503.1</v>
      </c>
      <c r="I502">
        <f>+INDEX(Sheet1!G:G, MATCH(Hoja1!G502, Sheet1!I:I, 0))</f>
        <v>113077</v>
      </c>
      <c r="J502" s="2">
        <f>+INDEX(Sheet1!H:H, MATCH(Hoja1!G502, Sheet1!I:I, 0))</f>
        <v>1.2545220101006484E-2</v>
      </c>
      <c r="K502" s="2">
        <f>+INDEX(Sheet1!L:L, MATCH(Hoja1!G502,Sheet1!M:M, 0))</f>
        <v>8.3000000000000007</v>
      </c>
    </row>
    <row r="503" spans="1:11" ht="16" x14ac:dyDescent="0.25">
      <c r="A503" t="s">
        <v>435</v>
      </c>
      <c r="B503">
        <v>10</v>
      </c>
      <c r="C503">
        <v>2023</v>
      </c>
      <c r="D503" t="s">
        <v>460</v>
      </c>
      <c r="E503">
        <v>3.5</v>
      </c>
      <c r="F503">
        <v>6862199</v>
      </c>
      <c r="G503" s="1" t="str">
        <f t="shared" si="7"/>
        <v>Indiana2023</v>
      </c>
      <c r="H503">
        <f>+INDEX(Sheet1!C:C, MATCH(Hoja1!G503, Sheet1!D:D, 0))</f>
        <v>499503.1</v>
      </c>
      <c r="I503">
        <f>+INDEX(Sheet1!G:G, MATCH(Hoja1!G503, Sheet1!I:I, 0))</f>
        <v>113077</v>
      </c>
      <c r="J503" s="2">
        <f>+INDEX(Sheet1!H:H, MATCH(Hoja1!G503, Sheet1!I:I, 0))</f>
        <v>1.2545220101006484E-2</v>
      </c>
      <c r="K503" s="2">
        <f>+INDEX(Sheet1!L:L, MATCH(Hoja1!G503,Sheet1!M:M, 0))</f>
        <v>8.3000000000000007</v>
      </c>
    </row>
    <row r="504" spans="1:11" ht="16" x14ac:dyDescent="0.25">
      <c r="A504" t="s">
        <v>435</v>
      </c>
      <c r="B504">
        <v>11</v>
      </c>
      <c r="C504">
        <v>2023</v>
      </c>
      <c r="D504" t="s">
        <v>459</v>
      </c>
      <c r="E504">
        <v>3.5</v>
      </c>
      <c r="F504">
        <v>6862199</v>
      </c>
      <c r="G504" s="1" t="str">
        <f t="shared" si="7"/>
        <v>Indiana2023</v>
      </c>
      <c r="H504">
        <f>+INDEX(Sheet1!C:C, MATCH(Hoja1!G504, Sheet1!D:D, 0))</f>
        <v>499503.1</v>
      </c>
      <c r="I504">
        <f>+INDEX(Sheet1!G:G, MATCH(Hoja1!G504, Sheet1!I:I, 0))</f>
        <v>113077</v>
      </c>
      <c r="J504" s="2">
        <f>+INDEX(Sheet1!H:H, MATCH(Hoja1!G504, Sheet1!I:I, 0))</f>
        <v>1.2545220101006484E-2</v>
      </c>
      <c r="K504" s="2">
        <f>+INDEX(Sheet1!L:L, MATCH(Hoja1!G504,Sheet1!M:M, 0))</f>
        <v>8.3000000000000007</v>
      </c>
    </row>
    <row r="505" spans="1:11" ht="16" x14ac:dyDescent="0.25">
      <c r="A505" t="s">
        <v>435</v>
      </c>
      <c r="B505">
        <v>12</v>
      </c>
      <c r="C505">
        <v>2023</v>
      </c>
      <c r="D505" t="s">
        <v>461</v>
      </c>
      <c r="E505">
        <v>3.5</v>
      </c>
      <c r="F505">
        <v>6862199</v>
      </c>
      <c r="G505" s="1" t="str">
        <f t="shared" si="7"/>
        <v>Indiana2023</v>
      </c>
      <c r="H505">
        <f>+INDEX(Sheet1!C:C, MATCH(Hoja1!G505, Sheet1!D:D, 0))</f>
        <v>499503.1</v>
      </c>
      <c r="I505">
        <f>+INDEX(Sheet1!G:G, MATCH(Hoja1!G505, Sheet1!I:I, 0))</f>
        <v>113077</v>
      </c>
      <c r="J505" s="2">
        <f>+INDEX(Sheet1!H:H, MATCH(Hoja1!G505, Sheet1!I:I, 0))</f>
        <v>1.2545220101006484E-2</v>
      </c>
      <c r="K505" s="2">
        <f>+INDEX(Sheet1!L:L, MATCH(Hoja1!G505,Sheet1!M:M, 0))</f>
        <v>8.3000000000000007</v>
      </c>
    </row>
    <row r="506" spans="1:11" ht="16" x14ac:dyDescent="0.25">
      <c r="A506" t="s">
        <v>462</v>
      </c>
      <c r="B506">
        <v>1</v>
      </c>
      <c r="C506">
        <v>2021</v>
      </c>
      <c r="D506" t="s">
        <v>463</v>
      </c>
      <c r="E506">
        <v>4.2</v>
      </c>
      <c r="F506">
        <v>3197944</v>
      </c>
      <c r="G506" s="1" t="str">
        <f t="shared" si="7"/>
        <v>Iowa2021</v>
      </c>
      <c r="H506">
        <f>+INDEX(Sheet1!C:C, MATCH(Hoja1!G506, Sheet1!D:D, 0))</f>
        <v>223870.9</v>
      </c>
      <c r="I506">
        <f>+INDEX(Sheet1!G:G, MATCH(Hoja1!G506, Sheet1!I:I, 0))</f>
        <v>107493</v>
      </c>
      <c r="J506" s="2">
        <f>+INDEX(Sheet1!H:H, MATCH(Hoja1!G506, Sheet1!I:I, 0))</f>
        <v>7.9528792656717612E-2</v>
      </c>
      <c r="K506" s="2">
        <f>+INDEX(Sheet1!L:L, MATCH(Hoja1!G506,Sheet1!M:M, 0))</f>
        <v>9.6999999999999993</v>
      </c>
    </row>
    <row r="507" spans="1:11" ht="16" x14ac:dyDescent="0.25">
      <c r="A507" t="s">
        <v>462</v>
      </c>
      <c r="B507">
        <v>2</v>
      </c>
      <c r="C507">
        <v>2021</v>
      </c>
      <c r="D507" t="s">
        <v>464</v>
      </c>
      <c r="E507">
        <v>4.2</v>
      </c>
      <c r="F507">
        <v>3197944</v>
      </c>
      <c r="G507" s="1" t="str">
        <f t="shared" si="7"/>
        <v>Iowa2021</v>
      </c>
      <c r="H507">
        <f>+INDEX(Sheet1!C:C, MATCH(Hoja1!G507, Sheet1!D:D, 0))</f>
        <v>223870.9</v>
      </c>
      <c r="I507">
        <f>+INDEX(Sheet1!G:G, MATCH(Hoja1!G507, Sheet1!I:I, 0))</f>
        <v>107493</v>
      </c>
      <c r="J507" s="2">
        <f>+INDEX(Sheet1!H:H, MATCH(Hoja1!G507, Sheet1!I:I, 0))</f>
        <v>7.9528792656717612E-2</v>
      </c>
      <c r="K507" s="2">
        <f>+INDEX(Sheet1!L:L, MATCH(Hoja1!G507,Sheet1!M:M, 0))</f>
        <v>9.6999999999999993</v>
      </c>
    </row>
    <row r="508" spans="1:11" ht="16" x14ac:dyDescent="0.25">
      <c r="A508" t="s">
        <v>462</v>
      </c>
      <c r="B508">
        <v>3</v>
      </c>
      <c r="C508">
        <v>2021</v>
      </c>
      <c r="D508" t="s">
        <v>465</v>
      </c>
      <c r="E508">
        <v>4.3</v>
      </c>
      <c r="F508">
        <v>3197944</v>
      </c>
      <c r="G508" s="1" t="str">
        <f t="shared" si="7"/>
        <v>Iowa2021</v>
      </c>
      <c r="H508">
        <f>+INDEX(Sheet1!C:C, MATCH(Hoja1!G508, Sheet1!D:D, 0))</f>
        <v>223870.9</v>
      </c>
      <c r="I508">
        <f>+INDEX(Sheet1!G:G, MATCH(Hoja1!G508, Sheet1!I:I, 0))</f>
        <v>107493</v>
      </c>
      <c r="J508" s="2">
        <f>+INDEX(Sheet1!H:H, MATCH(Hoja1!G508, Sheet1!I:I, 0))</f>
        <v>7.9528792656717612E-2</v>
      </c>
      <c r="K508" s="2">
        <f>+INDEX(Sheet1!L:L, MATCH(Hoja1!G508,Sheet1!M:M, 0))</f>
        <v>9.6999999999999993</v>
      </c>
    </row>
    <row r="509" spans="1:11" ht="16" x14ac:dyDescent="0.25">
      <c r="A509" t="s">
        <v>462</v>
      </c>
      <c r="B509">
        <v>4</v>
      </c>
      <c r="C509">
        <v>2021</v>
      </c>
      <c r="D509" t="s">
        <v>466</v>
      </c>
      <c r="E509">
        <v>4.3</v>
      </c>
      <c r="F509">
        <v>3197944</v>
      </c>
      <c r="G509" s="1" t="str">
        <f t="shared" si="7"/>
        <v>Iowa2021</v>
      </c>
      <c r="H509">
        <f>+INDEX(Sheet1!C:C, MATCH(Hoja1!G509, Sheet1!D:D, 0))</f>
        <v>223870.9</v>
      </c>
      <c r="I509">
        <f>+INDEX(Sheet1!G:G, MATCH(Hoja1!G509, Sheet1!I:I, 0))</f>
        <v>107493</v>
      </c>
      <c r="J509" s="2">
        <f>+INDEX(Sheet1!H:H, MATCH(Hoja1!G509, Sheet1!I:I, 0))</f>
        <v>7.9528792656717612E-2</v>
      </c>
      <c r="K509" s="2">
        <f>+INDEX(Sheet1!L:L, MATCH(Hoja1!G509,Sheet1!M:M, 0))</f>
        <v>9.6999999999999993</v>
      </c>
    </row>
    <row r="510" spans="1:11" ht="16" x14ac:dyDescent="0.25">
      <c r="A510" t="s">
        <v>462</v>
      </c>
      <c r="B510">
        <v>5</v>
      </c>
      <c r="C510">
        <v>2021</v>
      </c>
      <c r="D510" t="s">
        <v>446</v>
      </c>
      <c r="E510">
        <v>4.3</v>
      </c>
      <c r="F510">
        <v>3197944</v>
      </c>
      <c r="G510" s="1" t="str">
        <f t="shared" si="7"/>
        <v>Iowa2021</v>
      </c>
      <c r="H510">
        <f>+INDEX(Sheet1!C:C, MATCH(Hoja1!G510, Sheet1!D:D, 0))</f>
        <v>223870.9</v>
      </c>
      <c r="I510">
        <f>+INDEX(Sheet1!G:G, MATCH(Hoja1!G510, Sheet1!I:I, 0))</f>
        <v>107493</v>
      </c>
      <c r="J510" s="2">
        <f>+INDEX(Sheet1!H:H, MATCH(Hoja1!G510, Sheet1!I:I, 0))</f>
        <v>7.9528792656717612E-2</v>
      </c>
      <c r="K510" s="2">
        <f>+INDEX(Sheet1!L:L, MATCH(Hoja1!G510,Sheet1!M:M, 0))</f>
        <v>9.6999999999999993</v>
      </c>
    </row>
    <row r="511" spans="1:11" ht="16" x14ac:dyDescent="0.25">
      <c r="A511" t="s">
        <v>462</v>
      </c>
      <c r="B511">
        <v>6</v>
      </c>
      <c r="C511">
        <v>2021</v>
      </c>
      <c r="D511" t="s">
        <v>467</v>
      </c>
      <c r="E511">
        <v>4.2</v>
      </c>
      <c r="F511">
        <v>3197944</v>
      </c>
      <c r="G511" s="1" t="str">
        <f t="shared" si="7"/>
        <v>Iowa2021</v>
      </c>
      <c r="H511">
        <f>+INDEX(Sheet1!C:C, MATCH(Hoja1!G511, Sheet1!D:D, 0))</f>
        <v>223870.9</v>
      </c>
      <c r="I511">
        <f>+INDEX(Sheet1!G:G, MATCH(Hoja1!G511, Sheet1!I:I, 0))</f>
        <v>107493</v>
      </c>
      <c r="J511" s="2">
        <f>+INDEX(Sheet1!H:H, MATCH(Hoja1!G511, Sheet1!I:I, 0))</f>
        <v>7.9528792656717612E-2</v>
      </c>
      <c r="K511" s="2">
        <f>+INDEX(Sheet1!L:L, MATCH(Hoja1!G511,Sheet1!M:M, 0))</f>
        <v>9.6999999999999993</v>
      </c>
    </row>
    <row r="512" spans="1:11" ht="16" x14ac:dyDescent="0.25">
      <c r="A512" t="s">
        <v>462</v>
      </c>
      <c r="B512">
        <v>7</v>
      </c>
      <c r="C512">
        <v>2021</v>
      </c>
      <c r="D512" t="s">
        <v>468</v>
      </c>
      <c r="E512">
        <v>4</v>
      </c>
      <c r="F512">
        <v>3197944</v>
      </c>
      <c r="G512" s="1" t="str">
        <f t="shared" si="7"/>
        <v>Iowa2021</v>
      </c>
      <c r="H512">
        <f>+INDEX(Sheet1!C:C, MATCH(Hoja1!G512, Sheet1!D:D, 0))</f>
        <v>223870.9</v>
      </c>
      <c r="I512">
        <f>+INDEX(Sheet1!G:G, MATCH(Hoja1!G512, Sheet1!I:I, 0))</f>
        <v>107493</v>
      </c>
      <c r="J512" s="2">
        <f>+INDEX(Sheet1!H:H, MATCH(Hoja1!G512, Sheet1!I:I, 0))</f>
        <v>7.9528792656717612E-2</v>
      </c>
      <c r="K512" s="2">
        <f>+INDEX(Sheet1!L:L, MATCH(Hoja1!G512,Sheet1!M:M, 0))</f>
        <v>9.6999999999999993</v>
      </c>
    </row>
    <row r="513" spans="1:11" ht="16" x14ac:dyDescent="0.25">
      <c r="A513" t="s">
        <v>462</v>
      </c>
      <c r="B513">
        <v>8</v>
      </c>
      <c r="C513">
        <v>2021</v>
      </c>
      <c r="D513" t="s">
        <v>469</v>
      </c>
      <c r="E513">
        <v>3.8</v>
      </c>
      <c r="F513">
        <v>3197944</v>
      </c>
      <c r="G513" s="1" t="str">
        <f t="shared" si="7"/>
        <v>Iowa2021</v>
      </c>
      <c r="H513">
        <f>+INDEX(Sheet1!C:C, MATCH(Hoja1!G513, Sheet1!D:D, 0))</f>
        <v>223870.9</v>
      </c>
      <c r="I513">
        <f>+INDEX(Sheet1!G:G, MATCH(Hoja1!G513, Sheet1!I:I, 0))</f>
        <v>107493</v>
      </c>
      <c r="J513" s="2">
        <f>+INDEX(Sheet1!H:H, MATCH(Hoja1!G513, Sheet1!I:I, 0))</f>
        <v>7.9528792656717612E-2</v>
      </c>
      <c r="K513" s="2">
        <f>+INDEX(Sheet1!L:L, MATCH(Hoja1!G513,Sheet1!M:M, 0))</f>
        <v>9.6999999999999993</v>
      </c>
    </row>
    <row r="514" spans="1:11" ht="16" x14ac:dyDescent="0.25">
      <c r="A514" t="s">
        <v>462</v>
      </c>
      <c r="B514">
        <v>9</v>
      </c>
      <c r="C514">
        <v>2021</v>
      </c>
      <c r="D514" t="s">
        <v>470</v>
      </c>
      <c r="E514">
        <v>3.6</v>
      </c>
      <c r="F514">
        <v>3197944</v>
      </c>
      <c r="G514" s="1" t="str">
        <f t="shared" si="7"/>
        <v>Iowa2021</v>
      </c>
      <c r="H514">
        <f>+INDEX(Sheet1!C:C, MATCH(Hoja1!G514, Sheet1!D:D, 0))</f>
        <v>223870.9</v>
      </c>
      <c r="I514">
        <f>+INDEX(Sheet1!G:G, MATCH(Hoja1!G514, Sheet1!I:I, 0))</f>
        <v>107493</v>
      </c>
      <c r="J514" s="2">
        <f>+INDEX(Sheet1!H:H, MATCH(Hoja1!G514, Sheet1!I:I, 0))</f>
        <v>7.9528792656717612E-2</v>
      </c>
      <c r="K514" s="2">
        <f>+INDEX(Sheet1!L:L, MATCH(Hoja1!G514,Sheet1!M:M, 0))</f>
        <v>9.6999999999999993</v>
      </c>
    </row>
    <row r="515" spans="1:11" ht="16" x14ac:dyDescent="0.25">
      <c r="A515" t="s">
        <v>462</v>
      </c>
      <c r="B515">
        <v>10</v>
      </c>
      <c r="C515">
        <v>2021</v>
      </c>
      <c r="D515" t="s">
        <v>471</v>
      </c>
      <c r="E515">
        <v>3.3</v>
      </c>
      <c r="F515">
        <v>3197944</v>
      </c>
      <c r="G515" s="1" t="str">
        <f t="shared" ref="G515:G578" si="8">+A515&amp;C515</f>
        <v>Iowa2021</v>
      </c>
      <c r="H515">
        <f>+INDEX(Sheet1!C:C, MATCH(Hoja1!G515, Sheet1!D:D, 0))</f>
        <v>223870.9</v>
      </c>
      <c r="I515">
        <f>+INDEX(Sheet1!G:G, MATCH(Hoja1!G515, Sheet1!I:I, 0))</f>
        <v>107493</v>
      </c>
      <c r="J515" s="2">
        <f>+INDEX(Sheet1!H:H, MATCH(Hoja1!G515, Sheet1!I:I, 0))</f>
        <v>7.9528792656717612E-2</v>
      </c>
      <c r="K515" s="2">
        <f>+INDEX(Sheet1!L:L, MATCH(Hoja1!G515,Sheet1!M:M, 0))</f>
        <v>9.6999999999999993</v>
      </c>
    </row>
    <row r="516" spans="1:11" ht="16" x14ac:dyDescent="0.25">
      <c r="A516" t="s">
        <v>462</v>
      </c>
      <c r="B516">
        <v>11</v>
      </c>
      <c r="C516">
        <v>2021</v>
      </c>
      <c r="D516" t="s">
        <v>472</v>
      </c>
      <c r="E516">
        <v>3.1</v>
      </c>
      <c r="F516">
        <v>3197944</v>
      </c>
      <c r="G516" s="1" t="str">
        <f t="shared" si="8"/>
        <v>Iowa2021</v>
      </c>
      <c r="H516">
        <f>+INDEX(Sheet1!C:C, MATCH(Hoja1!G516, Sheet1!D:D, 0))</f>
        <v>223870.9</v>
      </c>
      <c r="I516">
        <f>+INDEX(Sheet1!G:G, MATCH(Hoja1!G516, Sheet1!I:I, 0))</f>
        <v>107493</v>
      </c>
      <c r="J516" s="2">
        <f>+INDEX(Sheet1!H:H, MATCH(Hoja1!G516, Sheet1!I:I, 0))</f>
        <v>7.9528792656717612E-2</v>
      </c>
      <c r="K516" s="2">
        <f>+INDEX(Sheet1!L:L, MATCH(Hoja1!G516,Sheet1!M:M, 0))</f>
        <v>9.6999999999999993</v>
      </c>
    </row>
    <row r="517" spans="1:11" ht="16" x14ac:dyDescent="0.25">
      <c r="A517" t="s">
        <v>462</v>
      </c>
      <c r="B517">
        <v>12</v>
      </c>
      <c r="C517">
        <v>2021</v>
      </c>
      <c r="D517" t="s">
        <v>344</v>
      </c>
      <c r="E517">
        <v>2.9</v>
      </c>
      <c r="F517">
        <v>3197944</v>
      </c>
      <c r="G517" s="1" t="str">
        <f t="shared" si="8"/>
        <v>Iowa2021</v>
      </c>
      <c r="H517">
        <f>+INDEX(Sheet1!C:C, MATCH(Hoja1!G517, Sheet1!D:D, 0))</f>
        <v>223870.9</v>
      </c>
      <c r="I517">
        <f>+INDEX(Sheet1!G:G, MATCH(Hoja1!G517, Sheet1!I:I, 0))</f>
        <v>107493</v>
      </c>
      <c r="J517" s="2">
        <f>+INDEX(Sheet1!H:H, MATCH(Hoja1!G517, Sheet1!I:I, 0))</f>
        <v>7.9528792656717612E-2</v>
      </c>
      <c r="K517" s="2">
        <f>+INDEX(Sheet1!L:L, MATCH(Hoja1!G517,Sheet1!M:M, 0))</f>
        <v>9.6999999999999993</v>
      </c>
    </row>
    <row r="518" spans="1:11" ht="16" x14ac:dyDescent="0.25">
      <c r="A518" t="s">
        <v>462</v>
      </c>
      <c r="B518">
        <v>1</v>
      </c>
      <c r="C518">
        <v>2022</v>
      </c>
      <c r="D518" t="s">
        <v>473</v>
      </c>
      <c r="E518">
        <v>2.7</v>
      </c>
      <c r="F518">
        <v>3199693</v>
      </c>
      <c r="G518" s="1" t="str">
        <f t="shared" si="8"/>
        <v>Iowa2022</v>
      </c>
      <c r="H518">
        <f>+INDEX(Sheet1!C:C, MATCH(Hoja1!G518, Sheet1!D:D, 0))</f>
        <v>242752.9</v>
      </c>
      <c r="I518">
        <f>+INDEX(Sheet1!G:G, MATCH(Hoja1!G518, Sheet1!I:I, 0))</f>
        <v>107725</v>
      </c>
      <c r="J518" s="2">
        <f>+INDEX(Sheet1!H:H, MATCH(Hoja1!G518, Sheet1!I:I, 0))</f>
        <v>2.1582800740513335E-3</v>
      </c>
      <c r="K518" s="2">
        <f>+INDEX(Sheet1!L:L, MATCH(Hoja1!G518,Sheet1!M:M, 0))</f>
        <v>9.4</v>
      </c>
    </row>
    <row r="519" spans="1:11" ht="16" x14ac:dyDescent="0.25">
      <c r="A519" t="s">
        <v>462</v>
      </c>
      <c r="B519">
        <v>2</v>
      </c>
      <c r="C519">
        <v>2022</v>
      </c>
      <c r="D519" t="s">
        <v>474</v>
      </c>
      <c r="E519">
        <v>2.6</v>
      </c>
      <c r="F519">
        <v>3199693</v>
      </c>
      <c r="G519" s="1" t="str">
        <f t="shared" si="8"/>
        <v>Iowa2022</v>
      </c>
      <c r="H519">
        <f>+INDEX(Sheet1!C:C, MATCH(Hoja1!G519, Sheet1!D:D, 0))</f>
        <v>242752.9</v>
      </c>
      <c r="I519">
        <f>+INDEX(Sheet1!G:G, MATCH(Hoja1!G519, Sheet1!I:I, 0))</f>
        <v>107725</v>
      </c>
      <c r="J519" s="2">
        <f>+INDEX(Sheet1!H:H, MATCH(Hoja1!G519, Sheet1!I:I, 0))</f>
        <v>2.1582800740513335E-3</v>
      </c>
      <c r="K519" s="2">
        <f>+INDEX(Sheet1!L:L, MATCH(Hoja1!G519,Sheet1!M:M, 0))</f>
        <v>9.4</v>
      </c>
    </row>
    <row r="520" spans="1:11" ht="16" x14ac:dyDescent="0.25">
      <c r="A520" t="s">
        <v>462</v>
      </c>
      <c r="B520">
        <v>3</v>
      </c>
      <c r="C520">
        <v>2022</v>
      </c>
      <c r="D520" t="s">
        <v>475</v>
      </c>
      <c r="E520">
        <v>2.5</v>
      </c>
      <c r="F520">
        <v>3199693</v>
      </c>
      <c r="G520" s="1" t="str">
        <f t="shared" si="8"/>
        <v>Iowa2022</v>
      </c>
      <c r="H520">
        <f>+INDEX(Sheet1!C:C, MATCH(Hoja1!G520, Sheet1!D:D, 0))</f>
        <v>242752.9</v>
      </c>
      <c r="I520">
        <f>+INDEX(Sheet1!G:G, MATCH(Hoja1!G520, Sheet1!I:I, 0))</f>
        <v>107725</v>
      </c>
      <c r="J520" s="2">
        <f>+INDEX(Sheet1!H:H, MATCH(Hoja1!G520, Sheet1!I:I, 0))</f>
        <v>2.1582800740513335E-3</v>
      </c>
      <c r="K520" s="2">
        <f>+INDEX(Sheet1!L:L, MATCH(Hoja1!G520,Sheet1!M:M, 0))</f>
        <v>9.4</v>
      </c>
    </row>
    <row r="521" spans="1:11" ht="16" x14ac:dyDescent="0.25">
      <c r="A521" t="s">
        <v>462</v>
      </c>
      <c r="B521">
        <v>4</v>
      </c>
      <c r="C521">
        <v>2022</v>
      </c>
      <c r="D521" t="s">
        <v>476</v>
      </c>
      <c r="E521">
        <v>2.5</v>
      </c>
      <c r="F521">
        <v>3199693</v>
      </c>
      <c r="G521" s="1" t="str">
        <f t="shared" si="8"/>
        <v>Iowa2022</v>
      </c>
      <c r="H521">
        <f>+INDEX(Sheet1!C:C, MATCH(Hoja1!G521, Sheet1!D:D, 0))</f>
        <v>242752.9</v>
      </c>
      <c r="I521">
        <f>+INDEX(Sheet1!G:G, MATCH(Hoja1!G521, Sheet1!I:I, 0))</f>
        <v>107725</v>
      </c>
      <c r="J521" s="2">
        <f>+INDEX(Sheet1!H:H, MATCH(Hoja1!G521, Sheet1!I:I, 0))</f>
        <v>2.1582800740513335E-3</v>
      </c>
      <c r="K521" s="2">
        <f>+INDEX(Sheet1!L:L, MATCH(Hoja1!G521,Sheet1!M:M, 0))</f>
        <v>9.4</v>
      </c>
    </row>
    <row r="522" spans="1:11" ht="16" x14ac:dyDescent="0.25">
      <c r="A522" t="s">
        <v>462</v>
      </c>
      <c r="B522">
        <v>5</v>
      </c>
      <c r="C522">
        <v>2022</v>
      </c>
      <c r="D522" t="s">
        <v>477</v>
      </c>
      <c r="E522">
        <v>2.6</v>
      </c>
      <c r="F522">
        <v>3199693</v>
      </c>
      <c r="G522" s="1" t="str">
        <f t="shared" si="8"/>
        <v>Iowa2022</v>
      </c>
      <c r="H522">
        <f>+INDEX(Sheet1!C:C, MATCH(Hoja1!G522, Sheet1!D:D, 0))</f>
        <v>242752.9</v>
      </c>
      <c r="I522">
        <f>+INDEX(Sheet1!G:G, MATCH(Hoja1!G522, Sheet1!I:I, 0))</f>
        <v>107725</v>
      </c>
      <c r="J522" s="2">
        <f>+INDEX(Sheet1!H:H, MATCH(Hoja1!G522, Sheet1!I:I, 0))</f>
        <v>2.1582800740513335E-3</v>
      </c>
      <c r="K522" s="2">
        <f>+INDEX(Sheet1!L:L, MATCH(Hoja1!G522,Sheet1!M:M, 0))</f>
        <v>9.4</v>
      </c>
    </row>
    <row r="523" spans="1:11" ht="16" x14ac:dyDescent="0.25">
      <c r="A523" t="s">
        <v>462</v>
      </c>
      <c r="B523">
        <v>6</v>
      </c>
      <c r="C523">
        <v>2022</v>
      </c>
      <c r="D523" t="s">
        <v>478</v>
      </c>
      <c r="E523">
        <v>2.7</v>
      </c>
      <c r="F523">
        <v>3199693</v>
      </c>
      <c r="G523" s="1" t="str">
        <f t="shared" si="8"/>
        <v>Iowa2022</v>
      </c>
      <c r="H523">
        <f>+INDEX(Sheet1!C:C, MATCH(Hoja1!G523, Sheet1!D:D, 0))</f>
        <v>242752.9</v>
      </c>
      <c r="I523">
        <f>+INDEX(Sheet1!G:G, MATCH(Hoja1!G523, Sheet1!I:I, 0))</f>
        <v>107725</v>
      </c>
      <c r="J523" s="2">
        <f>+INDEX(Sheet1!H:H, MATCH(Hoja1!G523, Sheet1!I:I, 0))</f>
        <v>2.1582800740513335E-3</v>
      </c>
      <c r="K523" s="2">
        <f>+INDEX(Sheet1!L:L, MATCH(Hoja1!G523,Sheet1!M:M, 0))</f>
        <v>9.4</v>
      </c>
    </row>
    <row r="524" spans="1:11" ht="16" x14ac:dyDescent="0.25">
      <c r="A524" t="s">
        <v>462</v>
      </c>
      <c r="B524">
        <v>7</v>
      </c>
      <c r="C524">
        <v>2022</v>
      </c>
      <c r="D524">
        <v>24</v>
      </c>
      <c r="E524">
        <v>2.8</v>
      </c>
      <c r="F524">
        <v>3199693</v>
      </c>
      <c r="G524" s="1" t="str">
        <f t="shared" si="8"/>
        <v>Iowa2022</v>
      </c>
      <c r="H524">
        <f>+INDEX(Sheet1!C:C, MATCH(Hoja1!G524, Sheet1!D:D, 0))</f>
        <v>242752.9</v>
      </c>
      <c r="I524">
        <f>+INDEX(Sheet1!G:G, MATCH(Hoja1!G524, Sheet1!I:I, 0))</f>
        <v>107725</v>
      </c>
      <c r="J524" s="2">
        <f>+INDEX(Sheet1!H:H, MATCH(Hoja1!G524, Sheet1!I:I, 0))</f>
        <v>2.1582800740513335E-3</v>
      </c>
      <c r="K524" s="2">
        <f>+INDEX(Sheet1!L:L, MATCH(Hoja1!G524,Sheet1!M:M, 0))</f>
        <v>9.4</v>
      </c>
    </row>
    <row r="525" spans="1:11" ht="16" x14ac:dyDescent="0.25">
      <c r="A525" t="s">
        <v>462</v>
      </c>
      <c r="B525">
        <v>8</v>
      </c>
      <c r="C525">
        <v>2022</v>
      </c>
      <c r="D525" t="s">
        <v>226</v>
      </c>
      <c r="E525">
        <v>3</v>
      </c>
      <c r="F525">
        <v>3199693</v>
      </c>
      <c r="G525" s="1" t="str">
        <f t="shared" si="8"/>
        <v>Iowa2022</v>
      </c>
      <c r="H525">
        <f>+INDEX(Sheet1!C:C, MATCH(Hoja1!G525, Sheet1!D:D, 0))</f>
        <v>242752.9</v>
      </c>
      <c r="I525">
        <f>+INDEX(Sheet1!G:G, MATCH(Hoja1!G525, Sheet1!I:I, 0))</f>
        <v>107725</v>
      </c>
      <c r="J525" s="2">
        <f>+INDEX(Sheet1!H:H, MATCH(Hoja1!G525, Sheet1!I:I, 0))</f>
        <v>2.1582800740513335E-3</v>
      </c>
      <c r="K525" s="2">
        <f>+INDEX(Sheet1!L:L, MATCH(Hoja1!G525,Sheet1!M:M, 0))</f>
        <v>9.4</v>
      </c>
    </row>
    <row r="526" spans="1:11" ht="16" x14ac:dyDescent="0.25">
      <c r="A526" t="s">
        <v>462</v>
      </c>
      <c r="B526">
        <v>9</v>
      </c>
      <c r="C526">
        <v>2022</v>
      </c>
      <c r="D526" t="s">
        <v>35</v>
      </c>
      <c r="E526">
        <v>3.1</v>
      </c>
      <c r="F526">
        <v>3199693</v>
      </c>
      <c r="G526" s="1" t="str">
        <f t="shared" si="8"/>
        <v>Iowa2022</v>
      </c>
      <c r="H526">
        <f>+INDEX(Sheet1!C:C, MATCH(Hoja1!G526, Sheet1!D:D, 0))</f>
        <v>242752.9</v>
      </c>
      <c r="I526">
        <f>+INDEX(Sheet1!G:G, MATCH(Hoja1!G526, Sheet1!I:I, 0))</f>
        <v>107725</v>
      </c>
      <c r="J526" s="2">
        <f>+INDEX(Sheet1!H:H, MATCH(Hoja1!G526, Sheet1!I:I, 0))</f>
        <v>2.1582800740513335E-3</v>
      </c>
      <c r="K526" s="2">
        <f>+INDEX(Sheet1!L:L, MATCH(Hoja1!G526,Sheet1!M:M, 0))</f>
        <v>9.4</v>
      </c>
    </row>
    <row r="527" spans="1:11" ht="16" x14ac:dyDescent="0.25">
      <c r="A527" t="s">
        <v>462</v>
      </c>
      <c r="B527">
        <v>10</v>
      </c>
      <c r="C527">
        <v>2022</v>
      </c>
      <c r="D527" t="s">
        <v>479</v>
      </c>
      <c r="E527">
        <v>3.1</v>
      </c>
      <c r="F527">
        <v>3199693</v>
      </c>
      <c r="G527" s="1" t="str">
        <f t="shared" si="8"/>
        <v>Iowa2022</v>
      </c>
      <c r="H527">
        <f>+INDEX(Sheet1!C:C, MATCH(Hoja1!G527, Sheet1!D:D, 0))</f>
        <v>242752.9</v>
      </c>
      <c r="I527">
        <f>+INDEX(Sheet1!G:G, MATCH(Hoja1!G527, Sheet1!I:I, 0))</f>
        <v>107725</v>
      </c>
      <c r="J527" s="2">
        <f>+INDEX(Sheet1!H:H, MATCH(Hoja1!G527, Sheet1!I:I, 0))</f>
        <v>2.1582800740513335E-3</v>
      </c>
      <c r="K527" s="2">
        <f>+INDEX(Sheet1!L:L, MATCH(Hoja1!G527,Sheet1!M:M, 0))</f>
        <v>9.4</v>
      </c>
    </row>
    <row r="528" spans="1:11" ht="16" x14ac:dyDescent="0.25">
      <c r="A528" t="s">
        <v>462</v>
      </c>
      <c r="B528">
        <v>11</v>
      </c>
      <c r="C528">
        <v>2022</v>
      </c>
      <c r="D528" t="s">
        <v>27</v>
      </c>
      <c r="E528">
        <v>3.1</v>
      </c>
      <c r="F528">
        <v>3199693</v>
      </c>
      <c r="G528" s="1" t="str">
        <f t="shared" si="8"/>
        <v>Iowa2022</v>
      </c>
      <c r="H528">
        <f>+INDEX(Sheet1!C:C, MATCH(Hoja1!G528, Sheet1!D:D, 0))</f>
        <v>242752.9</v>
      </c>
      <c r="I528">
        <f>+INDEX(Sheet1!G:G, MATCH(Hoja1!G528, Sheet1!I:I, 0))</f>
        <v>107725</v>
      </c>
      <c r="J528" s="2">
        <f>+INDEX(Sheet1!H:H, MATCH(Hoja1!G528, Sheet1!I:I, 0))</f>
        <v>2.1582800740513335E-3</v>
      </c>
      <c r="K528" s="2">
        <f>+INDEX(Sheet1!L:L, MATCH(Hoja1!G528,Sheet1!M:M, 0))</f>
        <v>9.4</v>
      </c>
    </row>
    <row r="529" spans="1:11" ht="16" x14ac:dyDescent="0.25">
      <c r="A529" t="s">
        <v>462</v>
      </c>
      <c r="B529">
        <v>12</v>
      </c>
      <c r="C529">
        <v>2022</v>
      </c>
      <c r="D529" t="s">
        <v>480</v>
      </c>
      <c r="E529">
        <v>3</v>
      </c>
      <c r="F529">
        <v>3199693</v>
      </c>
      <c r="G529" s="1" t="str">
        <f t="shared" si="8"/>
        <v>Iowa2022</v>
      </c>
      <c r="H529">
        <f>+INDEX(Sheet1!C:C, MATCH(Hoja1!G529, Sheet1!D:D, 0))</f>
        <v>242752.9</v>
      </c>
      <c r="I529">
        <f>+INDEX(Sheet1!G:G, MATCH(Hoja1!G529, Sheet1!I:I, 0))</f>
        <v>107725</v>
      </c>
      <c r="J529" s="2">
        <f>+INDEX(Sheet1!H:H, MATCH(Hoja1!G529, Sheet1!I:I, 0))</f>
        <v>2.1582800740513335E-3</v>
      </c>
      <c r="K529" s="2">
        <f>+INDEX(Sheet1!L:L, MATCH(Hoja1!G529,Sheet1!M:M, 0))</f>
        <v>9.4</v>
      </c>
    </row>
    <row r="530" spans="1:11" ht="16" x14ac:dyDescent="0.25">
      <c r="A530" t="s">
        <v>462</v>
      </c>
      <c r="B530">
        <v>1</v>
      </c>
      <c r="C530">
        <v>2023</v>
      </c>
      <c r="D530" t="s">
        <v>481</v>
      </c>
      <c r="E530">
        <v>2.9</v>
      </c>
      <c r="F530">
        <v>3207004</v>
      </c>
      <c r="G530" s="1" t="str">
        <f t="shared" si="8"/>
        <v>Iowa2023</v>
      </c>
      <c r="H530">
        <f>+INDEX(Sheet1!C:C, MATCH(Hoja1!G530, Sheet1!D:D, 0))</f>
        <v>254032</v>
      </c>
      <c r="I530">
        <f>+INDEX(Sheet1!G:G, MATCH(Hoja1!G530, Sheet1!I:I, 0))</f>
        <v>107977</v>
      </c>
      <c r="J530" s="2">
        <f>+INDEX(Sheet1!H:H, MATCH(Hoja1!G530, Sheet1!I:I, 0))</f>
        <v>2.339289858435832E-3</v>
      </c>
      <c r="K530" s="2">
        <f>+INDEX(Sheet1!L:L, MATCH(Hoja1!G530,Sheet1!M:M, 0))</f>
        <v>8</v>
      </c>
    </row>
    <row r="531" spans="1:11" ht="16" x14ac:dyDescent="0.25">
      <c r="A531" t="s">
        <v>462</v>
      </c>
      <c r="B531">
        <v>2</v>
      </c>
      <c r="C531">
        <v>2023</v>
      </c>
      <c r="D531" t="s">
        <v>482</v>
      </c>
      <c r="E531">
        <v>2.9</v>
      </c>
      <c r="F531">
        <v>3207004</v>
      </c>
      <c r="G531" s="1" t="str">
        <f t="shared" si="8"/>
        <v>Iowa2023</v>
      </c>
      <c r="H531">
        <f>+INDEX(Sheet1!C:C, MATCH(Hoja1!G531, Sheet1!D:D, 0))</f>
        <v>254032</v>
      </c>
      <c r="I531">
        <f>+INDEX(Sheet1!G:G, MATCH(Hoja1!G531, Sheet1!I:I, 0))</f>
        <v>107977</v>
      </c>
      <c r="J531" s="2">
        <f>+INDEX(Sheet1!H:H, MATCH(Hoja1!G531, Sheet1!I:I, 0))</f>
        <v>2.339289858435832E-3</v>
      </c>
      <c r="K531" s="2">
        <f>+INDEX(Sheet1!L:L, MATCH(Hoja1!G531,Sheet1!M:M, 0))</f>
        <v>8</v>
      </c>
    </row>
    <row r="532" spans="1:11" ht="16" x14ac:dyDescent="0.25">
      <c r="A532" t="s">
        <v>462</v>
      </c>
      <c r="B532">
        <v>3</v>
      </c>
      <c r="C532">
        <v>2023</v>
      </c>
      <c r="D532" t="s">
        <v>483</v>
      </c>
      <c r="E532">
        <v>2.8</v>
      </c>
      <c r="F532">
        <v>3207004</v>
      </c>
      <c r="G532" s="1" t="str">
        <f t="shared" si="8"/>
        <v>Iowa2023</v>
      </c>
      <c r="H532">
        <f>+INDEX(Sheet1!C:C, MATCH(Hoja1!G532, Sheet1!D:D, 0))</f>
        <v>254032</v>
      </c>
      <c r="I532">
        <f>+INDEX(Sheet1!G:G, MATCH(Hoja1!G532, Sheet1!I:I, 0))</f>
        <v>107977</v>
      </c>
      <c r="J532" s="2">
        <f>+INDEX(Sheet1!H:H, MATCH(Hoja1!G532, Sheet1!I:I, 0))</f>
        <v>2.339289858435832E-3</v>
      </c>
      <c r="K532" s="2">
        <f>+INDEX(Sheet1!L:L, MATCH(Hoja1!G532,Sheet1!M:M, 0))</f>
        <v>8</v>
      </c>
    </row>
    <row r="533" spans="1:11" ht="16" x14ac:dyDescent="0.25">
      <c r="A533" t="s">
        <v>462</v>
      </c>
      <c r="B533">
        <v>4</v>
      </c>
      <c r="C533">
        <v>2023</v>
      </c>
      <c r="D533" t="s">
        <v>236</v>
      </c>
      <c r="E533">
        <v>2.8</v>
      </c>
      <c r="F533">
        <v>3207004</v>
      </c>
      <c r="G533" s="1" t="str">
        <f t="shared" si="8"/>
        <v>Iowa2023</v>
      </c>
      <c r="H533">
        <f>+INDEX(Sheet1!C:C, MATCH(Hoja1!G533, Sheet1!D:D, 0))</f>
        <v>254032</v>
      </c>
      <c r="I533">
        <f>+INDEX(Sheet1!G:G, MATCH(Hoja1!G533, Sheet1!I:I, 0))</f>
        <v>107977</v>
      </c>
      <c r="J533" s="2">
        <f>+INDEX(Sheet1!H:H, MATCH(Hoja1!G533, Sheet1!I:I, 0))</f>
        <v>2.339289858435832E-3</v>
      </c>
      <c r="K533" s="2">
        <f>+INDEX(Sheet1!L:L, MATCH(Hoja1!G533,Sheet1!M:M, 0))</f>
        <v>8</v>
      </c>
    </row>
    <row r="534" spans="1:11" ht="16" x14ac:dyDescent="0.25">
      <c r="A534" t="s">
        <v>462</v>
      </c>
      <c r="B534">
        <v>5</v>
      </c>
      <c r="C534">
        <v>2023</v>
      </c>
      <c r="D534" t="s">
        <v>484</v>
      </c>
      <c r="E534">
        <v>2.8</v>
      </c>
      <c r="F534">
        <v>3207004</v>
      </c>
      <c r="G534" s="1" t="str">
        <f t="shared" si="8"/>
        <v>Iowa2023</v>
      </c>
      <c r="H534">
        <f>+INDEX(Sheet1!C:C, MATCH(Hoja1!G534, Sheet1!D:D, 0))</f>
        <v>254032</v>
      </c>
      <c r="I534">
        <f>+INDEX(Sheet1!G:G, MATCH(Hoja1!G534, Sheet1!I:I, 0))</f>
        <v>107977</v>
      </c>
      <c r="J534" s="2">
        <f>+INDEX(Sheet1!H:H, MATCH(Hoja1!G534, Sheet1!I:I, 0))</f>
        <v>2.339289858435832E-3</v>
      </c>
      <c r="K534" s="2">
        <f>+INDEX(Sheet1!L:L, MATCH(Hoja1!G534,Sheet1!M:M, 0))</f>
        <v>8</v>
      </c>
    </row>
    <row r="535" spans="1:11" ht="16" x14ac:dyDescent="0.25">
      <c r="A535" t="s">
        <v>462</v>
      </c>
      <c r="B535">
        <v>6</v>
      </c>
      <c r="C535">
        <v>2023</v>
      </c>
      <c r="D535" t="s">
        <v>309</v>
      </c>
      <c r="E535">
        <v>2.9</v>
      </c>
      <c r="F535">
        <v>3207004</v>
      </c>
      <c r="G535" s="1" t="str">
        <f t="shared" si="8"/>
        <v>Iowa2023</v>
      </c>
      <c r="H535">
        <f>+INDEX(Sheet1!C:C, MATCH(Hoja1!G535, Sheet1!D:D, 0))</f>
        <v>254032</v>
      </c>
      <c r="I535">
        <f>+INDEX(Sheet1!G:G, MATCH(Hoja1!G535, Sheet1!I:I, 0))</f>
        <v>107977</v>
      </c>
      <c r="J535" s="2">
        <f>+INDEX(Sheet1!H:H, MATCH(Hoja1!G535, Sheet1!I:I, 0))</f>
        <v>2.339289858435832E-3</v>
      </c>
      <c r="K535" s="2">
        <f>+INDEX(Sheet1!L:L, MATCH(Hoja1!G535,Sheet1!M:M, 0))</f>
        <v>8</v>
      </c>
    </row>
    <row r="536" spans="1:11" ht="16" x14ac:dyDescent="0.25">
      <c r="A536" t="s">
        <v>462</v>
      </c>
      <c r="B536">
        <v>7</v>
      </c>
      <c r="C536">
        <v>2023</v>
      </c>
      <c r="D536" t="s">
        <v>485</v>
      </c>
      <c r="E536">
        <v>3</v>
      </c>
      <c r="F536">
        <v>3207004</v>
      </c>
      <c r="G536" s="1" t="str">
        <f t="shared" si="8"/>
        <v>Iowa2023</v>
      </c>
      <c r="H536">
        <f>+INDEX(Sheet1!C:C, MATCH(Hoja1!G536, Sheet1!D:D, 0))</f>
        <v>254032</v>
      </c>
      <c r="I536">
        <f>+INDEX(Sheet1!G:G, MATCH(Hoja1!G536, Sheet1!I:I, 0))</f>
        <v>107977</v>
      </c>
      <c r="J536" s="2">
        <f>+INDEX(Sheet1!H:H, MATCH(Hoja1!G536, Sheet1!I:I, 0))</f>
        <v>2.339289858435832E-3</v>
      </c>
      <c r="K536" s="2">
        <f>+INDEX(Sheet1!L:L, MATCH(Hoja1!G536,Sheet1!M:M, 0))</f>
        <v>8</v>
      </c>
    </row>
    <row r="537" spans="1:11" ht="16" x14ac:dyDescent="0.25">
      <c r="A537" t="s">
        <v>462</v>
      </c>
      <c r="B537">
        <v>8</v>
      </c>
      <c r="C537">
        <v>2023</v>
      </c>
      <c r="D537" t="s">
        <v>486</v>
      </c>
      <c r="E537">
        <v>3.1</v>
      </c>
      <c r="F537">
        <v>3207004</v>
      </c>
      <c r="G537" s="1" t="str">
        <f t="shared" si="8"/>
        <v>Iowa2023</v>
      </c>
      <c r="H537">
        <f>+INDEX(Sheet1!C:C, MATCH(Hoja1!G537, Sheet1!D:D, 0))</f>
        <v>254032</v>
      </c>
      <c r="I537">
        <f>+INDEX(Sheet1!G:G, MATCH(Hoja1!G537, Sheet1!I:I, 0))</f>
        <v>107977</v>
      </c>
      <c r="J537" s="2">
        <f>+INDEX(Sheet1!H:H, MATCH(Hoja1!G537, Sheet1!I:I, 0))</f>
        <v>2.339289858435832E-3</v>
      </c>
      <c r="K537" s="2">
        <f>+INDEX(Sheet1!L:L, MATCH(Hoja1!G537,Sheet1!M:M, 0))</f>
        <v>8</v>
      </c>
    </row>
    <row r="538" spans="1:11" ht="16" x14ac:dyDescent="0.25">
      <c r="A538" t="s">
        <v>462</v>
      </c>
      <c r="B538">
        <v>9</v>
      </c>
      <c r="C538">
        <v>2023</v>
      </c>
      <c r="D538" t="s">
        <v>481</v>
      </c>
      <c r="E538">
        <v>3.1</v>
      </c>
      <c r="F538">
        <v>3207004</v>
      </c>
      <c r="G538" s="1" t="str">
        <f t="shared" si="8"/>
        <v>Iowa2023</v>
      </c>
      <c r="H538">
        <f>+INDEX(Sheet1!C:C, MATCH(Hoja1!G538, Sheet1!D:D, 0))</f>
        <v>254032</v>
      </c>
      <c r="I538">
        <f>+INDEX(Sheet1!G:G, MATCH(Hoja1!G538, Sheet1!I:I, 0))</f>
        <v>107977</v>
      </c>
      <c r="J538" s="2">
        <f>+INDEX(Sheet1!H:H, MATCH(Hoja1!G538, Sheet1!I:I, 0))</f>
        <v>2.339289858435832E-3</v>
      </c>
      <c r="K538" s="2">
        <f>+INDEX(Sheet1!L:L, MATCH(Hoja1!G538,Sheet1!M:M, 0))</f>
        <v>8</v>
      </c>
    </row>
    <row r="539" spans="1:11" ht="16" x14ac:dyDescent="0.25">
      <c r="A539" t="s">
        <v>462</v>
      </c>
      <c r="B539">
        <v>10</v>
      </c>
      <c r="C539">
        <v>2023</v>
      </c>
      <c r="D539" t="s">
        <v>487</v>
      </c>
      <c r="E539">
        <v>3.1</v>
      </c>
      <c r="F539">
        <v>3207004</v>
      </c>
      <c r="G539" s="1" t="str">
        <f t="shared" si="8"/>
        <v>Iowa2023</v>
      </c>
      <c r="H539">
        <f>+INDEX(Sheet1!C:C, MATCH(Hoja1!G539, Sheet1!D:D, 0))</f>
        <v>254032</v>
      </c>
      <c r="I539">
        <f>+INDEX(Sheet1!G:G, MATCH(Hoja1!G539, Sheet1!I:I, 0))</f>
        <v>107977</v>
      </c>
      <c r="J539" s="2">
        <f>+INDEX(Sheet1!H:H, MATCH(Hoja1!G539, Sheet1!I:I, 0))</f>
        <v>2.339289858435832E-3</v>
      </c>
      <c r="K539" s="2">
        <f>+INDEX(Sheet1!L:L, MATCH(Hoja1!G539,Sheet1!M:M, 0))</f>
        <v>8</v>
      </c>
    </row>
    <row r="540" spans="1:11" ht="16" x14ac:dyDescent="0.25">
      <c r="A540" t="s">
        <v>462</v>
      </c>
      <c r="B540">
        <v>11</v>
      </c>
      <c r="C540">
        <v>2023</v>
      </c>
      <c r="D540" t="s">
        <v>488</v>
      </c>
      <c r="E540">
        <v>3.1</v>
      </c>
      <c r="F540">
        <v>3207004</v>
      </c>
      <c r="G540" s="1" t="str">
        <f t="shared" si="8"/>
        <v>Iowa2023</v>
      </c>
      <c r="H540">
        <f>+INDEX(Sheet1!C:C, MATCH(Hoja1!G540, Sheet1!D:D, 0))</f>
        <v>254032</v>
      </c>
      <c r="I540">
        <f>+INDEX(Sheet1!G:G, MATCH(Hoja1!G540, Sheet1!I:I, 0))</f>
        <v>107977</v>
      </c>
      <c r="J540" s="2">
        <f>+INDEX(Sheet1!H:H, MATCH(Hoja1!G540, Sheet1!I:I, 0))</f>
        <v>2.339289858435832E-3</v>
      </c>
      <c r="K540" s="2">
        <f>+INDEX(Sheet1!L:L, MATCH(Hoja1!G540,Sheet1!M:M, 0))</f>
        <v>8</v>
      </c>
    </row>
    <row r="541" spans="1:11" ht="16" x14ac:dyDescent="0.25">
      <c r="A541" t="s">
        <v>462</v>
      </c>
      <c r="B541">
        <v>12</v>
      </c>
      <c r="C541">
        <v>2023</v>
      </c>
      <c r="D541" t="s">
        <v>489</v>
      </c>
      <c r="E541">
        <v>3</v>
      </c>
      <c r="F541">
        <v>3207004</v>
      </c>
      <c r="G541" s="1" t="str">
        <f t="shared" si="8"/>
        <v>Iowa2023</v>
      </c>
      <c r="H541">
        <f>+INDEX(Sheet1!C:C, MATCH(Hoja1!G541, Sheet1!D:D, 0))</f>
        <v>254032</v>
      </c>
      <c r="I541">
        <f>+INDEX(Sheet1!G:G, MATCH(Hoja1!G541, Sheet1!I:I, 0))</f>
        <v>107977</v>
      </c>
      <c r="J541" s="2">
        <f>+INDEX(Sheet1!H:H, MATCH(Hoja1!G541, Sheet1!I:I, 0))</f>
        <v>2.339289858435832E-3</v>
      </c>
      <c r="K541" s="2">
        <f>+INDEX(Sheet1!L:L, MATCH(Hoja1!G541,Sheet1!M:M, 0))</f>
        <v>8</v>
      </c>
    </row>
    <row r="542" spans="1:11" ht="16" x14ac:dyDescent="0.25">
      <c r="A542" t="s">
        <v>490</v>
      </c>
      <c r="B542">
        <v>1</v>
      </c>
      <c r="C542">
        <v>2021</v>
      </c>
      <c r="D542" t="s">
        <v>491</v>
      </c>
      <c r="E542">
        <v>4.3</v>
      </c>
      <c r="F542">
        <v>2937946</v>
      </c>
      <c r="G542" s="1" t="str">
        <f t="shared" si="8"/>
        <v>Kansas2021</v>
      </c>
      <c r="H542">
        <f>+INDEX(Sheet1!C:C, MATCH(Hoja1!G542, Sheet1!D:D, 0))</f>
        <v>191738.1</v>
      </c>
      <c r="I542">
        <f>+INDEX(Sheet1!G:G, MATCH(Hoja1!G542, Sheet1!I:I, 0))</f>
        <v>103915</v>
      </c>
      <c r="J542" s="2">
        <f>+INDEX(Sheet1!H:H, MATCH(Hoja1!G542, Sheet1!I:I, 0))</f>
        <v>2.8128462877948394E-2</v>
      </c>
      <c r="K542" s="2">
        <f>+INDEX(Sheet1!L:L, MATCH(Hoja1!G542,Sheet1!M:M, 0))</f>
        <v>7.1</v>
      </c>
    </row>
    <row r="543" spans="1:11" ht="16" x14ac:dyDescent="0.25">
      <c r="A543" t="s">
        <v>490</v>
      </c>
      <c r="B543">
        <v>2</v>
      </c>
      <c r="C543">
        <v>2021</v>
      </c>
      <c r="D543" t="s">
        <v>492</v>
      </c>
      <c r="E543">
        <v>4</v>
      </c>
      <c r="F543">
        <v>2937946</v>
      </c>
      <c r="G543" s="1" t="str">
        <f t="shared" si="8"/>
        <v>Kansas2021</v>
      </c>
      <c r="H543">
        <f>+INDEX(Sheet1!C:C, MATCH(Hoja1!G543, Sheet1!D:D, 0))</f>
        <v>191738.1</v>
      </c>
      <c r="I543">
        <f>+INDEX(Sheet1!G:G, MATCH(Hoja1!G543, Sheet1!I:I, 0))</f>
        <v>103915</v>
      </c>
      <c r="J543" s="2">
        <f>+INDEX(Sheet1!H:H, MATCH(Hoja1!G543, Sheet1!I:I, 0))</f>
        <v>2.8128462877948394E-2</v>
      </c>
      <c r="K543" s="2">
        <f>+INDEX(Sheet1!L:L, MATCH(Hoja1!G543,Sheet1!M:M, 0))</f>
        <v>7.1</v>
      </c>
    </row>
    <row r="544" spans="1:11" ht="16" x14ac:dyDescent="0.25">
      <c r="A544" t="s">
        <v>490</v>
      </c>
      <c r="B544">
        <v>3</v>
      </c>
      <c r="C544">
        <v>2021</v>
      </c>
      <c r="D544" t="s">
        <v>425</v>
      </c>
      <c r="E544">
        <v>3.7</v>
      </c>
      <c r="F544">
        <v>2937946</v>
      </c>
      <c r="G544" s="1" t="str">
        <f t="shared" si="8"/>
        <v>Kansas2021</v>
      </c>
      <c r="H544">
        <f>+INDEX(Sheet1!C:C, MATCH(Hoja1!G544, Sheet1!D:D, 0))</f>
        <v>191738.1</v>
      </c>
      <c r="I544">
        <f>+INDEX(Sheet1!G:G, MATCH(Hoja1!G544, Sheet1!I:I, 0))</f>
        <v>103915</v>
      </c>
      <c r="J544" s="2">
        <f>+INDEX(Sheet1!H:H, MATCH(Hoja1!G544, Sheet1!I:I, 0))</f>
        <v>2.8128462877948394E-2</v>
      </c>
      <c r="K544" s="2">
        <f>+INDEX(Sheet1!L:L, MATCH(Hoja1!G544,Sheet1!M:M, 0))</f>
        <v>7.1</v>
      </c>
    </row>
    <row r="545" spans="1:11" ht="16" x14ac:dyDescent="0.25">
      <c r="A545" t="s">
        <v>490</v>
      </c>
      <c r="B545">
        <v>4</v>
      </c>
      <c r="C545">
        <v>2021</v>
      </c>
      <c r="D545" t="s">
        <v>122</v>
      </c>
      <c r="E545">
        <v>3.4</v>
      </c>
      <c r="F545">
        <v>2937946</v>
      </c>
      <c r="G545" s="1" t="str">
        <f t="shared" si="8"/>
        <v>Kansas2021</v>
      </c>
      <c r="H545">
        <f>+INDEX(Sheet1!C:C, MATCH(Hoja1!G545, Sheet1!D:D, 0))</f>
        <v>191738.1</v>
      </c>
      <c r="I545">
        <f>+INDEX(Sheet1!G:G, MATCH(Hoja1!G545, Sheet1!I:I, 0))</f>
        <v>103915</v>
      </c>
      <c r="J545" s="2">
        <f>+INDEX(Sheet1!H:H, MATCH(Hoja1!G545, Sheet1!I:I, 0))</f>
        <v>2.8128462877948394E-2</v>
      </c>
      <c r="K545" s="2">
        <f>+INDEX(Sheet1!L:L, MATCH(Hoja1!G545,Sheet1!M:M, 0))</f>
        <v>7.1</v>
      </c>
    </row>
    <row r="546" spans="1:11" ht="16" x14ac:dyDescent="0.25">
      <c r="A546" t="s">
        <v>490</v>
      </c>
      <c r="B546">
        <v>5</v>
      </c>
      <c r="C546">
        <v>2021</v>
      </c>
      <c r="D546" t="s">
        <v>493</v>
      </c>
      <c r="E546">
        <v>3.4</v>
      </c>
      <c r="F546">
        <v>2937946</v>
      </c>
      <c r="G546" s="1" t="str">
        <f t="shared" si="8"/>
        <v>Kansas2021</v>
      </c>
      <c r="H546">
        <f>+INDEX(Sheet1!C:C, MATCH(Hoja1!G546, Sheet1!D:D, 0))</f>
        <v>191738.1</v>
      </c>
      <c r="I546">
        <f>+INDEX(Sheet1!G:G, MATCH(Hoja1!G546, Sheet1!I:I, 0))</f>
        <v>103915</v>
      </c>
      <c r="J546" s="2">
        <f>+INDEX(Sheet1!H:H, MATCH(Hoja1!G546, Sheet1!I:I, 0))</f>
        <v>2.8128462877948394E-2</v>
      </c>
      <c r="K546" s="2">
        <f>+INDEX(Sheet1!L:L, MATCH(Hoja1!G546,Sheet1!M:M, 0))</f>
        <v>7.1</v>
      </c>
    </row>
    <row r="547" spans="1:11" ht="16" x14ac:dyDescent="0.25">
      <c r="A547" t="s">
        <v>490</v>
      </c>
      <c r="B547">
        <v>6</v>
      </c>
      <c r="C547">
        <v>2021</v>
      </c>
      <c r="D547" t="s">
        <v>229</v>
      </c>
      <c r="E547">
        <v>4</v>
      </c>
      <c r="F547">
        <v>2937946</v>
      </c>
      <c r="G547" s="1" t="str">
        <f t="shared" si="8"/>
        <v>Kansas2021</v>
      </c>
      <c r="H547">
        <f>+INDEX(Sheet1!C:C, MATCH(Hoja1!G547, Sheet1!D:D, 0))</f>
        <v>191738.1</v>
      </c>
      <c r="I547">
        <f>+INDEX(Sheet1!G:G, MATCH(Hoja1!G547, Sheet1!I:I, 0))</f>
        <v>103915</v>
      </c>
      <c r="J547" s="2">
        <f>+INDEX(Sheet1!H:H, MATCH(Hoja1!G547, Sheet1!I:I, 0))</f>
        <v>2.8128462877948394E-2</v>
      </c>
      <c r="K547" s="2">
        <f>+INDEX(Sheet1!L:L, MATCH(Hoja1!G547,Sheet1!M:M, 0))</f>
        <v>7.1</v>
      </c>
    </row>
    <row r="548" spans="1:11" ht="16" x14ac:dyDescent="0.25">
      <c r="A548" t="s">
        <v>490</v>
      </c>
      <c r="B548">
        <v>7</v>
      </c>
      <c r="C548">
        <v>2021</v>
      </c>
      <c r="D548" t="s">
        <v>184</v>
      </c>
      <c r="E548">
        <v>4.0999999999999996</v>
      </c>
      <c r="F548">
        <v>2937946</v>
      </c>
      <c r="G548" s="1" t="str">
        <f t="shared" si="8"/>
        <v>Kansas2021</v>
      </c>
      <c r="H548">
        <f>+INDEX(Sheet1!C:C, MATCH(Hoja1!G548, Sheet1!D:D, 0))</f>
        <v>191738.1</v>
      </c>
      <c r="I548">
        <f>+INDEX(Sheet1!G:G, MATCH(Hoja1!G548, Sheet1!I:I, 0))</f>
        <v>103915</v>
      </c>
      <c r="J548" s="2">
        <f>+INDEX(Sheet1!H:H, MATCH(Hoja1!G548, Sheet1!I:I, 0))</f>
        <v>2.8128462877948394E-2</v>
      </c>
      <c r="K548" s="2">
        <f>+INDEX(Sheet1!L:L, MATCH(Hoja1!G548,Sheet1!M:M, 0))</f>
        <v>7.1</v>
      </c>
    </row>
    <row r="549" spans="1:11" ht="16" x14ac:dyDescent="0.25">
      <c r="A549" t="s">
        <v>490</v>
      </c>
      <c r="B549">
        <v>8</v>
      </c>
      <c r="C549">
        <v>2021</v>
      </c>
      <c r="D549" t="s">
        <v>494</v>
      </c>
      <c r="E549">
        <v>3.6</v>
      </c>
      <c r="F549">
        <v>2937946</v>
      </c>
      <c r="G549" s="1" t="str">
        <f t="shared" si="8"/>
        <v>Kansas2021</v>
      </c>
      <c r="H549">
        <f>+INDEX(Sheet1!C:C, MATCH(Hoja1!G549, Sheet1!D:D, 0))</f>
        <v>191738.1</v>
      </c>
      <c r="I549">
        <f>+INDEX(Sheet1!G:G, MATCH(Hoja1!G549, Sheet1!I:I, 0))</f>
        <v>103915</v>
      </c>
      <c r="J549" s="2">
        <f>+INDEX(Sheet1!H:H, MATCH(Hoja1!G549, Sheet1!I:I, 0))</f>
        <v>2.8128462877948394E-2</v>
      </c>
      <c r="K549" s="2">
        <f>+INDEX(Sheet1!L:L, MATCH(Hoja1!G549,Sheet1!M:M, 0))</f>
        <v>7.1</v>
      </c>
    </row>
    <row r="550" spans="1:11" ht="16" x14ac:dyDescent="0.25">
      <c r="A550" t="s">
        <v>490</v>
      </c>
      <c r="B550">
        <v>9</v>
      </c>
      <c r="C550">
        <v>2021</v>
      </c>
      <c r="D550" t="s">
        <v>495</v>
      </c>
      <c r="E550">
        <v>2.8</v>
      </c>
      <c r="F550">
        <v>2937946</v>
      </c>
      <c r="G550" s="1" t="str">
        <f t="shared" si="8"/>
        <v>Kansas2021</v>
      </c>
      <c r="H550">
        <f>+INDEX(Sheet1!C:C, MATCH(Hoja1!G550, Sheet1!D:D, 0))</f>
        <v>191738.1</v>
      </c>
      <c r="I550">
        <f>+INDEX(Sheet1!G:G, MATCH(Hoja1!G550, Sheet1!I:I, 0))</f>
        <v>103915</v>
      </c>
      <c r="J550" s="2">
        <f>+INDEX(Sheet1!H:H, MATCH(Hoja1!G550, Sheet1!I:I, 0))</f>
        <v>2.8128462877948394E-2</v>
      </c>
      <c r="K550" s="2">
        <f>+INDEX(Sheet1!L:L, MATCH(Hoja1!G550,Sheet1!M:M, 0))</f>
        <v>7.1</v>
      </c>
    </row>
    <row r="551" spans="1:11" ht="16" x14ac:dyDescent="0.25">
      <c r="A551" t="s">
        <v>490</v>
      </c>
      <c r="B551">
        <v>10</v>
      </c>
      <c r="C551">
        <v>2021</v>
      </c>
      <c r="D551" t="s">
        <v>496</v>
      </c>
      <c r="E551">
        <v>2.7</v>
      </c>
      <c r="F551">
        <v>2937946</v>
      </c>
      <c r="G551" s="1" t="str">
        <f t="shared" si="8"/>
        <v>Kansas2021</v>
      </c>
      <c r="H551">
        <f>+INDEX(Sheet1!C:C, MATCH(Hoja1!G551, Sheet1!D:D, 0))</f>
        <v>191738.1</v>
      </c>
      <c r="I551">
        <f>+INDEX(Sheet1!G:G, MATCH(Hoja1!G551, Sheet1!I:I, 0))</f>
        <v>103915</v>
      </c>
      <c r="J551" s="2">
        <f>+INDEX(Sheet1!H:H, MATCH(Hoja1!G551, Sheet1!I:I, 0))</f>
        <v>2.8128462877948394E-2</v>
      </c>
      <c r="K551" s="2">
        <f>+INDEX(Sheet1!L:L, MATCH(Hoja1!G551,Sheet1!M:M, 0))</f>
        <v>7.1</v>
      </c>
    </row>
    <row r="552" spans="1:11" ht="16" x14ac:dyDescent="0.25">
      <c r="A552" t="s">
        <v>490</v>
      </c>
      <c r="B552">
        <v>11</v>
      </c>
      <c r="C552">
        <v>2021</v>
      </c>
      <c r="D552" t="s">
        <v>497</v>
      </c>
      <c r="E552">
        <v>2.1</v>
      </c>
      <c r="F552">
        <v>2937946</v>
      </c>
      <c r="G552" s="1" t="str">
        <f t="shared" si="8"/>
        <v>Kansas2021</v>
      </c>
      <c r="H552">
        <f>+INDEX(Sheet1!C:C, MATCH(Hoja1!G552, Sheet1!D:D, 0))</f>
        <v>191738.1</v>
      </c>
      <c r="I552">
        <f>+INDEX(Sheet1!G:G, MATCH(Hoja1!G552, Sheet1!I:I, 0))</f>
        <v>103915</v>
      </c>
      <c r="J552" s="2">
        <f>+INDEX(Sheet1!H:H, MATCH(Hoja1!G552, Sheet1!I:I, 0))</f>
        <v>2.8128462877948394E-2</v>
      </c>
      <c r="K552" s="2">
        <f>+INDEX(Sheet1!L:L, MATCH(Hoja1!G552,Sheet1!M:M, 0))</f>
        <v>7.1</v>
      </c>
    </row>
    <row r="553" spans="1:11" ht="16" x14ac:dyDescent="0.25">
      <c r="A553" t="s">
        <v>490</v>
      </c>
      <c r="B553">
        <v>12</v>
      </c>
      <c r="C553">
        <v>2021</v>
      </c>
      <c r="D553" t="s">
        <v>498</v>
      </c>
      <c r="E553">
        <v>2</v>
      </c>
      <c r="F553">
        <v>2937946</v>
      </c>
      <c r="G553" s="1" t="str">
        <f t="shared" si="8"/>
        <v>Kansas2021</v>
      </c>
      <c r="H553">
        <f>+INDEX(Sheet1!C:C, MATCH(Hoja1!G553, Sheet1!D:D, 0))</f>
        <v>191738.1</v>
      </c>
      <c r="I553">
        <f>+INDEX(Sheet1!G:G, MATCH(Hoja1!G553, Sheet1!I:I, 0))</f>
        <v>103915</v>
      </c>
      <c r="J553" s="2">
        <f>+INDEX(Sheet1!H:H, MATCH(Hoja1!G553, Sheet1!I:I, 0))</f>
        <v>2.8128462877948394E-2</v>
      </c>
      <c r="K553" s="2">
        <f>+INDEX(Sheet1!L:L, MATCH(Hoja1!G553,Sheet1!M:M, 0))</f>
        <v>7.1</v>
      </c>
    </row>
    <row r="554" spans="1:11" ht="16" x14ac:dyDescent="0.25">
      <c r="A554" t="s">
        <v>490</v>
      </c>
      <c r="B554">
        <v>1</v>
      </c>
      <c r="C554">
        <v>2022</v>
      </c>
      <c r="D554" t="s">
        <v>499</v>
      </c>
      <c r="E554">
        <v>2.7</v>
      </c>
      <c r="F554">
        <v>2936716</v>
      </c>
      <c r="G554" s="1" t="str">
        <f t="shared" si="8"/>
        <v>Kansas2022</v>
      </c>
      <c r="H554">
        <f>+INDEX(Sheet1!C:C, MATCH(Hoja1!G554, Sheet1!D:D, 0))</f>
        <v>212611.6</v>
      </c>
      <c r="I554">
        <f>+INDEX(Sheet1!G:G, MATCH(Hoja1!G554, Sheet1!I:I, 0))</f>
        <v>106734</v>
      </c>
      <c r="J554" s="2">
        <f>+INDEX(Sheet1!H:H, MATCH(Hoja1!G554, Sheet1!I:I, 0))</f>
        <v>2.7127941105711397E-2</v>
      </c>
      <c r="K554" s="2">
        <f>+INDEX(Sheet1!L:L, MATCH(Hoja1!G554,Sheet1!M:M, 0))</f>
        <v>10.5</v>
      </c>
    </row>
    <row r="555" spans="1:11" ht="16" x14ac:dyDescent="0.25">
      <c r="A555" t="s">
        <v>490</v>
      </c>
      <c r="B555">
        <v>2</v>
      </c>
      <c r="C555">
        <v>2022</v>
      </c>
      <c r="D555" t="s">
        <v>500</v>
      </c>
      <c r="E555">
        <v>2.8</v>
      </c>
      <c r="F555">
        <v>2936716</v>
      </c>
      <c r="G555" s="1" t="str">
        <f t="shared" si="8"/>
        <v>Kansas2022</v>
      </c>
      <c r="H555">
        <f>+INDEX(Sheet1!C:C, MATCH(Hoja1!G555, Sheet1!D:D, 0))</f>
        <v>212611.6</v>
      </c>
      <c r="I555">
        <f>+INDEX(Sheet1!G:G, MATCH(Hoja1!G555, Sheet1!I:I, 0))</f>
        <v>106734</v>
      </c>
      <c r="J555" s="2">
        <f>+INDEX(Sheet1!H:H, MATCH(Hoja1!G555, Sheet1!I:I, 0))</f>
        <v>2.7127941105711397E-2</v>
      </c>
      <c r="K555" s="2">
        <f>+INDEX(Sheet1!L:L, MATCH(Hoja1!G555,Sheet1!M:M, 0))</f>
        <v>10.5</v>
      </c>
    </row>
    <row r="556" spans="1:11" ht="16" x14ac:dyDescent="0.25">
      <c r="A556" t="s">
        <v>490</v>
      </c>
      <c r="B556">
        <v>3</v>
      </c>
      <c r="C556">
        <v>2022</v>
      </c>
      <c r="D556" t="s">
        <v>501</v>
      </c>
      <c r="E556">
        <v>2.7</v>
      </c>
      <c r="F556">
        <v>2936716</v>
      </c>
      <c r="G556" s="1" t="str">
        <f t="shared" si="8"/>
        <v>Kansas2022</v>
      </c>
      <c r="H556">
        <f>+INDEX(Sheet1!C:C, MATCH(Hoja1!G556, Sheet1!D:D, 0))</f>
        <v>212611.6</v>
      </c>
      <c r="I556">
        <f>+INDEX(Sheet1!G:G, MATCH(Hoja1!G556, Sheet1!I:I, 0))</f>
        <v>106734</v>
      </c>
      <c r="J556" s="2">
        <f>+INDEX(Sheet1!H:H, MATCH(Hoja1!G556, Sheet1!I:I, 0))</f>
        <v>2.7127941105711397E-2</v>
      </c>
      <c r="K556" s="2">
        <f>+INDEX(Sheet1!L:L, MATCH(Hoja1!G556,Sheet1!M:M, 0))</f>
        <v>10.5</v>
      </c>
    </row>
    <row r="557" spans="1:11" ht="16" x14ac:dyDescent="0.25">
      <c r="A557" t="s">
        <v>490</v>
      </c>
      <c r="B557">
        <v>4</v>
      </c>
      <c r="C557">
        <v>2022</v>
      </c>
      <c r="D557" t="s">
        <v>502</v>
      </c>
      <c r="E557">
        <v>2.2000000000000002</v>
      </c>
      <c r="F557">
        <v>2936716</v>
      </c>
      <c r="G557" s="1" t="str">
        <f t="shared" si="8"/>
        <v>Kansas2022</v>
      </c>
      <c r="H557">
        <f>+INDEX(Sheet1!C:C, MATCH(Hoja1!G557, Sheet1!D:D, 0))</f>
        <v>212611.6</v>
      </c>
      <c r="I557">
        <f>+INDEX(Sheet1!G:G, MATCH(Hoja1!G557, Sheet1!I:I, 0))</f>
        <v>106734</v>
      </c>
      <c r="J557" s="2">
        <f>+INDEX(Sheet1!H:H, MATCH(Hoja1!G557, Sheet1!I:I, 0))</f>
        <v>2.7127941105711397E-2</v>
      </c>
      <c r="K557" s="2">
        <f>+INDEX(Sheet1!L:L, MATCH(Hoja1!G557,Sheet1!M:M, 0))</f>
        <v>10.5</v>
      </c>
    </row>
    <row r="558" spans="1:11" ht="16" x14ac:dyDescent="0.25">
      <c r="A558" t="s">
        <v>490</v>
      </c>
      <c r="B558">
        <v>5</v>
      </c>
      <c r="C558">
        <v>2022</v>
      </c>
      <c r="D558" t="s">
        <v>503</v>
      </c>
      <c r="E558">
        <v>2.4</v>
      </c>
      <c r="F558">
        <v>2936716</v>
      </c>
      <c r="G558" s="1" t="str">
        <f t="shared" si="8"/>
        <v>Kansas2022</v>
      </c>
      <c r="H558">
        <f>+INDEX(Sheet1!C:C, MATCH(Hoja1!G558, Sheet1!D:D, 0))</f>
        <v>212611.6</v>
      </c>
      <c r="I558">
        <f>+INDEX(Sheet1!G:G, MATCH(Hoja1!G558, Sheet1!I:I, 0))</f>
        <v>106734</v>
      </c>
      <c r="J558" s="2">
        <f>+INDEX(Sheet1!H:H, MATCH(Hoja1!G558, Sheet1!I:I, 0))</f>
        <v>2.7127941105711397E-2</v>
      </c>
      <c r="K558" s="2">
        <f>+INDEX(Sheet1!L:L, MATCH(Hoja1!G558,Sheet1!M:M, 0))</f>
        <v>10.5</v>
      </c>
    </row>
    <row r="559" spans="1:11" ht="16" x14ac:dyDescent="0.25">
      <c r="A559" t="s">
        <v>490</v>
      </c>
      <c r="B559">
        <v>6</v>
      </c>
      <c r="C559">
        <v>2022</v>
      </c>
      <c r="D559" t="s">
        <v>456</v>
      </c>
      <c r="E559">
        <v>2.8</v>
      </c>
      <c r="F559">
        <v>2936716</v>
      </c>
      <c r="G559" s="1" t="str">
        <f t="shared" si="8"/>
        <v>Kansas2022</v>
      </c>
      <c r="H559">
        <f>+INDEX(Sheet1!C:C, MATCH(Hoja1!G559, Sheet1!D:D, 0))</f>
        <v>212611.6</v>
      </c>
      <c r="I559">
        <f>+INDEX(Sheet1!G:G, MATCH(Hoja1!G559, Sheet1!I:I, 0))</f>
        <v>106734</v>
      </c>
      <c r="J559" s="2">
        <f>+INDEX(Sheet1!H:H, MATCH(Hoja1!G559, Sheet1!I:I, 0))</f>
        <v>2.7127941105711397E-2</v>
      </c>
      <c r="K559" s="2">
        <f>+INDEX(Sheet1!L:L, MATCH(Hoja1!G559,Sheet1!M:M, 0))</f>
        <v>10.5</v>
      </c>
    </row>
    <row r="560" spans="1:11" ht="16" x14ac:dyDescent="0.25">
      <c r="A560" t="s">
        <v>490</v>
      </c>
      <c r="B560">
        <v>7</v>
      </c>
      <c r="C560">
        <v>2022</v>
      </c>
      <c r="D560" t="s">
        <v>504</v>
      </c>
      <c r="E560">
        <v>3.2</v>
      </c>
      <c r="F560">
        <v>2936716</v>
      </c>
      <c r="G560" s="1" t="str">
        <f t="shared" si="8"/>
        <v>Kansas2022</v>
      </c>
      <c r="H560">
        <f>+INDEX(Sheet1!C:C, MATCH(Hoja1!G560, Sheet1!D:D, 0))</f>
        <v>212611.6</v>
      </c>
      <c r="I560">
        <f>+INDEX(Sheet1!G:G, MATCH(Hoja1!G560, Sheet1!I:I, 0))</f>
        <v>106734</v>
      </c>
      <c r="J560" s="2">
        <f>+INDEX(Sheet1!H:H, MATCH(Hoja1!G560, Sheet1!I:I, 0))</f>
        <v>2.7127941105711397E-2</v>
      </c>
      <c r="K560" s="2">
        <f>+INDEX(Sheet1!L:L, MATCH(Hoja1!G560,Sheet1!M:M, 0))</f>
        <v>10.5</v>
      </c>
    </row>
    <row r="561" spans="1:11" ht="16" x14ac:dyDescent="0.25">
      <c r="A561" t="s">
        <v>490</v>
      </c>
      <c r="B561">
        <v>8</v>
      </c>
      <c r="C561">
        <v>2022</v>
      </c>
      <c r="D561" t="s">
        <v>505</v>
      </c>
      <c r="E561">
        <v>3.1</v>
      </c>
      <c r="F561">
        <v>2936716</v>
      </c>
      <c r="G561" s="1" t="str">
        <f t="shared" si="8"/>
        <v>Kansas2022</v>
      </c>
      <c r="H561">
        <f>+INDEX(Sheet1!C:C, MATCH(Hoja1!G561, Sheet1!D:D, 0))</f>
        <v>212611.6</v>
      </c>
      <c r="I561">
        <f>+INDEX(Sheet1!G:G, MATCH(Hoja1!G561, Sheet1!I:I, 0))</f>
        <v>106734</v>
      </c>
      <c r="J561" s="2">
        <f>+INDEX(Sheet1!H:H, MATCH(Hoja1!G561, Sheet1!I:I, 0))</f>
        <v>2.7127941105711397E-2</v>
      </c>
      <c r="K561" s="2">
        <f>+INDEX(Sheet1!L:L, MATCH(Hoja1!G561,Sheet1!M:M, 0))</f>
        <v>10.5</v>
      </c>
    </row>
    <row r="562" spans="1:11" ht="16" x14ac:dyDescent="0.25">
      <c r="A562" t="s">
        <v>490</v>
      </c>
      <c r="B562">
        <v>9</v>
      </c>
      <c r="C562">
        <v>2022</v>
      </c>
      <c r="D562" t="s">
        <v>506</v>
      </c>
      <c r="E562">
        <v>2.4</v>
      </c>
      <c r="F562">
        <v>2936716</v>
      </c>
      <c r="G562" s="1" t="str">
        <f t="shared" si="8"/>
        <v>Kansas2022</v>
      </c>
      <c r="H562">
        <f>+INDEX(Sheet1!C:C, MATCH(Hoja1!G562, Sheet1!D:D, 0))</f>
        <v>212611.6</v>
      </c>
      <c r="I562">
        <f>+INDEX(Sheet1!G:G, MATCH(Hoja1!G562, Sheet1!I:I, 0))</f>
        <v>106734</v>
      </c>
      <c r="J562" s="2">
        <f>+INDEX(Sheet1!H:H, MATCH(Hoja1!G562, Sheet1!I:I, 0))</f>
        <v>2.7127941105711397E-2</v>
      </c>
      <c r="K562" s="2">
        <f>+INDEX(Sheet1!L:L, MATCH(Hoja1!G562,Sheet1!M:M, 0))</f>
        <v>10.5</v>
      </c>
    </row>
    <row r="563" spans="1:11" ht="16" x14ac:dyDescent="0.25">
      <c r="A563" t="s">
        <v>490</v>
      </c>
      <c r="B563">
        <v>10</v>
      </c>
      <c r="C563">
        <v>2022</v>
      </c>
      <c r="D563" t="s">
        <v>507</v>
      </c>
      <c r="E563">
        <v>2.6</v>
      </c>
      <c r="F563">
        <v>2936716</v>
      </c>
      <c r="G563" s="1" t="str">
        <f t="shared" si="8"/>
        <v>Kansas2022</v>
      </c>
      <c r="H563">
        <f>+INDEX(Sheet1!C:C, MATCH(Hoja1!G563, Sheet1!D:D, 0))</f>
        <v>212611.6</v>
      </c>
      <c r="I563">
        <f>+INDEX(Sheet1!G:G, MATCH(Hoja1!G563, Sheet1!I:I, 0))</f>
        <v>106734</v>
      </c>
      <c r="J563" s="2">
        <f>+INDEX(Sheet1!H:H, MATCH(Hoja1!G563, Sheet1!I:I, 0))</f>
        <v>2.7127941105711397E-2</v>
      </c>
      <c r="K563" s="2">
        <f>+INDEX(Sheet1!L:L, MATCH(Hoja1!G563,Sheet1!M:M, 0))</f>
        <v>10.5</v>
      </c>
    </row>
    <row r="564" spans="1:11" ht="16" x14ac:dyDescent="0.25">
      <c r="A564" t="s">
        <v>490</v>
      </c>
      <c r="B564">
        <v>11</v>
      </c>
      <c r="C564">
        <v>2022</v>
      </c>
      <c r="D564" t="s">
        <v>508</v>
      </c>
      <c r="E564">
        <v>2.2999999999999998</v>
      </c>
      <c r="F564">
        <v>2936716</v>
      </c>
      <c r="G564" s="1" t="str">
        <f t="shared" si="8"/>
        <v>Kansas2022</v>
      </c>
      <c r="H564">
        <f>+INDEX(Sheet1!C:C, MATCH(Hoja1!G564, Sheet1!D:D, 0))</f>
        <v>212611.6</v>
      </c>
      <c r="I564">
        <f>+INDEX(Sheet1!G:G, MATCH(Hoja1!G564, Sheet1!I:I, 0))</f>
        <v>106734</v>
      </c>
      <c r="J564" s="2">
        <f>+INDEX(Sheet1!H:H, MATCH(Hoja1!G564, Sheet1!I:I, 0))</f>
        <v>2.7127941105711397E-2</v>
      </c>
      <c r="K564" s="2">
        <f>+INDEX(Sheet1!L:L, MATCH(Hoja1!G564,Sheet1!M:M, 0))</f>
        <v>10.5</v>
      </c>
    </row>
    <row r="565" spans="1:11" ht="16" x14ac:dyDescent="0.25">
      <c r="A565" t="s">
        <v>490</v>
      </c>
      <c r="B565">
        <v>12</v>
      </c>
      <c r="C565">
        <v>2022</v>
      </c>
      <c r="D565" t="s">
        <v>509</v>
      </c>
      <c r="E565">
        <v>2.2999999999999998</v>
      </c>
      <c r="F565">
        <v>2936716</v>
      </c>
      <c r="G565" s="1" t="str">
        <f t="shared" si="8"/>
        <v>Kansas2022</v>
      </c>
      <c r="H565">
        <f>+INDEX(Sheet1!C:C, MATCH(Hoja1!G565, Sheet1!D:D, 0))</f>
        <v>212611.6</v>
      </c>
      <c r="I565">
        <f>+INDEX(Sheet1!G:G, MATCH(Hoja1!G565, Sheet1!I:I, 0))</f>
        <v>106734</v>
      </c>
      <c r="J565" s="2">
        <f>+INDEX(Sheet1!H:H, MATCH(Hoja1!G565, Sheet1!I:I, 0))</f>
        <v>2.7127941105711397E-2</v>
      </c>
      <c r="K565" s="2">
        <f>+INDEX(Sheet1!L:L, MATCH(Hoja1!G565,Sheet1!M:M, 0))</f>
        <v>10.5</v>
      </c>
    </row>
    <row r="566" spans="1:11" ht="16" x14ac:dyDescent="0.25">
      <c r="A566" t="s">
        <v>490</v>
      </c>
      <c r="B566">
        <v>1</v>
      </c>
      <c r="C566">
        <v>2023</v>
      </c>
      <c r="D566" t="s">
        <v>510</v>
      </c>
      <c r="E566">
        <v>2.9</v>
      </c>
      <c r="F566">
        <v>2940546</v>
      </c>
      <c r="G566" s="1" t="str">
        <f t="shared" si="8"/>
        <v>Kansas2023</v>
      </c>
      <c r="H566">
        <f>+INDEX(Sheet1!C:C, MATCH(Hoja1!G566, Sheet1!D:D, 0))</f>
        <v>228232.4</v>
      </c>
      <c r="I566">
        <f>+INDEX(Sheet1!G:G, MATCH(Hoja1!G566, Sheet1!I:I, 0))</f>
        <v>110538</v>
      </c>
      <c r="J566" s="2">
        <f>+INDEX(Sheet1!H:H, MATCH(Hoja1!G566, Sheet1!I:I, 0))</f>
        <v>3.5640002248580584E-2</v>
      </c>
      <c r="K566" s="2">
        <f>+INDEX(Sheet1!L:L, MATCH(Hoja1!G566,Sheet1!M:M, 0))</f>
        <v>8.8000000000000007</v>
      </c>
    </row>
    <row r="567" spans="1:11" ht="16" x14ac:dyDescent="0.25">
      <c r="A567" t="s">
        <v>490</v>
      </c>
      <c r="B567">
        <v>2</v>
      </c>
      <c r="C567">
        <v>2023</v>
      </c>
      <c r="D567" t="s">
        <v>511</v>
      </c>
      <c r="E567">
        <v>3.1</v>
      </c>
      <c r="F567">
        <v>2940546</v>
      </c>
      <c r="G567" s="1" t="str">
        <f t="shared" si="8"/>
        <v>Kansas2023</v>
      </c>
      <c r="H567">
        <f>+INDEX(Sheet1!C:C, MATCH(Hoja1!G567, Sheet1!D:D, 0))</f>
        <v>228232.4</v>
      </c>
      <c r="I567">
        <f>+INDEX(Sheet1!G:G, MATCH(Hoja1!G567, Sheet1!I:I, 0))</f>
        <v>110538</v>
      </c>
      <c r="J567" s="2">
        <f>+INDEX(Sheet1!H:H, MATCH(Hoja1!G567, Sheet1!I:I, 0))</f>
        <v>3.5640002248580584E-2</v>
      </c>
      <c r="K567" s="2">
        <f>+INDEX(Sheet1!L:L, MATCH(Hoja1!G567,Sheet1!M:M, 0))</f>
        <v>8.8000000000000007</v>
      </c>
    </row>
    <row r="568" spans="1:11" ht="16" x14ac:dyDescent="0.25">
      <c r="A568" t="s">
        <v>490</v>
      </c>
      <c r="B568">
        <v>3</v>
      </c>
      <c r="C568">
        <v>2023</v>
      </c>
      <c r="D568" t="s">
        <v>512</v>
      </c>
      <c r="E568">
        <v>2.9</v>
      </c>
      <c r="F568">
        <v>2940546</v>
      </c>
      <c r="G568" s="1" t="str">
        <f t="shared" si="8"/>
        <v>Kansas2023</v>
      </c>
      <c r="H568">
        <f>+INDEX(Sheet1!C:C, MATCH(Hoja1!G568, Sheet1!D:D, 0))</f>
        <v>228232.4</v>
      </c>
      <c r="I568">
        <f>+INDEX(Sheet1!G:G, MATCH(Hoja1!G568, Sheet1!I:I, 0))</f>
        <v>110538</v>
      </c>
      <c r="J568" s="2">
        <f>+INDEX(Sheet1!H:H, MATCH(Hoja1!G568, Sheet1!I:I, 0))</f>
        <v>3.5640002248580584E-2</v>
      </c>
      <c r="K568" s="2">
        <f>+INDEX(Sheet1!L:L, MATCH(Hoja1!G568,Sheet1!M:M, 0))</f>
        <v>8.8000000000000007</v>
      </c>
    </row>
    <row r="569" spans="1:11" ht="16" x14ac:dyDescent="0.25">
      <c r="A569" t="s">
        <v>490</v>
      </c>
      <c r="B569">
        <v>4</v>
      </c>
      <c r="C569">
        <v>2023</v>
      </c>
      <c r="D569" t="s">
        <v>513</v>
      </c>
      <c r="E569">
        <v>2.4</v>
      </c>
      <c r="F569">
        <v>2940546</v>
      </c>
      <c r="G569" s="1" t="str">
        <f t="shared" si="8"/>
        <v>Kansas2023</v>
      </c>
      <c r="H569">
        <f>+INDEX(Sheet1!C:C, MATCH(Hoja1!G569, Sheet1!D:D, 0))</f>
        <v>228232.4</v>
      </c>
      <c r="I569">
        <f>+INDEX(Sheet1!G:G, MATCH(Hoja1!G569, Sheet1!I:I, 0))</f>
        <v>110538</v>
      </c>
      <c r="J569" s="2">
        <f>+INDEX(Sheet1!H:H, MATCH(Hoja1!G569, Sheet1!I:I, 0))</f>
        <v>3.5640002248580584E-2</v>
      </c>
      <c r="K569" s="2">
        <f>+INDEX(Sheet1!L:L, MATCH(Hoja1!G569,Sheet1!M:M, 0))</f>
        <v>8.8000000000000007</v>
      </c>
    </row>
    <row r="570" spans="1:11" ht="16" x14ac:dyDescent="0.25">
      <c r="A570" t="s">
        <v>490</v>
      </c>
      <c r="B570">
        <v>5</v>
      </c>
      <c r="C570">
        <v>2023</v>
      </c>
      <c r="D570" t="s">
        <v>514</v>
      </c>
      <c r="E570">
        <v>2.6</v>
      </c>
      <c r="F570">
        <v>2940546</v>
      </c>
      <c r="G570" s="1" t="str">
        <f t="shared" si="8"/>
        <v>Kansas2023</v>
      </c>
      <c r="H570">
        <f>+INDEX(Sheet1!C:C, MATCH(Hoja1!G570, Sheet1!D:D, 0))</f>
        <v>228232.4</v>
      </c>
      <c r="I570">
        <f>+INDEX(Sheet1!G:G, MATCH(Hoja1!G570, Sheet1!I:I, 0))</f>
        <v>110538</v>
      </c>
      <c r="J570" s="2">
        <f>+INDEX(Sheet1!H:H, MATCH(Hoja1!G570, Sheet1!I:I, 0))</f>
        <v>3.5640002248580584E-2</v>
      </c>
      <c r="K570" s="2">
        <f>+INDEX(Sheet1!L:L, MATCH(Hoja1!G570,Sheet1!M:M, 0))</f>
        <v>8.8000000000000007</v>
      </c>
    </row>
    <row r="571" spans="1:11" ht="16" x14ac:dyDescent="0.25">
      <c r="A571" t="s">
        <v>490</v>
      </c>
      <c r="B571">
        <v>6</v>
      </c>
      <c r="C571">
        <v>2023</v>
      </c>
      <c r="D571" t="s">
        <v>515</v>
      </c>
      <c r="E571">
        <v>2.8</v>
      </c>
      <c r="F571">
        <v>2940546</v>
      </c>
      <c r="G571" s="1" t="str">
        <f t="shared" si="8"/>
        <v>Kansas2023</v>
      </c>
      <c r="H571">
        <f>+INDEX(Sheet1!C:C, MATCH(Hoja1!G571, Sheet1!D:D, 0))</f>
        <v>228232.4</v>
      </c>
      <c r="I571">
        <f>+INDEX(Sheet1!G:G, MATCH(Hoja1!G571, Sheet1!I:I, 0))</f>
        <v>110538</v>
      </c>
      <c r="J571" s="2">
        <f>+INDEX(Sheet1!H:H, MATCH(Hoja1!G571, Sheet1!I:I, 0))</f>
        <v>3.5640002248580584E-2</v>
      </c>
      <c r="K571" s="2">
        <f>+INDEX(Sheet1!L:L, MATCH(Hoja1!G571,Sheet1!M:M, 0))</f>
        <v>8.8000000000000007</v>
      </c>
    </row>
    <row r="572" spans="1:11" ht="16" x14ac:dyDescent="0.25">
      <c r="A572" t="s">
        <v>490</v>
      </c>
      <c r="B572">
        <v>7</v>
      </c>
      <c r="C572">
        <v>2023</v>
      </c>
      <c r="D572" t="s">
        <v>516</v>
      </c>
      <c r="E572">
        <v>3</v>
      </c>
      <c r="F572">
        <v>2940546</v>
      </c>
      <c r="G572" s="1" t="str">
        <f t="shared" si="8"/>
        <v>Kansas2023</v>
      </c>
      <c r="H572">
        <f>+INDEX(Sheet1!C:C, MATCH(Hoja1!G572, Sheet1!D:D, 0))</f>
        <v>228232.4</v>
      </c>
      <c r="I572">
        <f>+INDEX(Sheet1!G:G, MATCH(Hoja1!G572, Sheet1!I:I, 0))</f>
        <v>110538</v>
      </c>
      <c r="J572" s="2">
        <f>+INDEX(Sheet1!H:H, MATCH(Hoja1!G572, Sheet1!I:I, 0))</f>
        <v>3.5640002248580584E-2</v>
      </c>
      <c r="K572" s="2">
        <f>+INDEX(Sheet1!L:L, MATCH(Hoja1!G572,Sheet1!M:M, 0))</f>
        <v>8.8000000000000007</v>
      </c>
    </row>
    <row r="573" spans="1:11" ht="16" x14ac:dyDescent="0.25">
      <c r="A573" t="s">
        <v>490</v>
      </c>
      <c r="B573">
        <v>8</v>
      </c>
      <c r="C573">
        <v>2023</v>
      </c>
      <c r="D573" t="s">
        <v>517</v>
      </c>
      <c r="E573">
        <v>3</v>
      </c>
      <c r="F573">
        <v>2940546</v>
      </c>
      <c r="G573" s="1" t="str">
        <f t="shared" si="8"/>
        <v>Kansas2023</v>
      </c>
      <c r="H573">
        <f>+INDEX(Sheet1!C:C, MATCH(Hoja1!G573, Sheet1!D:D, 0))</f>
        <v>228232.4</v>
      </c>
      <c r="I573">
        <f>+INDEX(Sheet1!G:G, MATCH(Hoja1!G573, Sheet1!I:I, 0))</f>
        <v>110538</v>
      </c>
      <c r="J573" s="2">
        <f>+INDEX(Sheet1!H:H, MATCH(Hoja1!G573, Sheet1!I:I, 0))</f>
        <v>3.5640002248580584E-2</v>
      </c>
      <c r="K573" s="2">
        <f>+INDEX(Sheet1!L:L, MATCH(Hoja1!G573,Sheet1!M:M, 0))</f>
        <v>8.8000000000000007</v>
      </c>
    </row>
    <row r="574" spans="1:11" ht="16" x14ac:dyDescent="0.25">
      <c r="A574" t="s">
        <v>490</v>
      </c>
      <c r="B574">
        <v>9</v>
      </c>
      <c r="C574">
        <v>2023</v>
      </c>
      <c r="D574" t="s">
        <v>518</v>
      </c>
      <c r="E574">
        <v>2.5</v>
      </c>
      <c r="F574">
        <v>2940546</v>
      </c>
      <c r="G574" s="1" t="str">
        <f t="shared" si="8"/>
        <v>Kansas2023</v>
      </c>
      <c r="H574">
        <f>+INDEX(Sheet1!C:C, MATCH(Hoja1!G574, Sheet1!D:D, 0))</f>
        <v>228232.4</v>
      </c>
      <c r="I574">
        <f>+INDEX(Sheet1!G:G, MATCH(Hoja1!G574, Sheet1!I:I, 0))</f>
        <v>110538</v>
      </c>
      <c r="J574" s="2">
        <f>+INDEX(Sheet1!H:H, MATCH(Hoja1!G574, Sheet1!I:I, 0))</f>
        <v>3.5640002248580584E-2</v>
      </c>
      <c r="K574" s="2">
        <f>+INDEX(Sheet1!L:L, MATCH(Hoja1!G574,Sheet1!M:M, 0))</f>
        <v>8.8000000000000007</v>
      </c>
    </row>
    <row r="575" spans="1:11" ht="16" x14ac:dyDescent="0.25">
      <c r="A575" t="s">
        <v>490</v>
      </c>
      <c r="B575">
        <v>10</v>
      </c>
      <c r="C575">
        <v>2023</v>
      </c>
      <c r="D575" t="s">
        <v>519</v>
      </c>
      <c r="E575">
        <v>2.6</v>
      </c>
      <c r="F575">
        <v>2940546</v>
      </c>
      <c r="G575" s="1" t="str">
        <f t="shared" si="8"/>
        <v>Kansas2023</v>
      </c>
      <c r="H575">
        <f>+INDEX(Sheet1!C:C, MATCH(Hoja1!G575, Sheet1!D:D, 0))</f>
        <v>228232.4</v>
      </c>
      <c r="I575">
        <f>+INDEX(Sheet1!G:G, MATCH(Hoja1!G575, Sheet1!I:I, 0))</f>
        <v>110538</v>
      </c>
      <c r="J575" s="2">
        <f>+INDEX(Sheet1!H:H, MATCH(Hoja1!G575, Sheet1!I:I, 0))</f>
        <v>3.5640002248580584E-2</v>
      </c>
      <c r="K575" s="2">
        <f>+INDEX(Sheet1!L:L, MATCH(Hoja1!G575,Sheet1!M:M, 0))</f>
        <v>8.8000000000000007</v>
      </c>
    </row>
    <row r="576" spans="1:11" ht="16" x14ac:dyDescent="0.25">
      <c r="A576" t="s">
        <v>490</v>
      </c>
      <c r="B576">
        <v>11</v>
      </c>
      <c r="C576">
        <v>2023</v>
      </c>
      <c r="D576" t="s">
        <v>520</v>
      </c>
      <c r="E576">
        <v>2</v>
      </c>
      <c r="F576">
        <v>2940546</v>
      </c>
      <c r="G576" s="1" t="str">
        <f t="shared" si="8"/>
        <v>Kansas2023</v>
      </c>
      <c r="H576">
        <f>+INDEX(Sheet1!C:C, MATCH(Hoja1!G576, Sheet1!D:D, 0))</f>
        <v>228232.4</v>
      </c>
      <c r="I576">
        <f>+INDEX(Sheet1!G:G, MATCH(Hoja1!G576, Sheet1!I:I, 0))</f>
        <v>110538</v>
      </c>
      <c r="J576" s="2">
        <f>+INDEX(Sheet1!H:H, MATCH(Hoja1!G576, Sheet1!I:I, 0))</f>
        <v>3.5640002248580584E-2</v>
      </c>
      <c r="K576" s="2">
        <f>+INDEX(Sheet1!L:L, MATCH(Hoja1!G576,Sheet1!M:M, 0))</f>
        <v>8.8000000000000007</v>
      </c>
    </row>
    <row r="577" spans="1:11" ht="16" x14ac:dyDescent="0.25">
      <c r="A577" t="s">
        <v>490</v>
      </c>
      <c r="B577">
        <v>12</v>
      </c>
      <c r="C577">
        <v>2023</v>
      </c>
      <c r="D577" t="s">
        <v>521</v>
      </c>
      <c r="E577">
        <v>2</v>
      </c>
      <c r="F577">
        <v>2940546</v>
      </c>
      <c r="G577" s="1" t="str">
        <f t="shared" si="8"/>
        <v>Kansas2023</v>
      </c>
      <c r="H577">
        <f>+INDEX(Sheet1!C:C, MATCH(Hoja1!G577, Sheet1!D:D, 0))</f>
        <v>228232.4</v>
      </c>
      <c r="I577">
        <f>+INDEX(Sheet1!G:G, MATCH(Hoja1!G577, Sheet1!I:I, 0))</f>
        <v>110538</v>
      </c>
      <c r="J577" s="2">
        <f>+INDEX(Sheet1!H:H, MATCH(Hoja1!G577, Sheet1!I:I, 0))</f>
        <v>3.5640002248580584E-2</v>
      </c>
      <c r="K577" s="2">
        <f>+INDEX(Sheet1!L:L, MATCH(Hoja1!G577,Sheet1!M:M, 0))</f>
        <v>8.8000000000000007</v>
      </c>
    </row>
    <row r="578" spans="1:11" ht="16" x14ac:dyDescent="0.25">
      <c r="A578" t="s">
        <v>522</v>
      </c>
      <c r="B578">
        <v>1</v>
      </c>
      <c r="C578">
        <v>2021</v>
      </c>
      <c r="D578" t="s">
        <v>523</v>
      </c>
      <c r="E578">
        <v>5.0999999999999996</v>
      </c>
      <c r="F578">
        <v>4507600</v>
      </c>
      <c r="G578" s="1" t="str">
        <f t="shared" si="8"/>
        <v>Kentucky2021</v>
      </c>
      <c r="H578">
        <f>+INDEX(Sheet1!C:C, MATCH(Hoja1!G578, Sheet1!D:D, 0))</f>
        <v>238428.9</v>
      </c>
      <c r="I578">
        <f>+INDEX(Sheet1!G:G, MATCH(Hoja1!G578, Sheet1!I:I, 0))</f>
        <v>105683</v>
      </c>
      <c r="J578" s="2">
        <f>+INDEX(Sheet1!H:H, MATCH(Hoja1!G578, Sheet1!I:I, 0))</f>
        <v>4.4081761689767934E-2</v>
      </c>
      <c r="K578" s="2">
        <f>+INDEX(Sheet1!L:L, MATCH(Hoja1!G578,Sheet1!M:M, 0))</f>
        <v>16.2</v>
      </c>
    </row>
    <row r="579" spans="1:11" ht="16" x14ac:dyDescent="0.25">
      <c r="A579" t="s">
        <v>522</v>
      </c>
      <c r="B579">
        <v>2</v>
      </c>
      <c r="C579">
        <v>2021</v>
      </c>
      <c r="D579" t="s">
        <v>524</v>
      </c>
      <c r="E579">
        <v>5.0999999999999996</v>
      </c>
      <c r="F579">
        <v>4507600</v>
      </c>
      <c r="G579" s="1" t="str">
        <f t="shared" ref="G579:G642" si="9">+A579&amp;C579</f>
        <v>Kentucky2021</v>
      </c>
      <c r="H579">
        <f>+INDEX(Sheet1!C:C, MATCH(Hoja1!G579, Sheet1!D:D, 0))</f>
        <v>238428.9</v>
      </c>
      <c r="I579">
        <f>+INDEX(Sheet1!G:G, MATCH(Hoja1!G579, Sheet1!I:I, 0))</f>
        <v>105683</v>
      </c>
      <c r="J579" s="2">
        <f>+INDEX(Sheet1!H:H, MATCH(Hoja1!G579, Sheet1!I:I, 0))</f>
        <v>4.4081761689767934E-2</v>
      </c>
      <c r="K579" s="2">
        <f>+INDEX(Sheet1!L:L, MATCH(Hoja1!G579,Sheet1!M:M, 0))</f>
        <v>16.2</v>
      </c>
    </row>
    <row r="580" spans="1:11" ht="16" x14ac:dyDescent="0.25">
      <c r="A580" t="s">
        <v>522</v>
      </c>
      <c r="B580">
        <v>3</v>
      </c>
      <c r="C580">
        <v>2021</v>
      </c>
      <c r="D580" t="s">
        <v>525</v>
      </c>
      <c r="E580">
        <v>4.9000000000000004</v>
      </c>
      <c r="F580">
        <v>4507600</v>
      </c>
      <c r="G580" s="1" t="str">
        <f t="shared" si="9"/>
        <v>Kentucky2021</v>
      </c>
      <c r="H580">
        <f>+INDEX(Sheet1!C:C, MATCH(Hoja1!G580, Sheet1!D:D, 0))</f>
        <v>238428.9</v>
      </c>
      <c r="I580">
        <f>+INDEX(Sheet1!G:G, MATCH(Hoja1!G580, Sheet1!I:I, 0))</f>
        <v>105683</v>
      </c>
      <c r="J580" s="2">
        <f>+INDEX(Sheet1!H:H, MATCH(Hoja1!G580, Sheet1!I:I, 0))</f>
        <v>4.4081761689767934E-2</v>
      </c>
      <c r="K580" s="2">
        <f>+INDEX(Sheet1!L:L, MATCH(Hoja1!G580,Sheet1!M:M, 0))</f>
        <v>16.2</v>
      </c>
    </row>
    <row r="581" spans="1:11" ht="16" x14ac:dyDescent="0.25">
      <c r="A581" t="s">
        <v>522</v>
      </c>
      <c r="B581">
        <v>4</v>
      </c>
      <c r="C581">
        <v>2021</v>
      </c>
      <c r="D581" t="s">
        <v>526</v>
      </c>
      <c r="E581">
        <v>4.2</v>
      </c>
      <c r="F581">
        <v>4507600</v>
      </c>
      <c r="G581" s="1" t="str">
        <f t="shared" si="9"/>
        <v>Kentucky2021</v>
      </c>
      <c r="H581">
        <f>+INDEX(Sheet1!C:C, MATCH(Hoja1!G581, Sheet1!D:D, 0))</f>
        <v>238428.9</v>
      </c>
      <c r="I581">
        <f>+INDEX(Sheet1!G:G, MATCH(Hoja1!G581, Sheet1!I:I, 0))</f>
        <v>105683</v>
      </c>
      <c r="J581" s="2">
        <f>+INDEX(Sheet1!H:H, MATCH(Hoja1!G581, Sheet1!I:I, 0))</f>
        <v>4.4081761689767934E-2</v>
      </c>
      <c r="K581" s="2">
        <f>+INDEX(Sheet1!L:L, MATCH(Hoja1!G581,Sheet1!M:M, 0))</f>
        <v>16.2</v>
      </c>
    </row>
    <row r="582" spans="1:11" ht="16" x14ac:dyDescent="0.25">
      <c r="A582" t="s">
        <v>522</v>
      </c>
      <c r="B582">
        <v>5</v>
      </c>
      <c r="C582">
        <v>2021</v>
      </c>
      <c r="D582" t="s">
        <v>527</v>
      </c>
      <c r="E582">
        <v>4.2</v>
      </c>
      <c r="F582">
        <v>4507600</v>
      </c>
      <c r="G582" s="1" t="str">
        <f t="shared" si="9"/>
        <v>Kentucky2021</v>
      </c>
      <c r="H582">
        <f>+INDEX(Sheet1!C:C, MATCH(Hoja1!G582, Sheet1!D:D, 0))</f>
        <v>238428.9</v>
      </c>
      <c r="I582">
        <f>+INDEX(Sheet1!G:G, MATCH(Hoja1!G582, Sheet1!I:I, 0))</f>
        <v>105683</v>
      </c>
      <c r="J582" s="2">
        <f>+INDEX(Sheet1!H:H, MATCH(Hoja1!G582, Sheet1!I:I, 0))</f>
        <v>4.4081761689767934E-2</v>
      </c>
      <c r="K582" s="2">
        <f>+INDEX(Sheet1!L:L, MATCH(Hoja1!G582,Sheet1!M:M, 0))</f>
        <v>16.2</v>
      </c>
    </row>
    <row r="583" spans="1:11" ht="16" x14ac:dyDescent="0.25">
      <c r="A583" t="s">
        <v>522</v>
      </c>
      <c r="B583">
        <v>6</v>
      </c>
      <c r="C583">
        <v>2021</v>
      </c>
      <c r="D583" t="s">
        <v>123</v>
      </c>
      <c r="E583">
        <v>5.5</v>
      </c>
      <c r="F583">
        <v>4507600</v>
      </c>
      <c r="G583" s="1" t="str">
        <f t="shared" si="9"/>
        <v>Kentucky2021</v>
      </c>
      <c r="H583">
        <f>+INDEX(Sheet1!C:C, MATCH(Hoja1!G583, Sheet1!D:D, 0))</f>
        <v>238428.9</v>
      </c>
      <c r="I583">
        <f>+INDEX(Sheet1!G:G, MATCH(Hoja1!G583, Sheet1!I:I, 0))</f>
        <v>105683</v>
      </c>
      <c r="J583" s="2">
        <f>+INDEX(Sheet1!H:H, MATCH(Hoja1!G583, Sheet1!I:I, 0))</f>
        <v>4.4081761689767934E-2</v>
      </c>
      <c r="K583" s="2">
        <f>+INDEX(Sheet1!L:L, MATCH(Hoja1!G583,Sheet1!M:M, 0))</f>
        <v>16.2</v>
      </c>
    </row>
    <row r="584" spans="1:11" ht="16" x14ac:dyDescent="0.25">
      <c r="A584" t="s">
        <v>522</v>
      </c>
      <c r="B584">
        <v>7</v>
      </c>
      <c r="C584">
        <v>2021</v>
      </c>
      <c r="D584" t="s">
        <v>528</v>
      </c>
      <c r="E584">
        <v>5</v>
      </c>
      <c r="F584">
        <v>4507600</v>
      </c>
      <c r="G584" s="1" t="str">
        <f t="shared" si="9"/>
        <v>Kentucky2021</v>
      </c>
      <c r="H584">
        <f>+INDEX(Sheet1!C:C, MATCH(Hoja1!G584, Sheet1!D:D, 0))</f>
        <v>238428.9</v>
      </c>
      <c r="I584">
        <f>+INDEX(Sheet1!G:G, MATCH(Hoja1!G584, Sheet1!I:I, 0))</f>
        <v>105683</v>
      </c>
      <c r="J584" s="2">
        <f>+INDEX(Sheet1!H:H, MATCH(Hoja1!G584, Sheet1!I:I, 0))</f>
        <v>4.4081761689767934E-2</v>
      </c>
      <c r="K584" s="2">
        <f>+INDEX(Sheet1!L:L, MATCH(Hoja1!G584,Sheet1!M:M, 0))</f>
        <v>16.2</v>
      </c>
    </row>
    <row r="585" spans="1:11" ht="16" x14ac:dyDescent="0.25">
      <c r="A585" t="s">
        <v>522</v>
      </c>
      <c r="B585">
        <v>8</v>
      </c>
      <c r="C585">
        <v>2021</v>
      </c>
      <c r="D585" t="s">
        <v>529</v>
      </c>
      <c r="E585">
        <v>4.2</v>
      </c>
      <c r="F585">
        <v>4507600</v>
      </c>
      <c r="G585" s="1" t="str">
        <f t="shared" si="9"/>
        <v>Kentucky2021</v>
      </c>
      <c r="H585">
        <f>+INDEX(Sheet1!C:C, MATCH(Hoja1!G585, Sheet1!D:D, 0))</f>
        <v>238428.9</v>
      </c>
      <c r="I585">
        <f>+INDEX(Sheet1!G:G, MATCH(Hoja1!G585, Sheet1!I:I, 0))</f>
        <v>105683</v>
      </c>
      <c r="J585" s="2">
        <f>+INDEX(Sheet1!H:H, MATCH(Hoja1!G585, Sheet1!I:I, 0))</f>
        <v>4.4081761689767934E-2</v>
      </c>
      <c r="K585" s="2">
        <f>+INDEX(Sheet1!L:L, MATCH(Hoja1!G585,Sheet1!M:M, 0))</f>
        <v>16.2</v>
      </c>
    </row>
    <row r="586" spans="1:11" ht="16" x14ac:dyDescent="0.25">
      <c r="A586" t="s">
        <v>522</v>
      </c>
      <c r="B586">
        <v>9</v>
      </c>
      <c r="C586">
        <v>2021</v>
      </c>
      <c r="D586" t="s">
        <v>354</v>
      </c>
      <c r="E586">
        <v>4.0999999999999996</v>
      </c>
      <c r="F586">
        <v>4507600</v>
      </c>
      <c r="G586" s="1" t="str">
        <f t="shared" si="9"/>
        <v>Kentucky2021</v>
      </c>
      <c r="H586">
        <f>+INDEX(Sheet1!C:C, MATCH(Hoja1!G586, Sheet1!D:D, 0))</f>
        <v>238428.9</v>
      </c>
      <c r="I586">
        <f>+INDEX(Sheet1!G:G, MATCH(Hoja1!G586, Sheet1!I:I, 0))</f>
        <v>105683</v>
      </c>
      <c r="J586" s="2">
        <f>+INDEX(Sheet1!H:H, MATCH(Hoja1!G586, Sheet1!I:I, 0))</f>
        <v>4.4081761689767934E-2</v>
      </c>
      <c r="K586" s="2">
        <f>+INDEX(Sheet1!L:L, MATCH(Hoja1!G586,Sheet1!M:M, 0))</f>
        <v>16.2</v>
      </c>
    </row>
    <row r="587" spans="1:11" ht="16" x14ac:dyDescent="0.25">
      <c r="A587" t="s">
        <v>522</v>
      </c>
      <c r="B587">
        <v>10</v>
      </c>
      <c r="C587">
        <v>2021</v>
      </c>
      <c r="D587" t="s">
        <v>530</v>
      </c>
      <c r="E587">
        <v>4</v>
      </c>
      <c r="F587">
        <v>4507600</v>
      </c>
      <c r="G587" s="1" t="str">
        <f t="shared" si="9"/>
        <v>Kentucky2021</v>
      </c>
      <c r="H587">
        <f>+INDEX(Sheet1!C:C, MATCH(Hoja1!G587, Sheet1!D:D, 0))</f>
        <v>238428.9</v>
      </c>
      <c r="I587">
        <f>+INDEX(Sheet1!G:G, MATCH(Hoja1!G587, Sheet1!I:I, 0))</f>
        <v>105683</v>
      </c>
      <c r="J587" s="2">
        <f>+INDEX(Sheet1!H:H, MATCH(Hoja1!G587, Sheet1!I:I, 0))</f>
        <v>4.4081761689767934E-2</v>
      </c>
      <c r="K587" s="2">
        <f>+INDEX(Sheet1!L:L, MATCH(Hoja1!G587,Sheet1!M:M, 0))</f>
        <v>16.2</v>
      </c>
    </row>
    <row r="588" spans="1:11" ht="16" x14ac:dyDescent="0.25">
      <c r="A588" t="s">
        <v>522</v>
      </c>
      <c r="B588">
        <v>11</v>
      </c>
      <c r="C588">
        <v>2021</v>
      </c>
      <c r="D588" t="s">
        <v>531</v>
      </c>
      <c r="E588">
        <v>3.7</v>
      </c>
      <c r="F588">
        <v>4507600</v>
      </c>
      <c r="G588" s="1" t="str">
        <f t="shared" si="9"/>
        <v>Kentucky2021</v>
      </c>
      <c r="H588">
        <f>+INDEX(Sheet1!C:C, MATCH(Hoja1!G588, Sheet1!D:D, 0))</f>
        <v>238428.9</v>
      </c>
      <c r="I588">
        <f>+INDEX(Sheet1!G:G, MATCH(Hoja1!G588, Sheet1!I:I, 0))</f>
        <v>105683</v>
      </c>
      <c r="J588" s="2">
        <f>+INDEX(Sheet1!H:H, MATCH(Hoja1!G588, Sheet1!I:I, 0))</f>
        <v>4.4081761689767934E-2</v>
      </c>
      <c r="K588" s="2">
        <f>+INDEX(Sheet1!L:L, MATCH(Hoja1!G588,Sheet1!M:M, 0))</f>
        <v>16.2</v>
      </c>
    </row>
    <row r="589" spans="1:11" ht="16" x14ac:dyDescent="0.25">
      <c r="A589" t="s">
        <v>522</v>
      </c>
      <c r="B589">
        <v>12</v>
      </c>
      <c r="C589">
        <v>2021</v>
      </c>
      <c r="D589" t="s">
        <v>532</v>
      </c>
      <c r="E589">
        <v>3.6</v>
      </c>
      <c r="F589">
        <v>4507600</v>
      </c>
      <c r="G589" s="1" t="str">
        <f t="shared" si="9"/>
        <v>Kentucky2021</v>
      </c>
      <c r="H589">
        <f>+INDEX(Sheet1!C:C, MATCH(Hoja1!G589, Sheet1!D:D, 0))</f>
        <v>238428.9</v>
      </c>
      <c r="I589">
        <f>+INDEX(Sheet1!G:G, MATCH(Hoja1!G589, Sheet1!I:I, 0))</f>
        <v>105683</v>
      </c>
      <c r="J589" s="2">
        <f>+INDEX(Sheet1!H:H, MATCH(Hoja1!G589, Sheet1!I:I, 0))</f>
        <v>4.4081761689767934E-2</v>
      </c>
      <c r="K589" s="2">
        <f>+INDEX(Sheet1!L:L, MATCH(Hoja1!G589,Sheet1!M:M, 0))</f>
        <v>16.2</v>
      </c>
    </row>
    <row r="590" spans="1:11" ht="16" x14ac:dyDescent="0.25">
      <c r="A590" t="s">
        <v>522</v>
      </c>
      <c r="B590">
        <v>1</v>
      </c>
      <c r="C590">
        <v>2022</v>
      </c>
      <c r="D590" t="s">
        <v>41</v>
      </c>
      <c r="E590">
        <v>4.5</v>
      </c>
      <c r="F590">
        <v>4511563</v>
      </c>
      <c r="G590" s="1" t="str">
        <f t="shared" si="9"/>
        <v>Kentucky2022</v>
      </c>
      <c r="H590">
        <f>+INDEX(Sheet1!C:C, MATCH(Hoja1!G590, Sheet1!D:D, 0))</f>
        <v>261540.7</v>
      </c>
      <c r="I590">
        <f>+INDEX(Sheet1!G:G, MATCH(Hoja1!G590, Sheet1!I:I, 0))</f>
        <v>107954</v>
      </c>
      <c r="J590" s="2">
        <f>+INDEX(Sheet1!H:H, MATCH(Hoja1!G590, Sheet1!I:I, 0))</f>
        <v>2.1488791953294287E-2</v>
      </c>
      <c r="K590" s="2">
        <f>+INDEX(Sheet1!L:L, MATCH(Hoja1!G590,Sheet1!M:M, 0))</f>
        <v>17.100000000000001</v>
      </c>
    </row>
    <row r="591" spans="1:11" ht="16" x14ac:dyDescent="0.25">
      <c r="A591" t="s">
        <v>522</v>
      </c>
      <c r="B591">
        <v>2</v>
      </c>
      <c r="C591">
        <v>2022</v>
      </c>
      <c r="D591" t="s">
        <v>533</v>
      </c>
      <c r="E591">
        <v>4.4000000000000004</v>
      </c>
      <c r="F591">
        <v>4511563</v>
      </c>
      <c r="G591" s="1" t="str">
        <f t="shared" si="9"/>
        <v>Kentucky2022</v>
      </c>
      <c r="H591">
        <f>+INDEX(Sheet1!C:C, MATCH(Hoja1!G591, Sheet1!D:D, 0))</f>
        <v>261540.7</v>
      </c>
      <c r="I591">
        <f>+INDEX(Sheet1!G:G, MATCH(Hoja1!G591, Sheet1!I:I, 0))</f>
        <v>107954</v>
      </c>
      <c r="J591" s="2">
        <f>+INDEX(Sheet1!H:H, MATCH(Hoja1!G591, Sheet1!I:I, 0))</f>
        <v>2.1488791953294287E-2</v>
      </c>
      <c r="K591" s="2">
        <f>+INDEX(Sheet1!L:L, MATCH(Hoja1!G591,Sheet1!M:M, 0))</f>
        <v>17.100000000000001</v>
      </c>
    </row>
    <row r="592" spans="1:11" ht="16" x14ac:dyDescent="0.25">
      <c r="A592" t="s">
        <v>522</v>
      </c>
      <c r="B592">
        <v>3</v>
      </c>
      <c r="C592">
        <v>2022</v>
      </c>
      <c r="D592" t="s">
        <v>534</v>
      </c>
      <c r="E592">
        <v>4.4000000000000004</v>
      </c>
      <c r="F592">
        <v>4511563</v>
      </c>
      <c r="G592" s="1" t="str">
        <f t="shared" si="9"/>
        <v>Kentucky2022</v>
      </c>
      <c r="H592">
        <f>+INDEX(Sheet1!C:C, MATCH(Hoja1!G592, Sheet1!D:D, 0))</f>
        <v>261540.7</v>
      </c>
      <c r="I592">
        <f>+INDEX(Sheet1!G:G, MATCH(Hoja1!G592, Sheet1!I:I, 0))</f>
        <v>107954</v>
      </c>
      <c r="J592" s="2">
        <f>+INDEX(Sheet1!H:H, MATCH(Hoja1!G592, Sheet1!I:I, 0))</f>
        <v>2.1488791953294287E-2</v>
      </c>
      <c r="K592" s="2">
        <f>+INDEX(Sheet1!L:L, MATCH(Hoja1!G592,Sheet1!M:M, 0))</f>
        <v>17.100000000000001</v>
      </c>
    </row>
    <row r="593" spans="1:11" ht="16" x14ac:dyDescent="0.25">
      <c r="A593" t="s">
        <v>522</v>
      </c>
      <c r="B593">
        <v>4</v>
      </c>
      <c r="C593">
        <v>2022</v>
      </c>
      <c r="D593" t="s">
        <v>535</v>
      </c>
      <c r="E593">
        <v>3.5</v>
      </c>
      <c r="F593">
        <v>4511563</v>
      </c>
      <c r="G593" s="1" t="str">
        <f t="shared" si="9"/>
        <v>Kentucky2022</v>
      </c>
      <c r="H593">
        <f>+INDEX(Sheet1!C:C, MATCH(Hoja1!G593, Sheet1!D:D, 0))</f>
        <v>261540.7</v>
      </c>
      <c r="I593">
        <f>+INDEX(Sheet1!G:G, MATCH(Hoja1!G593, Sheet1!I:I, 0))</f>
        <v>107954</v>
      </c>
      <c r="J593" s="2">
        <f>+INDEX(Sheet1!H:H, MATCH(Hoja1!G593, Sheet1!I:I, 0))</f>
        <v>2.1488791953294287E-2</v>
      </c>
      <c r="K593" s="2">
        <f>+INDEX(Sheet1!L:L, MATCH(Hoja1!G593,Sheet1!M:M, 0))</f>
        <v>17.100000000000001</v>
      </c>
    </row>
    <row r="594" spans="1:11" ht="16" x14ac:dyDescent="0.25">
      <c r="A594" t="s">
        <v>522</v>
      </c>
      <c r="B594">
        <v>5</v>
      </c>
      <c r="C594">
        <v>2022</v>
      </c>
      <c r="D594" t="s">
        <v>364</v>
      </c>
      <c r="E594">
        <v>3.9</v>
      </c>
      <c r="F594">
        <v>4511563</v>
      </c>
      <c r="G594" s="1" t="str">
        <f t="shared" si="9"/>
        <v>Kentucky2022</v>
      </c>
      <c r="H594">
        <f>+INDEX(Sheet1!C:C, MATCH(Hoja1!G594, Sheet1!D:D, 0))</f>
        <v>261540.7</v>
      </c>
      <c r="I594">
        <f>+INDEX(Sheet1!G:G, MATCH(Hoja1!G594, Sheet1!I:I, 0))</f>
        <v>107954</v>
      </c>
      <c r="J594" s="2">
        <f>+INDEX(Sheet1!H:H, MATCH(Hoja1!G594, Sheet1!I:I, 0))</f>
        <v>2.1488791953294287E-2</v>
      </c>
      <c r="K594" s="2">
        <f>+INDEX(Sheet1!L:L, MATCH(Hoja1!G594,Sheet1!M:M, 0))</f>
        <v>17.100000000000001</v>
      </c>
    </row>
    <row r="595" spans="1:11" ht="16" x14ac:dyDescent="0.25">
      <c r="A595" t="s">
        <v>522</v>
      </c>
      <c r="B595">
        <v>6</v>
      </c>
      <c r="C595">
        <v>2022</v>
      </c>
      <c r="D595" t="s">
        <v>161</v>
      </c>
      <c r="E595">
        <v>4.5</v>
      </c>
      <c r="F595">
        <v>4511563</v>
      </c>
      <c r="G595" s="1" t="str">
        <f t="shared" si="9"/>
        <v>Kentucky2022</v>
      </c>
      <c r="H595">
        <f>+INDEX(Sheet1!C:C, MATCH(Hoja1!G595, Sheet1!D:D, 0))</f>
        <v>261540.7</v>
      </c>
      <c r="I595">
        <f>+INDEX(Sheet1!G:G, MATCH(Hoja1!G595, Sheet1!I:I, 0))</f>
        <v>107954</v>
      </c>
      <c r="J595" s="2">
        <f>+INDEX(Sheet1!H:H, MATCH(Hoja1!G595, Sheet1!I:I, 0))</f>
        <v>2.1488791953294287E-2</v>
      </c>
      <c r="K595" s="2">
        <f>+INDEX(Sheet1!L:L, MATCH(Hoja1!G595,Sheet1!M:M, 0))</f>
        <v>17.100000000000001</v>
      </c>
    </row>
    <row r="596" spans="1:11" ht="16" x14ac:dyDescent="0.25">
      <c r="A596" t="s">
        <v>522</v>
      </c>
      <c r="B596">
        <v>7</v>
      </c>
      <c r="C596">
        <v>2022</v>
      </c>
      <c r="D596" t="s">
        <v>476</v>
      </c>
      <c r="E596">
        <v>4.5</v>
      </c>
      <c r="F596">
        <v>4511563</v>
      </c>
      <c r="G596" s="1" t="str">
        <f t="shared" si="9"/>
        <v>Kentucky2022</v>
      </c>
      <c r="H596">
        <f>+INDEX(Sheet1!C:C, MATCH(Hoja1!G596, Sheet1!D:D, 0))</f>
        <v>261540.7</v>
      </c>
      <c r="I596">
        <f>+INDEX(Sheet1!G:G, MATCH(Hoja1!G596, Sheet1!I:I, 0))</f>
        <v>107954</v>
      </c>
      <c r="J596" s="2">
        <f>+INDEX(Sheet1!H:H, MATCH(Hoja1!G596, Sheet1!I:I, 0))</f>
        <v>2.1488791953294287E-2</v>
      </c>
      <c r="K596" s="2">
        <f>+INDEX(Sheet1!L:L, MATCH(Hoja1!G596,Sheet1!M:M, 0))</f>
        <v>17.100000000000001</v>
      </c>
    </row>
    <row r="597" spans="1:11" ht="16" x14ac:dyDescent="0.25">
      <c r="A597" t="s">
        <v>522</v>
      </c>
      <c r="B597">
        <v>8</v>
      </c>
      <c r="C597">
        <v>2022</v>
      </c>
      <c r="D597" t="s">
        <v>536</v>
      </c>
      <c r="E597">
        <v>4</v>
      </c>
      <c r="F597">
        <v>4511563</v>
      </c>
      <c r="G597" s="1" t="str">
        <f t="shared" si="9"/>
        <v>Kentucky2022</v>
      </c>
      <c r="H597">
        <f>+INDEX(Sheet1!C:C, MATCH(Hoja1!G597, Sheet1!D:D, 0))</f>
        <v>261540.7</v>
      </c>
      <c r="I597">
        <f>+INDEX(Sheet1!G:G, MATCH(Hoja1!G597, Sheet1!I:I, 0))</f>
        <v>107954</v>
      </c>
      <c r="J597" s="2">
        <f>+INDEX(Sheet1!H:H, MATCH(Hoja1!G597, Sheet1!I:I, 0))</f>
        <v>2.1488791953294287E-2</v>
      </c>
      <c r="K597" s="2">
        <f>+INDEX(Sheet1!L:L, MATCH(Hoja1!G597,Sheet1!M:M, 0))</f>
        <v>17.100000000000001</v>
      </c>
    </row>
    <row r="598" spans="1:11" ht="16" x14ac:dyDescent="0.25">
      <c r="A598" t="s">
        <v>522</v>
      </c>
      <c r="B598">
        <v>9</v>
      </c>
      <c r="C598">
        <v>2022</v>
      </c>
      <c r="D598" t="s">
        <v>537</v>
      </c>
      <c r="E598">
        <v>3.7</v>
      </c>
      <c r="F598">
        <v>4511563</v>
      </c>
      <c r="G598" s="1" t="str">
        <f t="shared" si="9"/>
        <v>Kentucky2022</v>
      </c>
      <c r="H598">
        <f>+INDEX(Sheet1!C:C, MATCH(Hoja1!G598, Sheet1!D:D, 0))</f>
        <v>261540.7</v>
      </c>
      <c r="I598">
        <f>+INDEX(Sheet1!G:G, MATCH(Hoja1!G598, Sheet1!I:I, 0))</f>
        <v>107954</v>
      </c>
      <c r="J598" s="2">
        <f>+INDEX(Sheet1!H:H, MATCH(Hoja1!G598, Sheet1!I:I, 0))</f>
        <v>2.1488791953294287E-2</v>
      </c>
      <c r="K598" s="2">
        <f>+INDEX(Sheet1!L:L, MATCH(Hoja1!G598,Sheet1!M:M, 0))</f>
        <v>17.100000000000001</v>
      </c>
    </row>
    <row r="599" spans="1:11" ht="16" x14ac:dyDescent="0.25">
      <c r="A599" t="s">
        <v>522</v>
      </c>
      <c r="B599">
        <v>10</v>
      </c>
      <c r="C599">
        <v>2022</v>
      </c>
      <c r="D599" t="s">
        <v>538</v>
      </c>
      <c r="E599">
        <v>3.9</v>
      </c>
      <c r="F599">
        <v>4511563</v>
      </c>
      <c r="G599" s="1" t="str">
        <f t="shared" si="9"/>
        <v>Kentucky2022</v>
      </c>
      <c r="H599">
        <f>+INDEX(Sheet1!C:C, MATCH(Hoja1!G599, Sheet1!D:D, 0))</f>
        <v>261540.7</v>
      </c>
      <c r="I599">
        <f>+INDEX(Sheet1!G:G, MATCH(Hoja1!G599, Sheet1!I:I, 0))</f>
        <v>107954</v>
      </c>
      <c r="J599" s="2">
        <f>+INDEX(Sheet1!H:H, MATCH(Hoja1!G599, Sheet1!I:I, 0))</f>
        <v>2.1488791953294287E-2</v>
      </c>
      <c r="K599" s="2">
        <f>+INDEX(Sheet1!L:L, MATCH(Hoja1!G599,Sheet1!M:M, 0))</f>
        <v>17.100000000000001</v>
      </c>
    </row>
    <row r="600" spans="1:11" ht="16" x14ac:dyDescent="0.25">
      <c r="A600" t="s">
        <v>522</v>
      </c>
      <c r="B600">
        <v>11</v>
      </c>
      <c r="C600">
        <v>2022</v>
      </c>
      <c r="D600" t="s">
        <v>539</v>
      </c>
      <c r="E600">
        <v>3.7</v>
      </c>
      <c r="F600">
        <v>4511563</v>
      </c>
      <c r="G600" s="1" t="str">
        <f t="shared" si="9"/>
        <v>Kentucky2022</v>
      </c>
      <c r="H600">
        <f>+INDEX(Sheet1!C:C, MATCH(Hoja1!G600, Sheet1!D:D, 0))</f>
        <v>261540.7</v>
      </c>
      <c r="I600">
        <f>+INDEX(Sheet1!G:G, MATCH(Hoja1!G600, Sheet1!I:I, 0))</f>
        <v>107954</v>
      </c>
      <c r="J600" s="2">
        <f>+INDEX(Sheet1!H:H, MATCH(Hoja1!G600, Sheet1!I:I, 0))</f>
        <v>2.1488791953294287E-2</v>
      </c>
      <c r="K600" s="2">
        <f>+INDEX(Sheet1!L:L, MATCH(Hoja1!G600,Sheet1!M:M, 0))</f>
        <v>17.100000000000001</v>
      </c>
    </row>
    <row r="601" spans="1:11" ht="16" x14ac:dyDescent="0.25">
      <c r="A601" t="s">
        <v>522</v>
      </c>
      <c r="B601">
        <v>12</v>
      </c>
      <c r="C601">
        <v>2022</v>
      </c>
      <c r="D601" t="s">
        <v>540</v>
      </c>
      <c r="E601">
        <v>3.6</v>
      </c>
      <c r="F601">
        <v>4511563</v>
      </c>
      <c r="G601" s="1" t="str">
        <f t="shared" si="9"/>
        <v>Kentucky2022</v>
      </c>
      <c r="H601">
        <f>+INDEX(Sheet1!C:C, MATCH(Hoja1!G601, Sheet1!D:D, 0))</f>
        <v>261540.7</v>
      </c>
      <c r="I601">
        <f>+INDEX(Sheet1!G:G, MATCH(Hoja1!G601, Sheet1!I:I, 0))</f>
        <v>107954</v>
      </c>
      <c r="J601" s="2">
        <f>+INDEX(Sheet1!H:H, MATCH(Hoja1!G601, Sheet1!I:I, 0))</f>
        <v>2.1488791953294287E-2</v>
      </c>
      <c r="K601" s="2">
        <f>+INDEX(Sheet1!L:L, MATCH(Hoja1!G601,Sheet1!M:M, 0))</f>
        <v>17.100000000000001</v>
      </c>
    </row>
    <row r="602" spans="1:11" ht="16" x14ac:dyDescent="0.25">
      <c r="A602" t="s">
        <v>522</v>
      </c>
      <c r="B602">
        <v>1</v>
      </c>
      <c r="C602">
        <v>2023</v>
      </c>
      <c r="D602" t="s">
        <v>541</v>
      </c>
      <c r="E602">
        <v>4.5</v>
      </c>
      <c r="F602">
        <v>4526154</v>
      </c>
      <c r="G602" s="1" t="str">
        <f t="shared" si="9"/>
        <v>Kentucky2023</v>
      </c>
      <c r="H602">
        <f>+INDEX(Sheet1!C:C, MATCH(Hoja1!G602, Sheet1!D:D, 0))</f>
        <v>279707.5</v>
      </c>
      <c r="I602">
        <f>+INDEX(Sheet1!G:G, MATCH(Hoja1!G602, Sheet1!I:I, 0))</f>
        <v>110244</v>
      </c>
      <c r="J602" s="2">
        <f>+INDEX(Sheet1!H:H, MATCH(Hoja1!G602, Sheet1!I:I, 0))</f>
        <v>2.12127387591011E-2</v>
      </c>
      <c r="K602" s="2">
        <f>+INDEX(Sheet1!L:L, MATCH(Hoja1!G602,Sheet1!M:M, 0))</f>
        <v>13.6</v>
      </c>
    </row>
    <row r="603" spans="1:11" ht="16" x14ac:dyDescent="0.25">
      <c r="A603" t="s">
        <v>522</v>
      </c>
      <c r="B603">
        <v>2</v>
      </c>
      <c r="C603">
        <v>2023</v>
      </c>
      <c r="D603" t="s">
        <v>542</v>
      </c>
      <c r="E603">
        <v>4.7</v>
      </c>
      <c r="F603">
        <v>4526154</v>
      </c>
      <c r="G603" s="1" t="str">
        <f t="shared" si="9"/>
        <v>Kentucky2023</v>
      </c>
      <c r="H603">
        <f>+INDEX(Sheet1!C:C, MATCH(Hoja1!G603, Sheet1!D:D, 0))</f>
        <v>279707.5</v>
      </c>
      <c r="I603">
        <f>+INDEX(Sheet1!G:G, MATCH(Hoja1!G603, Sheet1!I:I, 0))</f>
        <v>110244</v>
      </c>
      <c r="J603" s="2">
        <f>+INDEX(Sheet1!H:H, MATCH(Hoja1!G603, Sheet1!I:I, 0))</f>
        <v>2.12127387591011E-2</v>
      </c>
      <c r="K603" s="2">
        <f>+INDEX(Sheet1!L:L, MATCH(Hoja1!G603,Sheet1!M:M, 0))</f>
        <v>13.6</v>
      </c>
    </row>
    <row r="604" spans="1:11" ht="16" x14ac:dyDescent="0.25">
      <c r="A604" t="s">
        <v>522</v>
      </c>
      <c r="B604">
        <v>3</v>
      </c>
      <c r="C604">
        <v>2023</v>
      </c>
      <c r="D604" t="s">
        <v>543</v>
      </c>
      <c r="E604">
        <v>4.3</v>
      </c>
      <c r="F604">
        <v>4526154</v>
      </c>
      <c r="G604" s="1" t="str">
        <f t="shared" si="9"/>
        <v>Kentucky2023</v>
      </c>
      <c r="H604">
        <f>+INDEX(Sheet1!C:C, MATCH(Hoja1!G604, Sheet1!D:D, 0))</f>
        <v>279707.5</v>
      </c>
      <c r="I604">
        <f>+INDEX(Sheet1!G:G, MATCH(Hoja1!G604, Sheet1!I:I, 0))</f>
        <v>110244</v>
      </c>
      <c r="J604" s="2">
        <f>+INDEX(Sheet1!H:H, MATCH(Hoja1!G604, Sheet1!I:I, 0))</f>
        <v>2.12127387591011E-2</v>
      </c>
      <c r="K604" s="2">
        <f>+INDEX(Sheet1!L:L, MATCH(Hoja1!G604,Sheet1!M:M, 0))</f>
        <v>13.6</v>
      </c>
    </row>
    <row r="605" spans="1:11" ht="16" x14ac:dyDescent="0.25">
      <c r="A605" t="s">
        <v>522</v>
      </c>
      <c r="B605">
        <v>4</v>
      </c>
      <c r="C605">
        <v>2023</v>
      </c>
      <c r="D605" t="s">
        <v>544</v>
      </c>
      <c r="E605">
        <v>3.5</v>
      </c>
      <c r="F605">
        <v>4526154</v>
      </c>
      <c r="G605" s="1" t="str">
        <f t="shared" si="9"/>
        <v>Kentucky2023</v>
      </c>
      <c r="H605">
        <f>+INDEX(Sheet1!C:C, MATCH(Hoja1!G605, Sheet1!D:D, 0))</f>
        <v>279707.5</v>
      </c>
      <c r="I605">
        <f>+INDEX(Sheet1!G:G, MATCH(Hoja1!G605, Sheet1!I:I, 0))</f>
        <v>110244</v>
      </c>
      <c r="J605" s="2">
        <f>+INDEX(Sheet1!H:H, MATCH(Hoja1!G605, Sheet1!I:I, 0))</f>
        <v>2.12127387591011E-2</v>
      </c>
      <c r="K605" s="2">
        <f>+INDEX(Sheet1!L:L, MATCH(Hoja1!G605,Sheet1!M:M, 0))</f>
        <v>13.6</v>
      </c>
    </row>
    <row r="606" spans="1:11" ht="16" x14ac:dyDescent="0.25">
      <c r="A606" t="s">
        <v>522</v>
      </c>
      <c r="B606">
        <v>5</v>
      </c>
      <c r="C606">
        <v>2023</v>
      </c>
      <c r="D606" t="s">
        <v>545</v>
      </c>
      <c r="E606">
        <v>4.0999999999999996</v>
      </c>
      <c r="F606">
        <v>4526154</v>
      </c>
      <c r="G606" s="1" t="str">
        <f t="shared" si="9"/>
        <v>Kentucky2023</v>
      </c>
      <c r="H606">
        <f>+INDEX(Sheet1!C:C, MATCH(Hoja1!G606, Sheet1!D:D, 0))</f>
        <v>279707.5</v>
      </c>
      <c r="I606">
        <f>+INDEX(Sheet1!G:G, MATCH(Hoja1!G606, Sheet1!I:I, 0))</f>
        <v>110244</v>
      </c>
      <c r="J606" s="2">
        <f>+INDEX(Sheet1!H:H, MATCH(Hoja1!G606, Sheet1!I:I, 0))</f>
        <v>2.12127387591011E-2</v>
      </c>
      <c r="K606" s="2">
        <f>+INDEX(Sheet1!L:L, MATCH(Hoja1!G606,Sheet1!M:M, 0))</f>
        <v>13.6</v>
      </c>
    </row>
    <row r="607" spans="1:11" ht="16" x14ac:dyDescent="0.25">
      <c r="A607" t="s">
        <v>522</v>
      </c>
      <c r="B607">
        <v>6</v>
      </c>
      <c r="C607">
        <v>2023</v>
      </c>
      <c r="D607" t="s">
        <v>472</v>
      </c>
      <c r="E607">
        <v>4.7</v>
      </c>
      <c r="F607">
        <v>4526154</v>
      </c>
      <c r="G607" s="1" t="str">
        <f t="shared" si="9"/>
        <v>Kentucky2023</v>
      </c>
      <c r="H607">
        <f>+INDEX(Sheet1!C:C, MATCH(Hoja1!G607, Sheet1!D:D, 0))</f>
        <v>279707.5</v>
      </c>
      <c r="I607">
        <f>+INDEX(Sheet1!G:G, MATCH(Hoja1!G607, Sheet1!I:I, 0))</f>
        <v>110244</v>
      </c>
      <c r="J607" s="2">
        <f>+INDEX(Sheet1!H:H, MATCH(Hoja1!G607, Sheet1!I:I, 0))</f>
        <v>2.12127387591011E-2</v>
      </c>
      <c r="K607" s="2">
        <f>+INDEX(Sheet1!L:L, MATCH(Hoja1!G607,Sheet1!M:M, 0))</f>
        <v>13.6</v>
      </c>
    </row>
    <row r="608" spans="1:11" ht="16" x14ac:dyDescent="0.25">
      <c r="A608" t="s">
        <v>522</v>
      </c>
      <c r="B608">
        <v>7</v>
      </c>
      <c r="C608">
        <v>2023</v>
      </c>
      <c r="D608" t="s">
        <v>546</v>
      </c>
      <c r="E608">
        <v>4.5999999999999996</v>
      </c>
      <c r="F608">
        <v>4526154</v>
      </c>
      <c r="G608" s="1" t="str">
        <f t="shared" si="9"/>
        <v>Kentucky2023</v>
      </c>
      <c r="H608">
        <f>+INDEX(Sheet1!C:C, MATCH(Hoja1!G608, Sheet1!D:D, 0))</f>
        <v>279707.5</v>
      </c>
      <c r="I608">
        <f>+INDEX(Sheet1!G:G, MATCH(Hoja1!G608, Sheet1!I:I, 0))</f>
        <v>110244</v>
      </c>
      <c r="J608" s="2">
        <f>+INDEX(Sheet1!H:H, MATCH(Hoja1!G608, Sheet1!I:I, 0))</f>
        <v>2.12127387591011E-2</v>
      </c>
      <c r="K608" s="2">
        <f>+INDEX(Sheet1!L:L, MATCH(Hoja1!G608,Sheet1!M:M, 0))</f>
        <v>13.6</v>
      </c>
    </row>
    <row r="609" spans="1:11" ht="16" x14ac:dyDescent="0.25">
      <c r="A609" t="s">
        <v>522</v>
      </c>
      <c r="B609">
        <v>8</v>
      </c>
      <c r="C609">
        <v>2023</v>
      </c>
      <c r="D609" t="s">
        <v>542</v>
      </c>
      <c r="E609">
        <v>4.0999999999999996</v>
      </c>
      <c r="F609">
        <v>4526154</v>
      </c>
      <c r="G609" s="1" t="str">
        <f t="shared" si="9"/>
        <v>Kentucky2023</v>
      </c>
      <c r="H609">
        <f>+INDEX(Sheet1!C:C, MATCH(Hoja1!G609, Sheet1!D:D, 0))</f>
        <v>279707.5</v>
      </c>
      <c r="I609">
        <f>+INDEX(Sheet1!G:G, MATCH(Hoja1!G609, Sheet1!I:I, 0))</f>
        <v>110244</v>
      </c>
      <c r="J609" s="2">
        <f>+INDEX(Sheet1!H:H, MATCH(Hoja1!G609, Sheet1!I:I, 0))</f>
        <v>2.12127387591011E-2</v>
      </c>
      <c r="K609" s="2">
        <f>+INDEX(Sheet1!L:L, MATCH(Hoja1!G609,Sheet1!M:M, 0))</f>
        <v>13.6</v>
      </c>
    </row>
    <row r="610" spans="1:11" ht="16" x14ac:dyDescent="0.25">
      <c r="A610" t="s">
        <v>522</v>
      </c>
      <c r="B610">
        <v>9</v>
      </c>
      <c r="C610">
        <v>2023</v>
      </c>
      <c r="D610" t="s">
        <v>547</v>
      </c>
      <c r="E610">
        <v>4</v>
      </c>
      <c r="F610">
        <v>4526154</v>
      </c>
      <c r="G610" s="1" t="str">
        <f t="shared" si="9"/>
        <v>Kentucky2023</v>
      </c>
      <c r="H610">
        <f>+INDEX(Sheet1!C:C, MATCH(Hoja1!G610, Sheet1!D:D, 0))</f>
        <v>279707.5</v>
      </c>
      <c r="I610">
        <f>+INDEX(Sheet1!G:G, MATCH(Hoja1!G610, Sheet1!I:I, 0))</f>
        <v>110244</v>
      </c>
      <c r="J610" s="2">
        <f>+INDEX(Sheet1!H:H, MATCH(Hoja1!G610, Sheet1!I:I, 0))</f>
        <v>2.12127387591011E-2</v>
      </c>
      <c r="K610" s="2">
        <f>+INDEX(Sheet1!L:L, MATCH(Hoja1!G610,Sheet1!M:M, 0))</f>
        <v>13.6</v>
      </c>
    </row>
    <row r="611" spans="1:11" ht="16" x14ac:dyDescent="0.25">
      <c r="A611" t="s">
        <v>522</v>
      </c>
      <c r="B611">
        <v>10</v>
      </c>
      <c r="C611">
        <v>2023</v>
      </c>
      <c r="D611" t="s">
        <v>548</v>
      </c>
      <c r="E611">
        <v>3.9</v>
      </c>
      <c r="F611">
        <v>4526154</v>
      </c>
      <c r="G611" s="1" t="str">
        <f t="shared" si="9"/>
        <v>Kentucky2023</v>
      </c>
      <c r="H611">
        <f>+INDEX(Sheet1!C:C, MATCH(Hoja1!G611, Sheet1!D:D, 0))</f>
        <v>279707.5</v>
      </c>
      <c r="I611">
        <f>+INDEX(Sheet1!G:G, MATCH(Hoja1!G611, Sheet1!I:I, 0))</f>
        <v>110244</v>
      </c>
      <c r="J611" s="2">
        <f>+INDEX(Sheet1!H:H, MATCH(Hoja1!G611, Sheet1!I:I, 0))</f>
        <v>2.12127387591011E-2</v>
      </c>
      <c r="K611" s="2">
        <f>+INDEX(Sheet1!L:L, MATCH(Hoja1!G611,Sheet1!M:M, 0))</f>
        <v>13.6</v>
      </c>
    </row>
    <row r="612" spans="1:11" ht="16" x14ac:dyDescent="0.25">
      <c r="A612" t="s">
        <v>522</v>
      </c>
      <c r="B612">
        <v>11</v>
      </c>
      <c r="C612">
        <v>2023</v>
      </c>
      <c r="D612" t="s">
        <v>549</v>
      </c>
      <c r="E612">
        <v>3.8</v>
      </c>
      <c r="F612">
        <v>4526154</v>
      </c>
      <c r="G612" s="1" t="str">
        <f t="shared" si="9"/>
        <v>Kentucky2023</v>
      </c>
      <c r="H612">
        <f>+INDEX(Sheet1!C:C, MATCH(Hoja1!G612, Sheet1!D:D, 0))</f>
        <v>279707.5</v>
      </c>
      <c r="I612">
        <f>+INDEX(Sheet1!G:G, MATCH(Hoja1!G612, Sheet1!I:I, 0))</f>
        <v>110244</v>
      </c>
      <c r="J612" s="2">
        <f>+INDEX(Sheet1!H:H, MATCH(Hoja1!G612, Sheet1!I:I, 0))</f>
        <v>2.12127387591011E-2</v>
      </c>
      <c r="K612" s="2">
        <f>+INDEX(Sheet1!L:L, MATCH(Hoja1!G612,Sheet1!M:M, 0))</f>
        <v>13.6</v>
      </c>
    </row>
    <row r="613" spans="1:11" ht="16" x14ac:dyDescent="0.25">
      <c r="A613" t="s">
        <v>522</v>
      </c>
      <c r="B613">
        <v>12</v>
      </c>
      <c r="C613">
        <v>2023</v>
      </c>
      <c r="D613" t="s">
        <v>550</v>
      </c>
      <c r="E613">
        <v>3.9</v>
      </c>
      <c r="F613">
        <v>4526154</v>
      </c>
      <c r="G613" s="1" t="str">
        <f t="shared" si="9"/>
        <v>Kentucky2023</v>
      </c>
      <c r="H613">
        <f>+INDEX(Sheet1!C:C, MATCH(Hoja1!G613, Sheet1!D:D, 0))</f>
        <v>279707.5</v>
      </c>
      <c r="I613">
        <f>+INDEX(Sheet1!G:G, MATCH(Hoja1!G613, Sheet1!I:I, 0))</f>
        <v>110244</v>
      </c>
      <c r="J613" s="2">
        <f>+INDEX(Sheet1!H:H, MATCH(Hoja1!G613, Sheet1!I:I, 0))</f>
        <v>2.12127387591011E-2</v>
      </c>
      <c r="K613" s="2">
        <f>+INDEX(Sheet1!L:L, MATCH(Hoja1!G613,Sheet1!M:M, 0))</f>
        <v>13.6</v>
      </c>
    </row>
    <row r="614" spans="1:11" ht="16" x14ac:dyDescent="0.25">
      <c r="A614" t="s">
        <v>551</v>
      </c>
      <c r="B614">
        <v>1</v>
      </c>
      <c r="C614">
        <v>2021</v>
      </c>
      <c r="D614" t="s">
        <v>552</v>
      </c>
      <c r="E614">
        <v>7</v>
      </c>
      <c r="F614">
        <v>4627047</v>
      </c>
      <c r="G614" s="1" t="str">
        <f t="shared" si="9"/>
        <v>Louisiana2021</v>
      </c>
      <c r="H614">
        <f>+INDEX(Sheet1!C:C, MATCH(Hoja1!G614, Sheet1!D:D, 0))</f>
        <v>267263.59999999998</v>
      </c>
      <c r="I614">
        <f>+INDEX(Sheet1!G:G, MATCH(Hoja1!G614, Sheet1!I:I, 0))</f>
        <v>99170</v>
      </c>
      <c r="J614" s="2">
        <f>+INDEX(Sheet1!H:H, MATCH(Hoja1!G614, Sheet1!I:I, 0))</f>
        <v>3.8820916785385066E-2</v>
      </c>
      <c r="K614" s="2">
        <f>+INDEX(Sheet1!L:L, MATCH(Hoja1!G614,Sheet1!M:M, 0))</f>
        <v>18.399999999999999</v>
      </c>
    </row>
    <row r="615" spans="1:11" ht="16" x14ac:dyDescent="0.25">
      <c r="A615" t="s">
        <v>551</v>
      </c>
      <c r="B615">
        <v>2</v>
      </c>
      <c r="C615">
        <v>2021</v>
      </c>
      <c r="D615" t="s">
        <v>553</v>
      </c>
      <c r="E615">
        <v>6.8</v>
      </c>
      <c r="F615">
        <v>4627047</v>
      </c>
      <c r="G615" s="1" t="str">
        <f t="shared" si="9"/>
        <v>Louisiana2021</v>
      </c>
      <c r="H615">
        <f>+INDEX(Sheet1!C:C, MATCH(Hoja1!G615, Sheet1!D:D, 0))</f>
        <v>267263.59999999998</v>
      </c>
      <c r="I615">
        <f>+INDEX(Sheet1!G:G, MATCH(Hoja1!G615, Sheet1!I:I, 0))</f>
        <v>99170</v>
      </c>
      <c r="J615" s="2">
        <f>+INDEX(Sheet1!H:H, MATCH(Hoja1!G615, Sheet1!I:I, 0))</f>
        <v>3.8820916785385066E-2</v>
      </c>
      <c r="K615" s="2">
        <f>+INDEX(Sheet1!L:L, MATCH(Hoja1!G615,Sheet1!M:M, 0))</f>
        <v>18.399999999999999</v>
      </c>
    </row>
    <row r="616" spans="1:11" ht="16" x14ac:dyDescent="0.25">
      <c r="A616" t="s">
        <v>551</v>
      </c>
      <c r="B616">
        <v>3</v>
      </c>
      <c r="C616">
        <v>2021</v>
      </c>
      <c r="D616" t="s">
        <v>554</v>
      </c>
      <c r="E616">
        <v>6.6</v>
      </c>
      <c r="F616">
        <v>4627047</v>
      </c>
      <c r="G616" s="1" t="str">
        <f t="shared" si="9"/>
        <v>Louisiana2021</v>
      </c>
      <c r="H616">
        <f>+INDEX(Sheet1!C:C, MATCH(Hoja1!G616, Sheet1!D:D, 0))</f>
        <v>267263.59999999998</v>
      </c>
      <c r="I616">
        <f>+INDEX(Sheet1!G:G, MATCH(Hoja1!G616, Sheet1!I:I, 0))</f>
        <v>99170</v>
      </c>
      <c r="J616" s="2">
        <f>+INDEX(Sheet1!H:H, MATCH(Hoja1!G616, Sheet1!I:I, 0))</f>
        <v>3.8820916785385066E-2</v>
      </c>
      <c r="K616" s="2">
        <f>+INDEX(Sheet1!L:L, MATCH(Hoja1!G616,Sheet1!M:M, 0))</f>
        <v>18.399999999999999</v>
      </c>
    </row>
    <row r="617" spans="1:11" ht="16" x14ac:dyDescent="0.25">
      <c r="A617" t="s">
        <v>551</v>
      </c>
      <c r="B617">
        <v>4</v>
      </c>
      <c r="C617">
        <v>2021</v>
      </c>
      <c r="D617" t="s">
        <v>411</v>
      </c>
      <c r="E617">
        <v>6.4</v>
      </c>
      <c r="F617">
        <v>4627047</v>
      </c>
      <c r="G617" s="1" t="str">
        <f t="shared" si="9"/>
        <v>Louisiana2021</v>
      </c>
      <c r="H617">
        <f>+INDEX(Sheet1!C:C, MATCH(Hoja1!G617, Sheet1!D:D, 0))</f>
        <v>267263.59999999998</v>
      </c>
      <c r="I617">
        <f>+INDEX(Sheet1!G:G, MATCH(Hoja1!G617, Sheet1!I:I, 0))</f>
        <v>99170</v>
      </c>
      <c r="J617" s="2">
        <f>+INDEX(Sheet1!H:H, MATCH(Hoja1!G617, Sheet1!I:I, 0))</f>
        <v>3.8820916785385066E-2</v>
      </c>
      <c r="K617" s="2">
        <f>+INDEX(Sheet1!L:L, MATCH(Hoja1!G617,Sheet1!M:M, 0))</f>
        <v>18.399999999999999</v>
      </c>
    </row>
    <row r="618" spans="1:11" ht="16" x14ac:dyDescent="0.25">
      <c r="A618" t="s">
        <v>551</v>
      </c>
      <c r="B618">
        <v>5</v>
      </c>
      <c r="C618">
        <v>2021</v>
      </c>
      <c r="D618" t="s">
        <v>555</v>
      </c>
      <c r="E618">
        <v>6.1</v>
      </c>
      <c r="F618">
        <v>4627047</v>
      </c>
      <c r="G618" s="1" t="str">
        <f t="shared" si="9"/>
        <v>Louisiana2021</v>
      </c>
      <c r="H618">
        <f>+INDEX(Sheet1!C:C, MATCH(Hoja1!G618, Sheet1!D:D, 0))</f>
        <v>267263.59999999998</v>
      </c>
      <c r="I618">
        <f>+INDEX(Sheet1!G:G, MATCH(Hoja1!G618, Sheet1!I:I, 0))</f>
        <v>99170</v>
      </c>
      <c r="J618" s="2">
        <f>+INDEX(Sheet1!H:H, MATCH(Hoja1!G618, Sheet1!I:I, 0))</f>
        <v>3.8820916785385066E-2</v>
      </c>
      <c r="K618" s="2">
        <f>+INDEX(Sheet1!L:L, MATCH(Hoja1!G618,Sheet1!M:M, 0))</f>
        <v>18.399999999999999</v>
      </c>
    </row>
    <row r="619" spans="1:11" ht="16" x14ac:dyDescent="0.25">
      <c r="A619" t="s">
        <v>551</v>
      </c>
      <c r="B619">
        <v>6</v>
      </c>
      <c r="C619">
        <v>2021</v>
      </c>
      <c r="D619" t="s">
        <v>556</v>
      </c>
      <c r="E619">
        <v>5.9</v>
      </c>
      <c r="F619">
        <v>4627047</v>
      </c>
      <c r="G619" s="1" t="str">
        <f t="shared" si="9"/>
        <v>Louisiana2021</v>
      </c>
      <c r="H619">
        <f>+INDEX(Sheet1!C:C, MATCH(Hoja1!G619, Sheet1!D:D, 0))</f>
        <v>267263.59999999998</v>
      </c>
      <c r="I619">
        <f>+INDEX(Sheet1!G:G, MATCH(Hoja1!G619, Sheet1!I:I, 0))</f>
        <v>99170</v>
      </c>
      <c r="J619" s="2">
        <f>+INDEX(Sheet1!H:H, MATCH(Hoja1!G619, Sheet1!I:I, 0))</f>
        <v>3.8820916785385066E-2</v>
      </c>
      <c r="K619" s="2">
        <f>+INDEX(Sheet1!L:L, MATCH(Hoja1!G619,Sheet1!M:M, 0))</f>
        <v>18.399999999999999</v>
      </c>
    </row>
    <row r="620" spans="1:11" ht="16" x14ac:dyDescent="0.25">
      <c r="A620" t="s">
        <v>551</v>
      </c>
      <c r="B620">
        <v>7</v>
      </c>
      <c r="C620">
        <v>2021</v>
      </c>
      <c r="D620" t="s">
        <v>557</v>
      </c>
      <c r="E620">
        <v>5.5</v>
      </c>
      <c r="F620">
        <v>4627047</v>
      </c>
      <c r="G620" s="1" t="str">
        <f t="shared" si="9"/>
        <v>Louisiana2021</v>
      </c>
      <c r="H620">
        <f>+INDEX(Sheet1!C:C, MATCH(Hoja1!G620, Sheet1!D:D, 0))</f>
        <v>267263.59999999998</v>
      </c>
      <c r="I620">
        <f>+INDEX(Sheet1!G:G, MATCH(Hoja1!G620, Sheet1!I:I, 0))</f>
        <v>99170</v>
      </c>
      <c r="J620" s="2">
        <f>+INDEX(Sheet1!H:H, MATCH(Hoja1!G620, Sheet1!I:I, 0))</f>
        <v>3.8820916785385066E-2</v>
      </c>
      <c r="K620" s="2">
        <f>+INDEX(Sheet1!L:L, MATCH(Hoja1!G620,Sheet1!M:M, 0))</f>
        <v>18.399999999999999</v>
      </c>
    </row>
    <row r="621" spans="1:11" ht="16" x14ac:dyDescent="0.25">
      <c r="A621" t="s">
        <v>551</v>
      </c>
      <c r="B621">
        <v>8</v>
      </c>
      <c r="C621">
        <v>2021</v>
      </c>
      <c r="D621" t="s">
        <v>156</v>
      </c>
      <c r="E621">
        <v>5.2</v>
      </c>
      <c r="F621">
        <v>4627047</v>
      </c>
      <c r="G621" s="1" t="str">
        <f t="shared" si="9"/>
        <v>Louisiana2021</v>
      </c>
      <c r="H621">
        <f>+INDEX(Sheet1!C:C, MATCH(Hoja1!G621, Sheet1!D:D, 0))</f>
        <v>267263.59999999998</v>
      </c>
      <c r="I621">
        <f>+INDEX(Sheet1!G:G, MATCH(Hoja1!G621, Sheet1!I:I, 0))</f>
        <v>99170</v>
      </c>
      <c r="J621" s="2">
        <f>+INDEX(Sheet1!H:H, MATCH(Hoja1!G621, Sheet1!I:I, 0))</f>
        <v>3.8820916785385066E-2</v>
      </c>
      <c r="K621" s="2">
        <f>+INDEX(Sheet1!L:L, MATCH(Hoja1!G621,Sheet1!M:M, 0))</f>
        <v>18.399999999999999</v>
      </c>
    </row>
    <row r="622" spans="1:11" ht="16" x14ac:dyDescent="0.25">
      <c r="A622" t="s">
        <v>551</v>
      </c>
      <c r="B622">
        <v>9</v>
      </c>
      <c r="C622">
        <v>2021</v>
      </c>
      <c r="D622" t="s">
        <v>386</v>
      </c>
      <c r="E622">
        <v>4.8</v>
      </c>
      <c r="F622">
        <v>4627047</v>
      </c>
      <c r="G622" s="1" t="str">
        <f t="shared" si="9"/>
        <v>Louisiana2021</v>
      </c>
      <c r="H622">
        <f>+INDEX(Sheet1!C:C, MATCH(Hoja1!G622, Sheet1!D:D, 0))</f>
        <v>267263.59999999998</v>
      </c>
      <c r="I622">
        <f>+INDEX(Sheet1!G:G, MATCH(Hoja1!G622, Sheet1!I:I, 0))</f>
        <v>99170</v>
      </c>
      <c r="J622" s="2">
        <f>+INDEX(Sheet1!H:H, MATCH(Hoja1!G622, Sheet1!I:I, 0))</f>
        <v>3.8820916785385066E-2</v>
      </c>
      <c r="K622" s="2">
        <f>+INDEX(Sheet1!L:L, MATCH(Hoja1!G622,Sheet1!M:M, 0))</f>
        <v>18.399999999999999</v>
      </c>
    </row>
    <row r="623" spans="1:11" ht="16" x14ac:dyDescent="0.25">
      <c r="A623" t="s">
        <v>551</v>
      </c>
      <c r="B623">
        <v>10</v>
      </c>
      <c r="C623">
        <v>2021</v>
      </c>
      <c r="D623" t="s">
        <v>293</v>
      </c>
      <c r="E623">
        <v>4.5</v>
      </c>
      <c r="F623">
        <v>4627047</v>
      </c>
      <c r="G623" s="1" t="str">
        <f t="shared" si="9"/>
        <v>Louisiana2021</v>
      </c>
      <c r="H623">
        <f>+INDEX(Sheet1!C:C, MATCH(Hoja1!G623, Sheet1!D:D, 0))</f>
        <v>267263.59999999998</v>
      </c>
      <c r="I623">
        <f>+INDEX(Sheet1!G:G, MATCH(Hoja1!G623, Sheet1!I:I, 0))</f>
        <v>99170</v>
      </c>
      <c r="J623" s="2">
        <f>+INDEX(Sheet1!H:H, MATCH(Hoja1!G623, Sheet1!I:I, 0))</f>
        <v>3.8820916785385066E-2</v>
      </c>
      <c r="K623" s="2">
        <f>+INDEX(Sheet1!L:L, MATCH(Hoja1!G623,Sheet1!M:M, 0))</f>
        <v>18.399999999999999</v>
      </c>
    </row>
    <row r="624" spans="1:11" ht="16" x14ac:dyDescent="0.25">
      <c r="A624" t="s">
        <v>551</v>
      </c>
      <c r="B624">
        <v>11</v>
      </c>
      <c r="C624">
        <v>2021</v>
      </c>
      <c r="D624" t="s">
        <v>48</v>
      </c>
      <c r="E624">
        <v>4.3</v>
      </c>
      <c r="F624">
        <v>4627047</v>
      </c>
      <c r="G624" s="1" t="str">
        <f t="shared" si="9"/>
        <v>Louisiana2021</v>
      </c>
      <c r="H624">
        <f>+INDEX(Sheet1!C:C, MATCH(Hoja1!G624, Sheet1!D:D, 0))</f>
        <v>267263.59999999998</v>
      </c>
      <c r="I624">
        <f>+INDEX(Sheet1!G:G, MATCH(Hoja1!G624, Sheet1!I:I, 0))</f>
        <v>99170</v>
      </c>
      <c r="J624" s="2">
        <f>+INDEX(Sheet1!H:H, MATCH(Hoja1!G624, Sheet1!I:I, 0))</f>
        <v>3.8820916785385066E-2</v>
      </c>
      <c r="K624" s="2">
        <f>+INDEX(Sheet1!L:L, MATCH(Hoja1!G624,Sheet1!M:M, 0))</f>
        <v>18.399999999999999</v>
      </c>
    </row>
    <row r="625" spans="1:11" ht="16" x14ac:dyDescent="0.25">
      <c r="A625" t="s">
        <v>551</v>
      </c>
      <c r="B625">
        <v>12</v>
      </c>
      <c r="C625">
        <v>2021</v>
      </c>
      <c r="D625" t="s">
        <v>558</v>
      </c>
      <c r="E625">
        <v>4.0999999999999996</v>
      </c>
      <c r="F625">
        <v>4627047</v>
      </c>
      <c r="G625" s="1" t="str">
        <f t="shared" si="9"/>
        <v>Louisiana2021</v>
      </c>
      <c r="H625">
        <f>+INDEX(Sheet1!C:C, MATCH(Hoja1!G625, Sheet1!D:D, 0))</f>
        <v>267263.59999999998</v>
      </c>
      <c r="I625">
        <f>+INDEX(Sheet1!G:G, MATCH(Hoja1!G625, Sheet1!I:I, 0))</f>
        <v>99170</v>
      </c>
      <c r="J625" s="2">
        <f>+INDEX(Sheet1!H:H, MATCH(Hoja1!G625, Sheet1!I:I, 0))</f>
        <v>3.8820916785385066E-2</v>
      </c>
      <c r="K625" s="2">
        <f>+INDEX(Sheet1!L:L, MATCH(Hoja1!G625,Sheet1!M:M, 0))</f>
        <v>18.399999999999999</v>
      </c>
    </row>
    <row r="626" spans="1:11" ht="16" x14ac:dyDescent="0.25">
      <c r="A626" t="s">
        <v>551</v>
      </c>
      <c r="B626">
        <v>1</v>
      </c>
      <c r="C626">
        <v>2022</v>
      </c>
      <c r="D626" t="s">
        <v>559</v>
      </c>
      <c r="E626">
        <v>4</v>
      </c>
      <c r="F626">
        <v>4588023</v>
      </c>
      <c r="G626" s="1" t="str">
        <f t="shared" si="9"/>
        <v>Louisiana2022</v>
      </c>
      <c r="H626">
        <f>+INDEX(Sheet1!C:C, MATCH(Hoja1!G626, Sheet1!D:D, 0))</f>
        <v>298424.5</v>
      </c>
      <c r="I626">
        <f>+INDEX(Sheet1!G:G, MATCH(Hoja1!G626, Sheet1!I:I, 0))</f>
        <v>98759</v>
      </c>
      <c r="J626" s="2">
        <f>+INDEX(Sheet1!H:H, MATCH(Hoja1!G626, Sheet1!I:I, 0))</f>
        <v>-4.1443985076131899E-3</v>
      </c>
      <c r="K626" s="2">
        <f>+INDEX(Sheet1!L:L, MATCH(Hoja1!G626,Sheet1!M:M, 0))</f>
        <v>16.899999999999999</v>
      </c>
    </row>
    <row r="627" spans="1:11" ht="16" x14ac:dyDescent="0.25">
      <c r="A627" t="s">
        <v>551</v>
      </c>
      <c r="B627">
        <v>2</v>
      </c>
      <c r="C627">
        <v>2022</v>
      </c>
      <c r="D627" t="s">
        <v>560</v>
      </c>
      <c r="E627">
        <v>3.8</v>
      </c>
      <c r="F627">
        <v>4588023</v>
      </c>
      <c r="G627" s="1" t="str">
        <f t="shared" si="9"/>
        <v>Louisiana2022</v>
      </c>
      <c r="H627">
        <f>+INDEX(Sheet1!C:C, MATCH(Hoja1!G627, Sheet1!D:D, 0))</f>
        <v>298424.5</v>
      </c>
      <c r="I627">
        <f>+INDEX(Sheet1!G:G, MATCH(Hoja1!G627, Sheet1!I:I, 0))</f>
        <v>98759</v>
      </c>
      <c r="J627" s="2">
        <f>+INDEX(Sheet1!H:H, MATCH(Hoja1!G627, Sheet1!I:I, 0))</f>
        <v>-4.1443985076131899E-3</v>
      </c>
      <c r="K627" s="2">
        <f>+INDEX(Sheet1!L:L, MATCH(Hoja1!G627,Sheet1!M:M, 0))</f>
        <v>16.899999999999999</v>
      </c>
    </row>
    <row r="628" spans="1:11" ht="16" x14ac:dyDescent="0.25">
      <c r="A628" t="s">
        <v>551</v>
      </c>
      <c r="B628">
        <v>3</v>
      </c>
      <c r="C628">
        <v>2022</v>
      </c>
      <c r="D628" t="s">
        <v>561</v>
      </c>
      <c r="E628">
        <v>3.7</v>
      </c>
      <c r="F628">
        <v>4588023</v>
      </c>
      <c r="G628" s="1" t="str">
        <f t="shared" si="9"/>
        <v>Louisiana2022</v>
      </c>
      <c r="H628">
        <f>+INDEX(Sheet1!C:C, MATCH(Hoja1!G628, Sheet1!D:D, 0))</f>
        <v>298424.5</v>
      </c>
      <c r="I628">
        <f>+INDEX(Sheet1!G:G, MATCH(Hoja1!G628, Sheet1!I:I, 0))</f>
        <v>98759</v>
      </c>
      <c r="J628" s="2">
        <f>+INDEX(Sheet1!H:H, MATCH(Hoja1!G628, Sheet1!I:I, 0))</f>
        <v>-4.1443985076131899E-3</v>
      </c>
      <c r="K628" s="2">
        <f>+INDEX(Sheet1!L:L, MATCH(Hoja1!G628,Sheet1!M:M, 0))</f>
        <v>16.899999999999999</v>
      </c>
    </row>
    <row r="629" spans="1:11" ht="16" x14ac:dyDescent="0.25">
      <c r="A629" t="s">
        <v>551</v>
      </c>
      <c r="B629">
        <v>4</v>
      </c>
      <c r="C629">
        <v>2022</v>
      </c>
      <c r="D629" t="s">
        <v>562</v>
      </c>
      <c r="E629">
        <v>3.6</v>
      </c>
      <c r="F629">
        <v>4588023</v>
      </c>
      <c r="G629" s="1" t="str">
        <f t="shared" si="9"/>
        <v>Louisiana2022</v>
      </c>
      <c r="H629">
        <f>+INDEX(Sheet1!C:C, MATCH(Hoja1!G629, Sheet1!D:D, 0))</f>
        <v>298424.5</v>
      </c>
      <c r="I629">
        <f>+INDEX(Sheet1!G:G, MATCH(Hoja1!G629, Sheet1!I:I, 0))</f>
        <v>98759</v>
      </c>
      <c r="J629" s="2">
        <f>+INDEX(Sheet1!H:H, MATCH(Hoja1!G629, Sheet1!I:I, 0))</f>
        <v>-4.1443985076131899E-3</v>
      </c>
      <c r="K629" s="2">
        <f>+INDEX(Sheet1!L:L, MATCH(Hoja1!G629,Sheet1!M:M, 0))</f>
        <v>16.899999999999999</v>
      </c>
    </row>
    <row r="630" spans="1:11" ht="16" x14ac:dyDescent="0.25">
      <c r="A630" t="s">
        <v>551</v>
      </c>
      <c r="B630">
        <v>5</v>
      </c>
      <c r="C630">
        <v>2022</v>
      </c>
      <c r="D630" t="s">
        <v>229</v>
      </c>
      <c r="E630">
        <v>3.6</v>
      </c>
      <c r="F630">
        <v>4588023</v>
      </c>
      <c r="G630" s="1" t="str">
        <f t="shared" si="9"/>
        <v>Louisiana2022</v>
      </c>
      <c r="H630">
        <f>+INDEX(Sheet1!C:C, MATCH(Hoja1!G630, Sheet1!D:D, 0))</f>
        <v>298424.5</v>
      </c>
      <c r="I630">
        <f>+INDEX(Sheet1!G:G, MATCH(Hoja1!G630, Sheet1!I:I, 0))</f>
        <v>98759</v>
      </c>
      <c r="J630" s="2">
        <f>+INDEX(Sheet1!H:H, MATCH(Hoja1!G630, Sheet1!I:I, 0))</f>
        <v>-4.1443985076131899E-3</v>
      </c>
      <c r="K630" s="2">
        <f>+INDEX(Sheet1!L:L, MATCH(Hoja1!G630,Sheet1!M:M, 0))</f>
        <v>16.899999999999999</v>
      </c>
    </row>
    <row r="631" spans="1:11" ht="16" x14ac:dyDescent="0.25">
      <c r="A631" t="s">
        <v>551</v>
      </c>
      <c r="B631">
        <v>6</v>
      </c>
      <c r="C631">
        <v>2022</v>
      </c>
      <c r="D631" t="s">
        <v>563</v>
      </c>
      <c r="E631">
        <v>3.5</v>
      </c>
      <c r="F631">
        <v>4588023</v>
      </c>
      <c r="G631" s="1" t="str">
        <f t="shared" si="9"/>
        <v>Louisiana2022</v>
      </c>
      <c r="H631">
        <f>+INDEX(Sheet1!C:C, MATCH(Hoja1!G631, Sheet1!D:D, 0))</f>
        <v>298424.5</v>
      </c>
      <c r="I631">
        <f>+INDEX(Sheet1!G:G, MATCH(Hoja1!G631, Sheet1!I:I, 0))</f>
        <v>98759</v>
      </c>
      <c r="J631" s="2">
        <f>+INDEX(Sheet1!H:H, MATCH(Hoja1!G631, Sheet1!I:I, 0))</f>
        <v>-4.1443985076131899E-3</v>
      </c>
      <c r="K631" s="2">
        <f>+INDEX(Sheet1!L:L, MATCH(Hoja1!G631,Sheet1!M:M, 0))</f>
        <v>16.899999999999999</v>
      </c>
    </row>
    <row r="632" spans="1:11" ht="16" x14ac:dyDescent="0.25">
      <c r="A632" t="s">
        <v>551</v>
      </c>
      <c r="B632">
        <v>7</v>
      </c>
      <c r="C632">
        <v>2022</v>
      </c>
      <c r="D632" t="s">
        <v>564</v>
      </c>
      <c r="E632">
        <v>3.5</v>
      </c>
      <c r="F632">
        <v>4588023</v>
      </c>
      <c r="G632" s="1" t="str">
        <f t="shared" si="9"/>
        <v>Louisiana2022</v>
      </c>
      <c r="H632">
        <f>+INDEX(Sheet1!C:C, MATCH(Hoja1!G632, Sheet1!D:D, 0))</f>
        <v>298424.5</v>
      </c>
      <c r="I632">
        <f>+INDEX(Sheet1!G:G, MATCH(Hoja1!G632, Sheet1!I:I, 0))</f>
        <v>98759</v>
      </c>
      <c r="J632" s="2">
        <f>+INDEX(Sheet1!H:H, MATCH(Hoja1!G632, Sheet1!I:I, 0))</f>
        <v>-4.1443985076131899E-3</v>
      </c>
      <c r="K632" s="2">
        <f>+INDEX(Sheet1!L:L, MATCH(Hoja1!G632,Sheet1!M:M, 0))</f>
        <v>16.899999999999999</v>
      </c>
    </row>
    <row r="633" spans="1:11" ht="16" x14ac:dyDescent="0.25">
      <c r="A633" t="s">
        <v>551</v>
      </c>
      <c r="B633">
        <v>8</v>
      </c>
      <c r="C633">
        <v>2022</v>
      </c>
      <c r="D633" t="s">
        <v>565</v>
      </c>
      <c r="E633">
        <v>3.5</v>
      </c>
      <c r="F633">
        <v>4588023</v>
      </c>
      <c r="G633" s="1" t="str">
        <f t="shared" si="9"/>
        <v>Louisiana2022</v>
      </c>
      <c r="H633">
        <f>+INDEX(Sheet1!C:C, MATCH(Hoja1!G633, Sheet1!D:D, 0))</f>
        <v>298424.5</v>
      </c>
      <c r="I633">
        <f>+INDEX(Sheet1!G:G, MATCH(Hoja1!G633, Sheet1!I:I, 0))</f>
        <v>98759</v>
      </c>
      <c r="J633" s="2">
        <f>+INDEX(Sheet1!H:H, MATCH(Hoja1!G633, Sheet1!I:I, 0))</f>
        <v>-4.1443985076131899E-3</v>
      </c>
      <c r="K633" s="2">
        <f>+INDEX(Sheet1!L:L, MATCH(Hoja1!G633,Sheet1!M:M, 0))</f>
        <v>16.899999999999999</v>
      </c>
    </row>
    <row r="634" spans="1:11" ht="16" x14ac:dyDescent="0.25">
      <c r="A634" t="s">
        <v>551</v>
      </c>
      <c r="B634">
        <v>9</v>
      </c>
      <c r="C634">
        <v>2022</v>
      </c>
      <c r="D634" t="s">
        <v>566</v>
      </c>
      <c r="E634">
        <v>3.6</v>
      </c>
      <c r="F634">
        <v>4588023</v>
      </c>
      <c r="G634" s="1" t="str">
        <f t="shared" si="9"/>
        <v>Louisiana2022</v>
      </c>
      <c r="H634">
        <f>+INDEX(Sheet1!C:C, MATCH(Hoja1!G634, Sheet1!D:D, 0))</f>
        <v>298424.5</v>
      </c>
      <c r="I634">
        <f>+INDEX(Sheet1!G:G, MATCH(Hoja1!G634, Sheet1!I:I, 0))</f>
        <v>98759</v>
      </c>
      <c r="J634" s="2">
        <f>+INDEX(Sheet1!H:H, MATCH(Hoja1!G634, Sheet1!I:I, 0))</f>
        <v>-4.1443985076131899E-3</v>
      </c>
      <c r="K634" s="2">
        <f>+INDEX(Sheet1!L:L, MATCH(Hoja1!G634,Sheet1!M:M, 0))</f>
        <v>16.899999999999999</v>
      </c>
    </row>
    <row r="635" spans="1:11" ht="16" x14ac:dyDescent="0.25">
      <c r="A635" t="s">
        <v>551</v>
      </c>
      <c r="B635">
        <v>10</v>
      </c>
      <c r="C635">
        <v>2022</v>
      </c>
      <c r="D635" t="s">
        <v>29</v>
      </c>
      <c r="E635">
        <v>3.6</v>
      </c>
      <c r="F635">
        <v>4588023</v>
      </c>
      <c r="G635" s="1" t="str">
        <f t="shared" si="9"/>
        <v>Louisiana2022</v>
      </c>
      <c r="H635">
        <f>+INDEX(Sheet1!C:C, MATCH(Hoja1!G635, Sheet1!D:D, 0))</f>
        <v>298424.5</v>
      </c>
      <c r="I635">
        <f>+INDEX(Sheet1!G:G, MATCH(Hoja1!G635, Sheet1!I:I, 0))</f>
        <v>98759</v>
      </c>
      <c r="J635" s="2">
        <f>+INDEX(Sheet1!H:H, MATCH(Hoja1!G635, Sheet1!I:I, 0))</f>
        <v>-4.1443985076131899E-3</v>
      </c>
      <c r="K635" s="2">
        <f>+INDEX(Sheet1!L:L, MATCH(Hoja1!G635,Sheet1!M:M, 0))</f>
        <v>16.899999999999999</v>
      </c>
    </row>
    <row r="636" spans="1:11" ht="16" x14ac:dyDescent="0.25">
      <c r="A636" t="s">
        <v>551</v>
      </c>
      <c r="B636">
        <v>11</v>
      </c>
      <c r="C636">
        <v>2022</v>
      </c>
      <c r="D636" t="s">
        <v>567</v>
      </c>
      <c r="E636">
        <v>3.6</v>
      </c>
      <c r="F636">
        <v>4588023</v>
      </c>
      <c r="G636" s="1" t="str">
        <f t="shared" si="9"/>
        <v>Louisiana2022</v>
      </c>
      <c r="H636">
        <f>+INDEX(Sheet1!C:C, MATCH(Hoja1!G636, Sheet1!D:D, 0))</f>
        <v>298424.5</v>
      </c>
      <c r="I636">
        <f>+INDEX(Sheet1!G:G, MATCH(Hoja1!G636, Sheet1!I:I, 0))</f>
        <v>98759</v>
      </c>
      <c r="J636" s="2">
        <f>+INDEX(Sheet1!H:H, MATCH(Hoja1!G636, Sheet1!I:I, 0))</f>
        <v>-4.1443985076131899E-3</v>
      </c>
      <c r="K636" s="2">
        <f>+INDEX(Sheet1!L:L, MATCH(Hoja1!G636,Sheet1!M:M, 0))</f>
        <v>16.899999999999999</v>
      </c>
    </row>
    <row r="637" spans="1:11" ht="16" x14ac:dyDescent="0.25">
      <c r="A637" t="s">
        <v>551</v>
      </c>
      <c r="B637">
        <v>12</v>
      </c>
      <c r="C637">
        <v>2022</v>
      </c>
      <c r="D637" t="s">
        <v>568</v>
      </c>
      <c r="E637">
        <v>3.6</v>
      </c>
      <c r="F637">
        <v>4588023</v>
      </c>
      <c r="G637" s="1" t="str">
        <f t="shared" si="9"/>
        <v>Louisiana2022</v>
      </c>
      <c r="H637">
        <f>+INDEX(Sheet1!C:C, MATCH(Hoja1!G637, Sheet1!D:D, 0))</f>
        <v>298424.5</v>
      </c>
      <c r="I637">
        <f>+INDEX(Sheet1!G:G, MATCH(Hoja1!G637, Sheet1!I:I, 0))</f>
        <v>98759</v>
      </c>
      <c r="J637" s="2">
        <f>+INDEX(Sheet1!H:H, MATCH(Hoja1!G637, Sheet1!I:I, 0))</f>
        <v>-4.1443985076131899E-3</v>
      </c>
      <c r="K637" s="2">
        <f>+INDEX(Sheet1!L:L, MATCH(Hoja1!G637,Sheet1!M:M, 0))</f>
        <v>16.899999999999999</v>
      </c>
    </row>
    <row r="638" spans="1:11" ht="16" x14ac:dyDescent="0.25">
      <c r="A638" t="s">
        <v>551</v>
      </c>
      <c r="B638">
        <v>1</v>
      </c>
      <c r="C638">
        <v>2023</v>
      </c>
      <c r="D638" t="s">
        <v>201</v>
      </c>
      <c r="E638">
        <v>3.7</v>
      </c>
      <c r="F638">
        <v>4573749</v>
      </c>
      <c r="G638" s="1" t="str">
        <f t="shared" si="9"/>
        <v>Louisiana2023</v>
      </c>
      <c r="H638">
        <f>+INDEX(Sheet1!C:C, MATCH(Hoja1!G638, Sheet1!D:D, 0))</f>
        <v>314988.59999999998</v>
      </c>
      <c r="I638">
        <f>+INDEX(Sheet1!G:G, MATCH(Hoja1!G638, Sheet1!I:I, 0))</f>
        <v>103663</v>
      </c>
      <c r="J638" s="2">
        <f>+INDEX(Sheet1!H:H, MATCH(Hoja1!G638, Sheet1!I:I, 0))</f>
        <v>4.9656233862230274E-2</v>
      </c>
      <c r="K638" s="2">
        <f>+INDEX(Sheet1!L:L, MATCH(Hoja1!G638,Sheet1!M:M, 0))</f>
        <v>21.5</v>
      </c>
    </row>
    <row r="639" spans="1:11" ht="16" x14ac:dyDescent="0.25">
      <c r="A639" t="s">
        <v>551</v>
      </c>
      <c r="B639">
        <v>2</v>
      </c>
      <c r="C639">
        <v>2023</v>
      </c>
      <c r="D639" t="s">
        <v>132</v>
      </c>
      <c r="E639">
        <v>3.6</v>
      </c>
      <c r="F639">
        <v>4573749</v>
      </c>
      <c r="G639" s="1" t="str">
        <f t="shared" si="9"/>
        <v>Louisiana2023</v>
      </c>
      <c r="H639">
        <f>+INDEX(Sheet1!C:C, MATCH(Hoja1!G639, Sheet1!D:D, 0))</f>
        <v>314988.59999999998</v>
      </c>
      <c r="I639">
        <f>+INDEX(Sheet1!G:G, MATCH(Hoja1!G639, Sheet1!I:I, 0))</f>
        <v>103663</v>
      </c>
      <c r="J639" s="2">
        <f>+INDEX(Sheet1!H:H, MATCH(Hoja1!G639, Sheet1!I:I, 0))</f>
        <v>4.9656233862230274E-2</v>
      </c>
      <c r="K639" s="2">
        <f>+INDEX(Sheet1!L:L, MATCH(Hoja1!G639,Sheet1!M:M, 0))</f>
        <v>21.5</v>
      </c>
    </row>
    <row r="640" spans="1:11" ht="16" x14ac:dyDescent="0.25">
      <c r="A640" t="s">
        <v>551</v>
      </c>
      <c r="B640">
        <v>3</v>
      </c>
      <c r="C640">
        <v>2023</v>
      </c>
      <c r="D640" t="s">
        <v>569</v>
      </c>
      <c r="E640">
        <v>3.5</v>
      </c>
      <c r="F640">
        <v>4573749</v>
      </c>
      <c r="G640" s="1" t="str">
        <f t="shared" si="9"/>
        <v>Louisiana2023</v>
      </c>
      <c r="H640">
        <f>+INDEX(Sheet1!C:C, MATCH(Hoja1!G640, Sheet1!D:D, 0))</f>
        <v>314988.59999999998</v>
      </c>
      <c r="I640">
        <f>+INDEX(Sheet1!G:G, MATCH(Hoja1!G640, Sheet1!I:I, 0))</f>
        <v>103663</v>
      </c>
      <c r="J640" s="2">
        <f>+INDEX(Sheet1!H:H, MATCH(Hoja1!G640, Sheet1!I:I, 0))</f>
        <v>4.9656233862230274E-2</v>
      </c>
      <c r="K640" s="2">
        <f>+INDEX(Sheet1!L:L, MATCH(Hoja1!G640,Sheet1!M:M, 0))</f>
        <v>21.5</v>
      </c>
    </row>
    <row r="641" spans="1:11" ht="16" x14ac:dyDescent="0.25">
      <c r="A641" t="s">
        <v>551</v>
      </c>
      <c r="B641">
        <v>4</v>
      </c>
      <c r="C641">
        <v>2023</v>
      </c>
      <c r="D641" t="s">
        <v>570</v>
      </c>
      <c r="E641">
        <v>3.4</v>
      </c>
      <c r="F641">
        <v>4573749</v>
      </c>
      <c r="G641" s="1" t="str">
        <f t="shared" si="9"/>
        <v>Louisiana2023</v>
      </c>
      <c r="H641">
        <f>+INDEX(Sheet1!C:C, MATCH(Hoja1!G641, Sheet1!D:D, 0))</f>
        <v>314988.59999999998</v>
      </c>
      <c r="I641">
        <f>+INDEX(Sheet1!G:G, MATCH(Hoja1!G641, Sheet1!I:I, 0))</f>
        <v>103663</v>
      </c>
      <c r="J641" s="2">
        <f>+INDEX(Sheet1!H:H, MATCH(Hoja1!G641, Sheet1!I:I, 0))</f>
        <v>4.9656233862230274E-2</v>
      </c>
      <c r="K641" s="2">
        <f>+INDEX(Sheet1!L:L, MATCH(Hoja1!G641,Sheet1!M:M, 0))</f>
        <v>21.5</v>
      </c>
    </row>
    <row r="642" spans="1:11" ht="16" x14ac:dyDescent="0.25">
      <c r="A642" t="s">
        <v>551</v>
      </c>
      <c r="B642">
        <v>5</v>
      </c>
      <c r="C642">
        <v>2023</v>
      </c>
      <c r="D642" t="s">
        <v>571</v>
      </c>
      <c r="E642">
        <v>3.4</v>
      </c>
      <c r="F642">
        <v>4573749</v>
      </c>
      <c r="G642" s="1" t="str">
        <f t="shared" si="9"/>
        <v>Louisiana2023</v>
      </c>
      <c r="H642">
        <f>+INDEX(Sheet1!C:C, MATCH(Hoja1!G642, Sheet1!D:D, 0))</f>
        <v>314988.59999999998</v>
      </c>
      <c r="I642">
        <f>+INDEX(Sheet1!G:G, MATCH(Hoja1!G642, Sheet1!I:I, 0))</f>
        <v>103663</v>
      </c>
      <c r="J642" s="2">
        <f>+INDEX(Sheet1!H:H, MATCH(Hoja1!G642, Sheet1!I:I, 0))</f>
        <v>4.9656233862230274E-2</v>
      </c>
      <c r="K642" s="2">
        <f>+INDEX(Sheet1!L:L, MATCH(Hoja1!G642,Sheet1!M:M, 0))</f>
        <v>21.5</v>
      </c>
    </row>
    <row r="643" spans="1:11" ht="16" x14ac:dyDescent="0.25">
      <c r="A643" t="s">
        <v>551</v>
      </c>
      <c r="B643">
        <v>6</v>
      </c>
      <c r="C643">
        <v>2023</v>
      </c>
      <c r="D643" t="s">
        <v>572</v>
      </c>
      <c r="E643">
        <v>3.3</v>
      </c>
      <c r="F643">
        <v>4573749</v>
      </c>
      <c r="G643" s="1" t="str">
        <f t="shared" ref="G643:G706" si="10">+A643&amp;C643</f>
        <v>Louisiana2023</v>
      </c>
      <c r="H643">
        <f>+INDEX(Sheet1!C:C, MATCH(Hoja1!G643, Sheet1!D:D, 0))</f>
        <v>314988.59999999998</v>
      </c>
      <c r="I643">
        <f>+INDEX(Sheet1!G:G, MATCH(Hoja1!G643, Sheet1!I:I, 0))</f>
        <v>103663</v>
      </c>
      <c r="J643" s="2">
        <f>+INDEX(Sheet1!H:H, MATCH(Hoja1!G643, Sheet1!I:I, 0))</f>
        <v>4.9656233862230274E-2</v>
      </c>
      <c r="K643" s="2">
        <f>+INDEX(Sheet1!L:L, MATCH(Hoja1!G643,Sheet1!M:M, 0))</f>
        <v>21.5</v>
      </c>
    </row>
    <row r="644" spans="1:11" ht="16" x14ac:dyDescent="0.25">
      <c r="A644" t="s">
        <v>551</v>
      </c>
      <c r="B644">
        <v>7</v>
      </c>
      <c r="C644">
        <v>2023</v>
      </c>
      <c r="D644" t="s">
        <v>573</v>
      </c>
      <c r="E644">
        <v>3.4</v>
      </c>
      <c r="F644">
        <v>4573749</v>
      </c>
      <c r="G644" s="1" t="str">
        <f t="shared" si="10"/>
        <v>Louisiana2023</v>
      </c>
      <c r="H644">
        <f>+INDEX(Sheet1!C:C, MATCH(Hoja1!G644, Sheet1!D:D, 0))</f>
        <v>314988.59999999998</v>
      </c>
      <c r="I644">
        <f>+INDEX(Sheet1!G:G, MATCH(Hoja1!G644, Sheet1!I:I, 0))</f>
        <v>103663</v>
      </c>
      <c r="J644" s="2">
        <f>+INDEX(Sheet1!H:H, MATCH(Hoja1!G644, Sheet1!I:I, 0))</f>
        <v>4.9656233862230274E-2</v>
      </c>
      <c r="K644" s="2">
        <f>+INDEX(Sheet1!L:L, MATCH(Hoja1!G644,Sheet1!M:M, 0))</f>
        <v>21.5</v>
      </c>
    </row>
    <row r="645" spans="1:11" ht="16" x14ac:dyDescent="0.25">
      <c r="A645" t="s">
        <v>551</v>
      </c>
      <c r="B645">
        <v>8</v>
      </c>
      <c r="C645">
        <v>2023</v>
      </c>
      <c r="D645" t="s">
        <v>574</v>
      </c>
      <c r="E645">
        <v>3.6</v>
      </c>
      <c r="F645">
        <v>4573749</v>
      </c>
      <c r="G645" s="1" t="str">
        <f t="shared" si="10"/>
        <v>Louisiana2023</v>
      </c>
      <c r="H645">
        <f>+INDEX(Sheet1!C:C, MATCH(Hoja1!G645, Sheet1!D:D, 0))</f>
        <v>314988.59999999998</v>
      </c>
      <c r="I645">
        <f>+INDEX(Sheet1!G:G, MATCH(Hoja1!G645, Sheet1!I:I, 0))</f>
        <v>103663</v>
      </c>
      <c r="J645" s="2">
        <f>+INDEX(Sheet1!H:H, MATCH(Hoja1!G645, Sheet1!I:I, 0))</f>
        <v>4.9656233862230274E-2</v>
      </c>
      <c r="K645" s="2">
        <f>+INDEX(Sheet1!L:L, MATCH(Hoja1!G645,Sheet1!M:M, 0))</f>
        <v>21.5</v>
      </c>
    </row>
    <row r="646" spans="1:11" ht="16" x14ac:dyDescent="0.25">
      <c r="A646" t="s">
        <v>551</v>
      </c>
      <c r="B646">
        <v>9</v>
      </c>
      <c r="C646">
        <v>2023</v>
      </c>
      <c r="D646" t="s">
        <v>575</v>
      </c>
      <c r="E646">
        <v>3.8</v>
      </c>
      <c r="F646">
        <v>4573749</v>
      </c>
      <c r="G646" s="1" t="str">
        <f t="shared" si="10"/>
        <v>Louisiana2023</v>
      </c>
      <c r="H646">
        <f>+INDEX(Sheet1!C:C, MATCH(Hoja1!G646, Sheet1!D:D, 0))</f>
        <v>314988.59999999998</v>
      </c>
      <c r="I646">
        <f>+INDEX(Sheet1!G:G, MATCH(Hoja1!G646, Sheet1!I:I, 0))</f>
        <v>103663</v>
      </c>
      <c r="J646" s="2">
        <f>+INDEX(Sheet1!H:H, MATCH(Hoja1!G646, Sheet1!I:I, 0))</f>
        <v>4.9656233862230274E-2</v>
      </c>
      <c r="K646" s="2">
        <f>+INDEX(Sheet1!L:L, MATCH(Hoja1!G646,Sheet1!M:M, 0))</f>
        <v>21.5</v>
      </c>
    </row>
    <row r="647" spans="1:11" ht="16" x14ac:dyDescent="0.25">
      <c r="A647" t="s">
        <v>551</v>
      </c>
      <c r="B647">
        <v>10</v>
      </c>
      <c r="C647">
        <v>2023</v>
      </c>
      <c r="D647" t="s">
        <v>576</v>
      </c>
      <c r="E647">
        <v>4</v>
      </c>
      <c r="F647">
        <v>4573749</v>
      </c>
      <c r="G647" s="1" t="str">
        <f t="shared" si="10"/>
        <v>Louisiana2023</v>
      </c>
      <c r="H647">
        <f>+INDEX(Sheet1!C:C, MATCH(Hoja1!G647, Sheet1!D:D, 0))</f>
        <v>314988.59999999998</v>
      </c>
      <c r="I647">
        <f>+INDEX(Sheet1!G:G, MATCH(Hoja1!G647, Sheet1!I:I, 0))</f>
        <v>103663</v>
      </c>
      <c r="J647" s="2">
        <f>+INDEX(Sheet1!H:H, MATCH(Hoja1!G647, Sheet1!I:I, 0))</f>
        <v>4.9656233862230274E-2</v>
      </c>
      <c r="K647" s="2">
        <f>+INDEX(Sheet1!L:L, MATCH(Hoja1!G647,Sheet1!M:M, 0))</f>
        <v>21.5</v>
      </c>
    </row>
    <row r="648" spans="1:11" ht="16" x14ac:dyDescent="0.25">
      <c r="A648" t="s">
        <v>551</v>
      </c>
      <c r="B648">
        <v>11</v>
      </c>
      <c r="C648">
        <v>2023</v>
      </c>
      <c r="D648" t="s">
        <v>577</v>
      </c>
      <c r="E648">
        <v>4</v>
      </c>
      <c r="F648">
        <v>4573749</v>
      </c>
      <c r="G648" s="1" t="str">
        <f t="shared" si="10"/>
        <v>Louisiana2023</v>
      </c>
      <c r="H648">
        <f>+INDEX(Sheet1!C:C, MATCH(Hoja1!G648, Sheet1!D:D, 0))</f>
        <v>314988.59999999998</v>
      </c>
      <c r="I648">
        <f>+INDEX(Sheet1!G:G, MATCH(Hoja1!G648, Sheet1!I:I, 0))</f>
        <v>103663</v>
      </c>
      <c r="J648" s="2">
        <f>+INDEX(Sheet1!H:H, MATCH(Hoja1!G648, Sheet1!I:I, 0))</f>
        <v>4.9656233862230274E-2</v>
      </c>
      <c r="K648" s="2">
        <f>+INDEX(Sheet1!L:L, MATCH(Hoja1!G648,Sheet1!M:M, 0))</f>
        <v>21.5</v>
      </c>
    </row>
    <row r="649" spans="1:11" ht="16" x14ac:dyDescent="0.25">
      <c r="A649" t="s">
        <v>551</v>
      </c>
      <c r="B649">
        <v>12</v>
      </c>
      <c r="C649">
        <v>2023</v>
      </c>
      <c r="D649">
        <v>35</v>
      </c>
      <c r="E649">
        <v>4</v>
      </c>
      <c r="F649">
        <v>4573749</v>
      </c>
      <c r="G649" s="1" t="str">
        <f t="shared" si="10"/>
        <v>Louisiana2023</v>
      </c>
      <c r="H649">
        <f>+INDEX(Sheet1!C:C, MATCH(Hoja1!G649, Sheet1!D:D, 0))</f>
        <v>314988.59999999998</v>
      </c>
      <c r="I649">
        <f>+INDEX(Sheet1!G:G, MATCH(Hoja1!G649, Sheet1!I:I, 0))</f>
        <v>103663</v>
      </c>
      <c r="J649" s="2">
        <f>+INDEX(Sheet1!H:H, MATCH(Hoja1!G649, Sheet1!I:I, 0))</f>
        <v>4.9656233862230274E-2</v>
      </c>
      <c r="K649" s="2">
        <f>+INDEX(Sheet1!L:L, MATCH(Hoja1!G649,Sheet1!M:M, 0))</f>
        <v>21.5</v>
      </c>
    </row>
    <row r="650" spans="1:11" ht="16" x14ac:dyDescent="0.25">
      <c r="A650" t="s">
        <v>578</v>
      </c>
      <c r="B650">
        <v>1</v>
      </c>
      <c r="C650">
        <v>2021</v>
      </c>
      <c r="D650" t="s">
        <v>579</v>
      </c>
      <c r="E650">
        <v>5.5</v>
      </c>
      <c r="F650">
        <v>1378787</v>
      </c>
      <c r="G650" s="1" t="str">
        <f t="shared" si="10"/>
        <v>Maine2021</v>
      </c>
      <c r="H650">
        <f>+INDEX(Sheet1!C:C, MATCH(Hoja1!G650, Sheet1!D:D, 0))</f>
        <v>79193.899999999994</v>
      </c>
      <c r="I650">
        <f>+INDEX(Sheet1!G:G, MATCH(Hoja1!G650, Sheet1!I:I, 0))</f>
        <v>112923</v>
      </c>
      <c r="J650" s="2">
        <f>+INDEX(Sheet1!H:H, MATCH(Hoja1!G650, Sheet1!I:I, 0))</f>
        <v>5.535514018691589E-2</v>
      </c>
      <c r="K650" s="2">
        <f>+INDEX(Sheet1!L:L, MATCH(Hoja1!G650,Sheet1!M:M, 0))</f>
        <v>9.1</v>
      </c>
    </row>
    <row r="651" spans="1:11" ht="16" x14ac:dyDescent="0.25">
      <c r="A651" t="s">
        <v>578</v>
      </c>
      <c r="B651">
        <v>2</v>
      </c>
      <c r="C651">
        <v>2021</v>
      </c>
      <c r="D651" t="s">
        <v>438</v>
      </c>
      <c r="E651">
        <v>5.6</v>
      </c>
      <c r="F651">
        <v>1378787</v>
      </c>
      <c r="G651" s="1" t="str">
        <f t="shared" si="10"/>
        <v>Maine2021</v>
      </c>
      <c r="H651">
        <f>+INDEX(Sheet1!C:C, MATCH(Hoja1!G651, Sheet1!D:D, 0))</f>
        <v>79193.899999999994</v>
      </c>
      <c r="I651">
        <f>+INDEX(Sheet1!G:G, MATCH(Hoja1!G651, Sheet1!I:I, 0))</f>
        <v>112923</v>
      </c>
      <c r="J651" s="2">
        <f>+INDEX(Sheet1!H:H, MATCH(Hoja1!G651, Sheet1!I:I, 0))</f>
        <v>5.535514018691589E-2</v>
      </c>
      <c r="K651" s="2">
        <f>+INDEX(Sheet1!L:L, MATCH(Hoja1!G651,Sheet1!M:M, 0))</f>
        <v>9.1</v>
      </c>
    </row>
    <row r="652" spans="1:11" ht="16" x14ac:dyDescent="0.25">
      <c r="A652" t="s">
        <v>578</v>
      </c>
      <c r="B652">
        <v>3</v>
      </c>
      <c r="C652">
        <v>2021</v>
      </c>
      <c r="D652" t="s">
        <v>580</v>
      </c>
      <c r="E652">
        <v>5.5</v>
      </c>
      <c r="F652">
        <v>1378787</v>
      </c>
      <c r="G652" s="1" t="str">
        <f t="shared" si="10"/>
        <v>Maine2021</v>
      </c>
      <c r="H652">
        <f>+INDEX(Sheet1!C:C, MATCH(Hoja1!G652, Sheet1!D:D, 0))</f>
        <v>79193.899999999994</v>
      </c>
      <c r="I652">
        <f>+INDEX(Sheet1!G:G, MATCH(Hoja1!G652, Sheet1!I:I, 0))</f>
        <v>112923</v>
      </c>
      <c r="J652" s="2">
        <f>+INDEX(Sheet1!H:H, MATCH(Hoja1!G652, Sheet1!I:I, 0))</f>
        <v>5.535514018691589E-2</v>
      </c>
      <c r="K652" s="2">
        <f>+INDEX(Sheet1!L:L, MATCH(Hoja1!G652,Sheet1!M:M, 0))</f>
        <v>9.1</v>
      </c>
    </row>
    <row r="653" spans="1:11" ht="16" x14ac:dyDescent="0.25">
      <c r="A653" t="s">
        <v>578</v>
      </c>
      <c r="B653">
        <v>4</v>
      </c>
      <c r="C653">
        <v>2021</v>
      </c>
      <c r="D653" t="s">
        <v>355</v>
      </c>
      <c r="E653">
        <v>5.3</v>
      </c>
      <c r="F653">
        <v>1378787</v>
      </c>
      <c r="G653" s="1" t="str">
        <f t="shared" si="10"/>
        <v>Maine2021</v>
      </c>
      <c r="H653">
        <f>+INDEX(Sheet1!C:C, MATCH(Hoja1!G653, Sheet1!D:D, 0))</f>
        <v>79193.899999999994</v>
      </c>
      <c r="I653">
        <f>+INDEX(Sheet1!G:G, MATCH(Hoja1!G653, Sheet1!I:I, 0))</f>
        <v>112923</v>
      </c>
      <c r="J653" s="2">
        <f>+INDEX(Sheet1!H:H, MATCH(Hoja1!G653, Sheet1!I:I, 0))</f>
        <v>5.535514018691589E-2</v>
      </c>
      <c r="K653" s="2">
        <f>+INDEX(Sheet1!L:L, MATCH(Hoja1!G653,Sheet1!M:M, 0))</f>
        <v>9.1</v>
      </c>
    </row>
    <row r="654" spans="1:11" ht="16" x14ac:dyDescent="0.25">
      <c r="A654" t="s">
        <v>578</v>
      </c>
      <c r="B654">
        <v>5</v>
      </c>
      <c r="C654">
        <v>2021</v>
      </c>
      <c r="D654" t="s">
        <v>580</v>
      </c>
      <c r="E654">
        <v>5</v>
      </c>
      <c r="F654">
        <v>1378787</v>
      </c>
      <c r="G654" s="1" t="str">
        <f t="shared" si="10"/>
        <v>Maine2021</v>
      </c>
      <c r="H654">
        <f>+INDEX(Sheet1!C:C, MATCH(Hoja1!G654, Sheet1!D:D, 0))</f>
        <v>79193.899999999994</v>
      </c>
      <c r="I654">
        <f>+INDEX(Sheet1!G:G, MATCH(Hoja1!G654, Sheet1!I:I, 0))</f>
        <v>112923</v>
      </c>
      <c r="J654" s="2">
        <f>+INDEX(Sheet1!H:H, MATCH(Hoja1!G654, Sheet1!I:I, 0))</f>
        <v>5.535514018691589E-2</v>
      </c>
      <c r="K654" s="2">
        <f>+INDEX(Sheet1!L:L, MATCH(Hoja1!G654,Sheet1!M:M, 0))</f>
        <v>9.1</v>
      </c>
    </row>
    <row r="655" spans="1:11" ht="16" x14ac:dyDescent="0.25">
      <c r="A655" t="s">
        <v>578</v>
      </c>
      <c r="B655">
        <v>6</v>
      </c>
      <c r="C655">
        <v>2021</v>
      </c>
      <c r="D655" t="s">
        <v>581</v>
      </c>
      <c r="E655">
        <v>5.0999999999999996</v>
      </c>
      <c r="F655">
        <v>1378787</v>
      </c>
      <c r="G655" s="1" t="str">
        <f t="shared" si="10"/>
        <v>Maine2021</v>
      </c>
      <c r="H655">
        <f>+INDEX(Sheet1!C:C, MATCH(Hoja1!G655, Sheet1!D:D, 0))</f>
        <v>79193.899999999994</v>
      </c>
      <c r="I655">
        <f>+INDEX(Sheet1!G:G, MATCH(Hoja1!G655, Sheet1!I:I, 0))</f>
        <v>112923</v>
      </c>
      <c r="J655" s="2">
        <f>+INDEX(Sheet1!H:H, MATCH(Hoja1!G655, Sheet1!I:I, 0))</f>
        <v>5.535514018691589E-2</v>
      </c>
      <c r="K655" s="2">
        <f>+INDEX(Sheet1!L:L, MATCH(Hoja1!G655,Sheet1!M:M, 0))</f>
        <v>9.1</v>
      </c>
    </row>
    <row r="656" spans="1:11" ht="16" x14ac:dyDescent="0.25">
      <c r="A656" t="s">
        <v>578</v>
      </c>
      <c r="B656">
        <v>7</v>
      </c>
      <c r="C656">
        <v>2021</v>
      </c>
      <c r="D656" t="s">
        <v>582</v>
      </c>
      <c r="E656">
        <v>4.7</v>
      </c>
      <c r="F656">
        <v>1378787</v>
      </c>
      <c r="G656" s="1" t="str">
        <f t="shared" si="10"/>
        <v>Maine2021</v>
      </c>
      <c r="H656">
        <f>+INDEX(Sheet1!C:C, MATCH(Hoja1!G656, Sheet1!D:D, 0))</f>
        <v>79193.899999999994</v>
      </c>
      <c r="I656">
        <f>+INDEX(Sheet1!G:G, MATCH(Hoja1!G656, Sheet1!I:I, 0))</f>
        <v>112923</v>
      </c>
      <c r="J656" s="2">
        <f>+INDEX(Sheet1!H:H, MATCH(Hoja1!G656, Sheet1!I:I, 0))</f>
        <v>5.535514018691589E-2</v>
      </c>
      <c r="K656" s="2">
        <f>+INDEX(Sheet1!L:L, MATCH(Hoja1!G656,Sheet1!M:M, 0))</f>
        <v>9.1</v>
      </c>
    </row>
    <row r="657" spans="1:11" ht="16" x14ac:dyDescent="0.25">
      <c r="A657" t="s">
        <v>578</v>
      </c>
      <c r="B657">
        <v>8</v>
      </c>
      <c r="C657">
        <v>2021</v>
      </c>
      <c r="D657" t="s">
        <v>583</v>
      </c>
      <c r="E657">
        <v>4.4000000000000004</v>
      </c>
      <c r="F657">
        <v>1378787</v>
      </c>
      <c r="G657" s="1" t="str">
        <f t="shared" si="10"/>
        <v>Maine2021</v>
      </c>
      <c r="H657">
        <f>+INDEX(Sheet1!C:C, MATCH(Hoja1!G657, Sheet1!D:D, 0))</f>
        <v>79193.899999999994</v>
      </c>
      <c r="I657">
        <f>+INDEX(Sheet1!G:G, MATCH(Hoja1!G657, Sheet1!I:I, 0))</f>
        <v>112923</v>
      </c>
      <c r="J657" s="2">
        <f>+INDEX(Sheet1!H:H, MATCH(Hoja1!G657, Sheet1!I:I, 0))</f>
        <v>5.535514018691589E-2</v>
      </c>
      <c r="K657" s="2">
        <f>+INDEX(Sheet1!L:L, MATCH(Hoja1!G657,Sheet1!M:M, 0))</f>
        <v>9.1</v>
      </c>
    </row>
    <row r="658" spans="1:11" ht="16" x14ac:dyDescent="0.25">
      <c r="A658" t="s">
        <v>578</v>
      </c>
      <c r="B658">
        <v>9</v>
      </c>
      <c r="C658">
        <v>2021</v>
      </c>
      <c r="D658" t="s">
        <v>155</v>
      </c>
      <c r="E658">
        <v>3.9</v>
      </c>
      <c r="F658">
        <v>1378787</v>
      </c>
      <c r="G658" s="1" t="str">
        <f t="shared" si="10"/>
        <v>Maine2021</v>
      </c>
      <c r="H658">
        <f>+INDEX(Sheet1!C:C, MATCH(Hoja1!G658, Sheet1!D:D, 0))</f>
        <v>79193.899999999994</v>
      </c>
      <c r="I658">
        <f>+INDEX(Sheet1!G:G, MATCH(Hoja1!G658, Sheet1!I:I, 0))</f>
        <v>112923</v>
      </c>
      <c r="J658" s="2">
        <f>+INDEX(Sheet1!H:H, MATCH(Hoja1!G658, Sheet1!I:I, 0))</f>
        <v>5.535514018691589E-2</v>
      </c>
      <c r="K658" s="2">
        <f>+INDEX(Sheet1!L:L, MATCH(Hoja1!G658,Sheet1!M:M, 0))</f>
        <v>9.1</v>
      </c>
    </row>
    <row r="659" spans="1:11" ht="16" x14ac:dyDescent="0.25">
      <c r="A659" t="s">
        <v>578</v>
      </c>
      <c r="B659">
        <v>10</v>
      </c>
      <c r="C659">
        <v>2021</v>
      </c>
      <c r="D659" t="s">
        <v>319</v>
      </c>
      <c r="E659">
        <v>3.9</v>
      </c>
      <c r="F659">
        <v>1378787</v>
      </c>
      <c r="G659" s="1" t="str">
        <f t="shared" si="10"/>
        <v>Maine2021</v>
      </c>
      <c r="H659">
        <f>+INDEX(Sheet1!C:C, MATCH(Hoja1!G659, Sheet1!D:D, 0))</f>
        <v>79193.899999999994</v>
      </c>
      <c r="I659">
        <f>+INDEX(Sheet1!G:G, MATCH(Hoja1!G659, Sheet1!I:I, 0))</f>
        <v>112923</v>
      </c>
      <c r="J659" s="2">
        <f>+INDEX(Sheet1!H:H, MATCH(Hoja1!G659, Sheet1!I:I, 0))</f>
        <v>5.535514018691589E-2</v>
      </c>
      <c r="K659" s="2">
        <f>+INDEX(Sheet1!L:L, MATCH(Hoja1!G659,Sheet1!M:M, 0))</f>
        <v>9.1</v>
      </c>
    </row>
    <row r="660" spans="1:11" ht="16" x14ac:dyDescent="0.25">
      <c r="A660" t="s">
        <v>578</v>
      </c>
      <c r="B660">
        <v>11</v>
      </c>
      <c r="C660">
        <v>2021</v>
      </c>
      <c r="D660" t="s">
        <v>584</v>
      </c>
      <c r="E660">
        <v>4</v>
      </c>
      <c r="F660">
        <v>1378787</v>
      </c>
      <c r="G660" s="1" t="str">
        <f t="shared" si="10"/>
        <v>Maine2021</v>
      </c>
      <c r="H660">
        <f>+INDEX(Sheet1!C:C, MATCH(Hoja1!G660, Sheet1!D:D, 0))</f>
        <v>79193.899999999994</v>
      </c>
      <c r="I660">
        <f>+INDEX(Sheet1!G:G, MATCH(Hoja1!G660, Sheet1!I:I, 0))</f>
        <v>112923</v>
      </c>
      <c r="J660" s="2">
        <f>+INDEX(Sheet1!H:H, MATCH(Hoja1!G660, Sheet1!I:I, 0))</f>
        <v>5.535514018691589E-2</v>
      </c>
      <c r="K660" s="2">
        <f>+INDEX(Sheet1!L:L, MATCH(Hoja1!G660,Sheet1!M:M, 0))</f>
        <v>9.1</v>
      </c>
    </row>
    <row r="661" spans="1:11" ht="16" x14ac:dyDescent="0.25">
      <c r="A661" t="s">
        <v>578</v>
      </c>
      <c r="B661">
        <v>12</v>
      </c>
      <c r="C661">
        <v>2021</v>
      </c>
      <c r="D661" t="s">
        <v>366</v>
      </c>
      <c r="E661">
        <v>3.6</v>
      </c>
      <c r="F661">
        <v>1378787</v>
      </c>
      <c r="G661" s="1" t="str">
        <f t="shared" si="10"/>
        <v>Maine2021</v>
      </c>
      <c r="H661">
        <f>+INDEX(Sheet1!C:C, MATCH(Hoja1!G661, Sheet1!D:D, 0))</f>
        <v>79193.899999999994</v>
      </c>
      <c r="I661">
        <f>+INDEX(Sheet1!G:G, MATCH(Hoja1!G661, Sheet1!I:I, 0))</f>
        <v>112923</v>
      </c>
      <c r="J661" s="2">
        <f>+INDEX(Sheet1!H:H, MATCH(Hoja1!G661, Sheet1!I:I, 0))</f>
        <v>5.535514018691589E-2</v>
      </c>
      <c r="K661" s="2">
        <f>+INDEX(Sheet1!L:L, MATCH(Hoja1!G661,Sheet1!M:M, 0))</f>
        <v>9.1</v>
      </c>
    </row>
    <row r="662" spans="1:11" ht="16" x14ac:dyDescent="0.25">
      <c r="A662" t="s">
        <v>578</v>
      </c>
      <c r="B662">
        <v>1</v>
      </c>
      <c r="C662">
        <v>2022</v>
      </c>
      <c r="D662" t="s">
        <v>116</v>
      </c>
      <c r="E662">
        <v>4.3</v>
      </c>
      <c r="F662">
        <v>1389338</v>
      </c>
      <c r="G662" s="1" t="str">
        <f t="shared" si="10"/>
        <v>Maine2022</v>
      </c>
      <c r="H662">
        <f>+INDEX(Sheet1!C:C, MATCH(Hoja1!G662, Sheet1!D:D, 0))</f>
        <v>86493.3</v>
      </c>
      <c r="I662">
        <f>+INDEX(Sheet1!G:G, MATCH(Hoja1!G662, Sheet1!I:I, 0))</f>
        <v>115929</v>
      </c>
      <c r="J662" s="2">
        <f>+INDEX(Sheet1!H:H, MATCH(Hoja1!G662, Sheet1!I:I, 0))</f>
        <v>2.6619909141627481E-2</v>
      </c>
      <c r="K662" s="2">
        <f>+INDEX(Sheet1!L:L, MATCH(Hoja1!G662,Sheet1!M:M, 0))</f>
        <v>9.6</v>
      </c>
    </row>
    <row r="663" spans="1:11" ht="16" x14ac:dyDescent="0.25">
      <c r="A663" t="s">
        <v>578</v>
      </c>
      <c r="B663">
        <v>2</v>
      </c>
      <c r="C663">
        <v>2022</v>
      </c>
      <c r="D663" t="s">
        <v>585</v>
      </c>
      <c r="E663">
        <v>4</v>
      </c>
      <c r="F663">
        <v>1389338</v>
      </c>
      <c r="G663" s="1" t="str">
        <f t="shared" si="10"/>
        <v>Maine2022</v>
      </c>
      <c r="H663">
        <f>+INDEX(Sheet1!C:C, MATCH(Hoja1!G663, Sheet1!D:D, 0))</f>
        <v>86493.3</v>
      </c>
      <c r="I663">
        <f>+INDEX(Sheet1!G:G, MATCH(Hoja1!G663, Sheet1!I:I, 0))</f>
        <v>115929</v>
      </c>
      <c r="J663" s="2">
        <f>+INDEX(Sheet1!H:H, MATCH(Hoja1!G663, Sheet1!I:I, 0))</f>
        <v>2.6619909141627481E-2</v>
      </c>
      <c r="K663" s="2">
        <f>+INDEX(Sheet1!L:L, MATCH(Hoja1!G663,Sheet1!M:M, 0))</f>
        <v>9.6</v>
      </c>
    </row>
    <row r="664" spans="1:11" ht="16" x14ac:dyDescent="0.25">
      <c r="A664" t="s">
        <v>578</v>
      </c>
      <c r="B664">
        <v>3</v>
      </c>
      <c r="C664">
        <v>2022</v>
      </c>
      <c r="D664" t="s">
        <v>129</v>
      </c>
      <c r="E664">
        <v>3.6</v>
      </c>
      <c r="F664">
        <v>1389338</v>
      </c>
      <c r="G664" s="1" t="str">
        <f t="shared" si="10"/>
        <v>Maine2022</v>
      </c>
      <c r="H664">
        <f>+INDEX(Sheet1!C:C, MATCH(Hoja1!G664, Sheet1!D:D, 0))</f>
        <v>86493.3</v>
      </c>
      <c r="I664">
        <f>+INDEX(Sheet1!G:G, MATCH(Hoja1!G664, Sheet1!I:I, 0))</f>
        <v>115929</v>
      </c>
      <c r="J664" s="2">
        <f>+INDEX(Sheet1!H:H, MATCH(Hoja1!G664, Sheet1!I:I, 0))</f>
        <v>2.6619909141627481E-2</v>
      </c>
      <c r="K664" s="2">
        <f>+INDEX(Sheet1!L:L, MATCH(Hoja1!G664,Sheet1!M:M, 0))</f>
        <v>9.6</v>
      </c>
    </row>
    <row r="665" spans="1:11" ht="16" x14ac:dyDescent="0.25">
      <c r="A665" t="s">
        <v>578</v>
      </c>
      <c r="B665">
        <v>4</v>
      </c>
      <c r="C665">
        <v>2022</v>
      </c>
      <c r="D665" t="s">
        <v>586</v>
      </c>
      <c r="E665">
        <v>3</v>
      </c>
      <c r="F665">
        <v>1389338</v>
      </c>
      <c r="G665" s="1" t="str">
        <f t="shared" si="10"/>
        <v>Maine2022</v>
      </c>
      <c r="H665">
        <f>+INDEX(Sheet1!C:C, MATCH(Hoja1!G665, Sheet1!D:D, 0))</f>
        <v>86493.3</v>
      </c>
      <c r="I665">
        <f>+INDEX(Sheet1!G:G, MATCH(Hoja1!G665, Sheet1!I:I, 0))</f>
        <v>115929</v>
      </c>
      <c r="J665" s="2">
        <f>+INDEX(Sheet1!H:H, MATCH(Hoja1!G665, Sheet1!I:I, 0))</f>
        <v>2.6619909141627481E-2</v>
      </c>
      <c r="K665" s="2">
        <f>+INDEX(Sheet1!L:L, MATCH(Hoja1!G665,Sheet1!M:M, 0))</f>
        <v>9.6</v>
      </c>
    </row>
    <row r="666" spans="1:11" ht="16" x14ac:dyDescent="0.25">
      <c r="A666" t="s">
        <v>578</v>
      </c>
      <c r="B666">
        <v>5</v>
      </c>
      <c r="C666">
        <v>2022</v>
      </c>
      <c r="D666">
        <v>19</v>
      </c>
      <c r="E666">
        <v>2.8</v>
      </c>
      <c r="F666">
        <v>1389338</v>
      </c>
      <c r="G666" s="1" t="str">
        <f t="shared" si="10"/>
        <v>Maine2022</v>
      </c>
      <c r="H666">
        <f>+INDEX(Sheet1!C:C, MATCH(Hoja1!G666, Sheet1!D:D, 0))</f>
        <v>86493.3</v>
      </c>
      <c r="I666">
        <f>+INDEX(Sheet1!G:G, MATCH(Hoja1!G666, Sheet1!I:I, 0))</f>
        <v>115929</v>
      </c>
      <c r="J666" s="2">
        <f>+INDEX(Sheet1!H:H, MATCH(Hoja1!G666, Sheet1!I:I, 0))</f>
        <v>2.6619909141627481E-2</v>
      </c>
      <c r="K666" s="2">
        <f>+INDEX(Sheet1!L:L, MATCH(Hoja1!G666,Sheet1!M:M, 0))</f>
        <v>9.6</v>
      </c>
    </row>
    <row r="667" spans="1:11" ht="16" x14ac:dyDescent="0.25">
      <c r="A667" t="s">
        <v>578</v>
      </c>
      <c r="B667">
        <v>6</v>
      </c>
      <c r="C667">
        <v>2022</v>
      </c>
      <c r="D667" t="s">
        <v>17</v>
      </c>
      <c r="E667">
        <v>2.5</v>
      </c>
      <c r="F667">
        <v>1389338</v>
      </c>
      <c r="G667" s="1" t="str">
        <f t="shared" si="10"/>
        <v>Maine2022</v>
      </c>
      <c r="H667">
        <f>+INDEX(Sheet1!C:C, MATCH(Hoja1!G667, Sheet1!D:D, 0))</f>
        <v>86493.3</v>
      </c>
      <c r="I667">
        <f>+INDEX(Sheet1!G:G, MATCH(Hoja1!G667, Sheet1!I:I, 0))</f>
        <v>115929</v>
      </c>
      <c r="J667" s="2">
        <f>+INDEX(Sheet1!H:H, MATCH(Hoja1!G667, Sheet1!I:I, 0))</f>
        <v>2.6619909141627481E-2</v>
      </c>
      <c r="K667" s="2">
        <f>+INDEX(Sheet1!L:L, MATCH(Hoja1!G667,Sheet1!M:M, 0))</f>
        <v>9.6</v>
      </c>
    </row>
    <row r="668" spans="1:11" ht="16" x14ac:dyDescent="0.25">
      <c r="A668" t="s">
        <v>578</v>
      </c>
      <c r="B668">
        <v>7</v>
      </c>
      <c r="C668">
        <v>2022</v>
      </c>
      <c r="D668" t="s">
        <v>587</v>
      </c>
      <c r="E668">
        <v>2.4</v>
      </c>
      <c r="F668">
        <v>1389338</v>
      </c>
      <c r="G668" s="1" t="str">
        <f t="shared" si="10"/>
        <v>Maine2022</v>
      </c>
      <c r="H668">
        <f>+INDEX(Sheet1!C:C, MATCH(Hoja1!G668, Sheet1!D:D, 0))</f>
        <v>86493.3</v>
      </c>
      <c r="I668">
        <f>+INDEX(Sheet1!G:G, MATCH(Hoja1!G668, Sheet1!I:I, 0))</f>
        <v>115929</v>
      </c>
      <c r="J668" s="2">
        <f>+INDEX(Sheet1!H:H, MATCH(Hoja1!G668, Sheet1!I:I, 0))</f>
        <v>2.6619909141627481E-2</v>
      </c>
      <c r="K668" s="2">
        <f>+INDEX(Sheet1!L:L, MATCH(Hoja1!G668,Sheet1!M:M, 0))</f>
        <v>9.6</v>
      </c>
    </row>
    <row r="669" spans="1:11" ht="16" x14ac:dyDescent="0.25">
      <c r="A669" t="s">
        <v>578</v>
      </c>
      <c r="B669">
        <v>8</v>
      </c>
      <c r="C669">
        <v>2022</v>
      </c>
      <c r="D669" t="s">
        <v>523</v>
      </c>
      <c r="E669">
        <v>2.1</v>
      </c>
      <c r="F669">
        <v>1389338</v>
      </c>
      <c r="G669" s="1" t="str">
        <f t="shared" si="10"/>
        <v>Maine2022</v>
      </c>
      <c r="H669">
        <f>+INDEX(Sheet1!C:C, MATCH(Hoja1!G669, Sheet1!D:D, 0))</f>
        <v>86493.3</v>
      </c>
      <c r="I669">
        <f>+INDEX(Sheet1!G:G, MATCH(Hoja1!G669, Sheet1!I:I, 0))</f>
        <v>115929</v>
      </c>
      <c r="J669" s="2">
        <f>+INDEX(Sheet1!H:H, MATCH(Hoja1!G669, Sheet1!I:I, 0))</f>
        <v>2.6619909141627481E-2</v>
      </c>
      <c r="K669" s="2">
        <f>+INDEX(Sheet1!L:L, MATCH(Hoja1!G669,Sheet1!M:M, 0))</f>
        <v>9.6</v>
      </c>
    </row>
    <row r="670" spans="1:11" ht="16" x14ac:dyDescent="0.25">
      <c r="A670" t="s">
        <v>578</v>
      </c>
      <c r="B670">
        <v>9</v>
      </c>
      <c r="C670">
        <v>2022</v>
      </c>
      <c r="D670" t="s">
        <v>588</v>
      </c>
      <c r="E670">
        <v>2.2000000000000002</v>
      </c>
      <c r="F670">
        <v>1389338</v>
      </c>
      <c r="G670" s="1" t="str">
        <f t="shared" si="10"/>
        <v>Maine2022</v>
      </c>
      <c r="H670">
        <f>+INDEX(Sheet1!C:C, MATCH(Hoja1!G670, Sheet1!D:D, 0))</f>
        <v>86493.3</v>
      </c>
      <c r="I670">
        <f>+INDEX(Sheet1!G:G, MATCH(Hoja1!G670, Sheet1!I:I, 0))</f>
        <v>115929</v>
      </c>
      <c r="J670" s="2">
        <f>+INDEX(Sheet1!H:H, MATCH(Hoja1!G670, Sheet1!I:I, 0))</f>
        <v>2.6619909141627481E-2</v>
      </c>
      <c r="K670" s="2">
        <f>+INDEX(Sheet1!L:L, MATCH(Hoja1!G670,Sheet1!M:M, 0))</f>
        <v>9.6</v>
      </c>
    </row>
    <row r="671" spans="1:11" ht="16" x14ac:dyDescent="0.25">
      <c r="A671" t="s">
        <v>578</v>
      </c>
      <c r="B671">
        <v>10</v>
      </c>
      <c r="C671">
        <v>2022</v>
      </c>
      <c r="D671" t="s">
        <v>37</v>
      </c>
      <c r="E671">
        <v>2.2999999999999998</v>
      </c>
      <c r="F671">
        <v>1389338</v>
      </c>
      <c r="G671" s="1" t="str">
        <f t="shared" si="10"/>
        <v>Maine2022</v>
      </c>
      <c r="H671">
        <f>+INDEX(Sheet1!C:C, MATCH(Hoja1!G671, Sheet1!D:D, 0))</f>
        <v>86493.3</v>
      </c>
      <c r="I671">
        <f>+INDEX(Sheet1!G:G, MATCH(Hoja1!G671, Sheet1!I:I, 0))</f>
        <v>115929</v>
      </c>
      <c r="J671" s="2">
        <f>+INDEX(Sheet1!H:H, MATCH(Hoja1!G671, Sheet1!I:I, 0))</f>
        <v>2.6619909141627481E-2</v>
      </c>
      <c r="K671" s="2">
        <f>+INDEX(Sheet1!L:L, MATCH(Hoja1!G671,Sheet1!M:M, 0))</f>
        <v>9.6</v>
      </c>
    </row>
    <row r="672" spans="1:11" ht="16" x14ac:dyDescent="0.25">
      <c r="A672" t="s">
        <v>578</v>
      </c>
      <c r="B672">
        <v>11</v>
      </c>
      <c r="C672">
        <v>2022</v>
      </c>
      <c r="D672" t="s">
        <v>589</v>
      </c>
      <c r="E672">
        <v>2.6</v>
      </c>
      <c r="F672">
        <v>1389338</v>
      </c>
      <c r="G672" s="1" t="str">
        <f t="shared" si="10"/>
        <v>Maine2022</v>
      </c>
      <c r="H672">
        <f>+INDEX(Sheet1!C:C, MATCH(Hoja1!G672, Sheet1!D:D, 0))</f>
        <v>86493.3</v>
      </c>
      <c r="I672">
        <f>+INDEX(Sheet1!G:G, MATCH(Hoja1!G672, Sheet1!I:I, 0))</f>
        <v>115929</v>
      </c>
      <c r="J672" s="2">
        <f>+INDEX(Sheet1!H:H, MATCH(Hoja1!G672, Sheet1!I:I, 0))</f>
        <v>2.6619909141627481E-2</v>
      </c>
      <c r="K672" s="2">
        <f>+INDEX(Sheet1!L:L, MATCH(Hoja1!G672,Sheet1!M:M, 0))</f>
        <v>9.6</v>
      </c>
    </row>
    <row r="673" spans="1:11" ht="16" x14ac:dyDescent="0.25">
      <c r="A673" t="s">
        <v>578</v>
      </c>
      <c r="B673">
        <v>12</v>
      </c>
      <c r="C673">
        <v>2022</v>
      </c>
      <c r="D673" t="s">
        <v>590</v>
      </c>
      <c r="E673">
        <v>2.4</v>
      </c>
      <c r="F673">
        <v>1389338</v>
      </c>
      <c r="G673" s="1" t="str">
        <f t="shared" si="10"/>
        <v>Maine2022</v>
      </c>
      <c r="H673">
        <f>+INDEX(Sheet1!C:C, MATCH(Hoja1!G673, Sheet1!D:D, 0))</f>
        <v>86493.3</v>
      </c>
      <c r="I673">
        <f>+INDEX(Sheet1!G:G, MATCH(Hoja1!G673, Sheet1!I:I, 0))</f>
        <v>115929</v>
      </c>
      <c r="J673" s="2">
        <f>+INDEX(Sheet1!H:H, MATCH(Hoja1!G673, Sheet1!I:I, 0))</f>
        <v>2.6619909141627481E-2</v>
      </c>
      <c r="K673" s="2">
        <f>+INDEX(Sheet1!L:L, MATCH(Hoja1!G673,Sheet1!M:M, 0))</f>
        <v>9.6</v>
      </c>
    </row>
    <row r="674" spans="1:11" ht="16" x14ac:dyDescent="0.25">
      <c r="A674" t="s">
        <v>578</v>
      </c>
      <c r="B674">
        <v>1</v>
      </c>
      <c r="C674">
        <v>2023</v>
      </c>
      <c r="D674" t="s">
        <v>591</v>
      </c>
      <c r="E674">
        <v>3</v>
      </c>
      <c r="F674">
        <v>1395722</v>
      </c>
      <c r="G674" s="1" t="str">
        <f t="shared" si="10"/>
        <v>Maine2023</v>
      </c>
      <c r="H674">
        <f>+INDEX(Sheet1!C:C, MATCH(Hoja1!G674, Sheet1!D:D, 0))</f>
        <v>93270</v>
      </c>
      <c r="I674">
        <f>+INDEX(Sheet1!G:G, MATCH(Hoja1!G674, Sheet1!I:I, 0))</f>
        <v>119357</v>
      </c>
      <c r="J674" s="2">
        <f>+INDEX(Sheet1!H:H, MATCH(Hoja1!G674, Sheet1!I:I, 0))</f>
        <v>2.956982290884938E-2</v>
      </c>
      <c r="K674" s="2">
        <f>+INDEX(Sheet1!L:L, MATCH(Hoja1!G674,Sheet1!M:M, 0))</f>
        <v>7.4</v>
      </c>
    </row>
    <row r="675" spans="1:11" ht="16" x14ac:dyDescent="0.25">
      <c r="A675" t="s">
        <v>578</v>
      </c>
      <c r="B675">
        <v>2</v>
      </c>
      <c r="C675">
        <v>2023</v>
      </c>
      <c r="D675" t="s">
        <v>112</v>
      </c>
      <c r="E675">
        <v>3.2</v>
      </c>
      <c r="F675">
        <v>1395722</v>
      </c>
      <c r="G675" s="1" t="str">
        <f t="shared" si="10"/>
        <v>Maine2023</v>
      </c>
      <c r="H675">
        <f>+INDEX(Sheet1!C:C, MATCH(Hoja1!G675, Sheet1!D:D, 0))</f>
        <v>93270</v>
      </c>
      <c r="I675">
        <f>+INDEX(Sheet1!G:G, MATCH(Hoja1!G675, Sheet1!I:I, 0))</f>
        <v>119357</v>
      </c>
      <c r="J675" s="2">
        <f>+INDEX(Sheet1!H:H, MATCH(Hoja1!G675, Sheet1!I:I, 0))</f>
        <v>2.956982290884938E-2</v>
      </c>
      <c r="K675" s="2">
        <f>+INDEX(Sheet1!L:L, MATCH(Hoja1!G675,Sheet1!M:M, 0))</f>
        <v>7.4</v>
      </c>
    </row>
    <row r="676" spans="1:11" ht="16" x14ac:dyDescent="0.25">
      <c r="A676" t="s">
        <v>578</v>
      </c>
      <c r="B676">
        <v>3</v>
      </c>
      <c r="C676">
        <v>2023</v>
      </c>
      <c r="D676" t="s">
        <v>592</v>
      </c>
      <c r="E676">
        <v>3</v>
      </c>
      <c r="F676">
        <v>1395722</v>
      </c>
      <c r="G676" s="1" t="str">
        <f t="shared" si="10"/>
        <v>Maine2023</v>
      </c>
      <c r="H676">
        <f>+INDEX(Sheet1!C:C, MATCH(Hoja1!G676, Sheet1!D:D, 0))</f>
        <v>93270</v>
      </c>
      <c r="I676">
        <f>+INDEX(Sheet1!G:G, MATCH(Hoja1!G676, Sheet1!I:I, 0))</f>
        <v>119357</v>
      </c>
      <c r="J676" s="2">
        <f>+INDEX(Sheet1!H:H, MATCH(Hoja1!G676, Sheet1!I:I, 0))</f>
        <v>2.956982290884938E-2</v>
      </c>
      <c r="K676" s="2">
        <f>+INDEX(Sheet1!L:L, MATCH(Hoja1!G676,Sheet1!M:M, 0))</f>
        <v>7.4</v>
      </c>
    </row>
    <row r="677" spans="1:11" ht="16" x14ac:dyDescent="0.25">
      <c r="A677" t="s">
        <v>578</v>
      </c>
      <c r="B677">
        <v>4</v>
      </c>
      <c r="C677">
        <v>2023</v>
      </c>
      <c r="D677" t="s">
        <v>593</v>
      </c>
      <c r="E677">
        <v>2.5</v>
      </c>
      <c r="F677">
        <v>1395722</v>
      </c>
      <c r="G677" s="1" t="str">
        <f t="shared" si="10"/>
        <v>Maine2023</v>
      </c>
      <c r="H677">
        <f>+INDEX(Sheet1!C:C, MATCH(Hoja1!G677, Sheet1!D:D, 0))</f>
        <v>93270</v>
      </c>
      <c r="I677">
        <f>+INDEX(Sheet1!G:G, MATCH(Hoja1!G677, Sheet1!I:I, 0))</f>
        <v>119357</v>
      </c>
      <c r="J677" s="2">
        <f>+INDEX(Sheet1!H:H, MATCH(Hoja1!G677, Sheet1!I:I, 0))</f>
        <v>2.956982290884938E-2</v>
      </c>
      <c r="K677" s="2">
        <f>+INDEX(Sheet1!L:L, MATCH(Hoja1!G677,Sheet1!M:M, 0))</f>
        <v>7.4</v>
      </c>
    </row>
    <row r="678" spans="1:11" ht="16" x14ac:dyDescent="0.25">
      <c r="A678" t="s">
        <v>578</v>
      </c>
      <c r="B678">
        <v>5</v>
      </c>
      <c r="C678">
        <v>2023</v>
      </c>
      <c r="D678" t="s">
        <v>125</v>
      </c>
      <c r="E678">
        <v>2.6</v>
      </c>
      <c r="F678">
        <v>1395722</v>
      </c>
      <c r="G678" s="1" t="str">
        <f t="shared" si="10"/>
        <v>Maine2023</v>
      </c>
      <c r="H678">
        <f>+INDEX(Sheet1!C:C, MATCH(Hoja1!G678, Sheet1!D:D, 0))</f>
        <v>93270</v>
      </c>
      <c r="I678">
        <f>+INDEX(Sheet1!G:G, MATCH(Hoja1!G678, Sheet1!I:I, 0))</f>
        <v>119357</v>
      </c>
      <c r="J678" s="2">
        <f>+INDEX(Sheet1!H:H, MATCH(Hoja1!G678, Sheet1!I:I, 0))</f>
        <v>2.956982290884938E-2</v>
      </c>
      <c r="K678" s="2">
        <f>+INDEX(Sheet1!L:L, MATCH(Hoja1!G678,Sheet1!M:M, 0))</f>
        <v>7.4</v>
      </c>
    </row>
    <row r="679" spans="1:11" ht="16" x14ac:dyDescent="0.25">
      <c r="A679" t="s">
        <v>578</v>
      </c>
      <c r="B679">
        <v>6</v>
      </c>
      <c r="C679">
        <v>2023</v>
      </c>
      <c r="D679" t="s">
        <v>594</v>
      </c>
      <c r="E679">
        <v>2.5</v>
      </c>
      <c r="F679">
        <v>1395722</v>
      </c>
      <c r="G679" s="1" t="str">
        <f t="shared" si="10"/>
        <v>Maine2023</v>
      </c>
      <c r="H679">
        <f>+INDEX(Sheet1!C:C, MATCH(Hoja1!G679, Sheet1!D:D, 0))</f>
        <v>93270</v>
      </c>
      <c r="I679">
        <f>+INDEX(Sheet1!G:G, MATCH(Hoja1!G679, Sheet1!I:I, 0))</f>
        <v>119357</v>
      </c>
      <c r="J679" s="2">
        <f>+INDEX(Sheet1!H:H, MATCH(Hoja1!G679, Sheet1!I:I, 0))</f>
        <v>2.956982290884938E-2</v>
      </c>
      <c r="K679" s="2">
        <f>+INDEX(Sheet1!L:L, MATCH(Hoja1!G679,Sheet1!M:M, 0))</f>
        <v>7.4</v>
      </c>
    </row>
    <row r="680" spans="1:11" ht="16" x14ac:dyDescent="0.25">
      <c r="A680" t="s">
        <v>578</v>
      </c>
      <c r="B680">
        <v>7</v>
      </c>
      <c r="C680">
        <v>2023</v>
      </c>
      <c r="D680" t="s">
        <v>595</v>
      </c>
      <c r="E680">
        <v>2.6</v>
      </c>
      <c r="F680">
        <v>1395722</v>
      </c>
      <c r="G680" s="1" t="str">
        <f t="shared" si="10"/>
        <v>Maine2023</v>
      </c>
      <c r="H680">
        <f>+INDEX(Sheet1!C:C, MATCH(Hoja1!G680, Sheet1!D:D, 0))</f>
        <v>93270</v>
      </c>
      <c r="I680">
        <f>+INDEX(Sheet1!G:G, MATCH(Hoja1!G680, Sheet1!I:I, 0))</f>
        <v>119357</v>
      </c>
      <c r="J680" s="2">
        <f>+INDEX(Sheet1!H:H, MATCH(Hoja1!G680, Sheet1!I:I, 0))</f>
        <v>2.956982290884938E-2</v>
      </c>
      <c r="K680" s="2">
        <f>+INDEX(Sheet1!L:L, MATCH(Hoja1!G680,Sheet1!M:M, 0))</f>
        <v>7.4</v>
      </c>
    </row>
    <row r="681" spans="1:11" ht="16" x14ac:dyDescent="0.25">
      <c r="A681" t="s">
        <v>578</v>
      </c>
      <c r="B681">
        <v>8</v>
      </c>
      <c r="C681">
        <v>2023</v>
      </c>
      <c r="D681" t="s">
        <v>596</v>
      </c>
      <c r="E681">
        <v>2.5</v>
      </c>
      <c r="F681">
        <v>1395722</v>
      </c>
      <c r="G681" s="1" t="str">
        <f t="shared" si="10"/>
        <v>Maine2023</v>
      </c>
      <c r="H681">
        <f>+INDEX(Sheet1!C:C, MATCH(Hoja1!G681, Sheet1!D:D, 0))</f>
        <v>93270</v>
      </c>
      <c r="I681">
        <f>+INDEX(Sheet1!G:G, MATCH(Hoja1!G681, Sheet1!I:I, 0))</f>
        <v>119357</v>
      </c>
      <c r="J681" s="2">
        <f>+INDEX(Sheet1!H:H, MATCH(Hoja1!G681, Sheet1!I:I, 0))</f>
        <v>2.956982290884938E-2</v>
      </c>
      <c r="K681" s="2">
        <f>+INDEX(Sheet1!L:L, MATCH(Hoja1!G681,Sheet1!M:M, 0))</f>
        <v>7.4</v>
      </c>
    </row>
    <row r="682" spans="1:11" ht="16" x14ac:dyDescent="0.25">
      <c r="A682" t="s">
        <v>578</v>
      </c>
      <c r="B682">
        <v>9</v>
      </c>
      <c r="C682">
        <v>2023</v>
      </c>
      <c r="D682" t="s">
        <v>18</v>
      </c>
      <c r="E682">
        <v>2.7</v>
      </c>
      <c r="F682">
        <v>1395722</v>
      </c>
      <c r="G682" s="1" t="str">
        <f t="shared" si="10"/>
        <v>Maine2023</v>
      </c>
      <c r="H682">
        <f>+INDEX(Sheet1!C:C, MATCH(Hoja1!G682, Sheet1!D:D, 0))</f>
        <v>93270</v>
      </c>
      <c r="I682">
        <f>+INDEX(Sheet1!G:G, MATCH(Hoja1!G682, Sheet1!I:I, 0))</f>
        <v>119357</v>
      </c>
      <c r="J682" s="2">
        <f>+INDEX(Sheet1!H:H, MATCH(Hoja1!G682, Sheet1!I:I, 0))</f>
        <v>2.956982290884938E-2</v>
      </c>
      <c r="K682" s="2">
        <f>+INDEX(Sheet1!L:L, MATCH(Hoja1!G682,Sheet1!M:M, 0))</f>
        <v>7.4</v>
      </c>
    </row>
    <row r="683" spans="1:11" ht="16" x14ac:dyDescent="0.25">
      <c r="A683" t="s">
        <v>578</v>
      </c>
      <c r="B683">
        <v>10</v>
      </c>
      <c r="C683">
        <v>2023</v>
      </c>
      <c r="D683" t="s">
        <v>59</v>
      </c>
      <c r="E683">
        <v>2.9</v>
      </c>
      <c r="F683">
        <v>1395722</v>
      </c>
      <c r="G683" s="1" t="str">
        <f t="shared" si="10"/>
        <v>Maine2023</v>
      </c>
      <c r="H683">
        <f>+INDEX(Sheet1!C:C, MATCH(Hoja1!G683, Sheet1!D:D, 0))</f>
        <v>93270</v>
      </c>
      <c r="I683">
        <f>+INDEX(Sheet1!G:G, MATCH(Hoja1!G683, Sheet1!I:I, 0))</f>
        <v>119357</v>
      </c>
      <c r="J683" s="2">
        <f>+INDEX(Sheet1!H:H, MATCH(Hoja1!G683, Sheet1!I:I, 0))</f>
        <v>2.956982290884938E-2</v>
      </c>
      <c r="K683" s="2">
        <f>+INDEX(Sheet1!L:L, MATCH(Hoja1!G683,Sheet1!M:M, 0))</f>
        <v>7.4</v>
      </c>
    </row>
    <row r="684" spans="1:11" ht="16" x14ac:dyDescent="0.25">
      <c r="A684" t="s">
        <v>578</v>
      </c>
      <c r="B684">
        <v>11</v>
      </c>
      <c r="C684">
        <v>2023</v>
      </c>
      <c r="D684" t="s">
        <v>597</v>
      </c>
      <c r="E684">
        <v>3.4</v>
      </c>
      <c r="F684">
        <v>1395722</v>
      </c>
      <c r="G684" s="1" t="str">
        <f t="shared" si="10"/>
        <v>Maine2023</v>
      </c>
      <c r="H684">
        <f>+INDEX(Sheet1!C:C, MATCH(Hoja1!G684, Sheet1!D:D, 0))</f>
        <v>93270</v>
      </c>
      <c r="I684">
        <f>+INDEX(Sheet1!G:G, MATCH(Hoja1!G684, Sheet1!I:I, 0))</f>
        <v>119357</v>
      </c>
      <c r="J684" s="2">
        <f>+INDEX(Sheet1!H:H, MATCH(Hoja1!G684, Sheet1!I:I, 0))</f>
        <v>2.956982290884938E-2</v>
      </c>
      <c r="K684" s="2">
        <f>+INDEX(Sheet1!L:L, MATCH(Hoja1!G684,Sheet1!M:M, 0))</f>
        <v>7.4</v>
      </c>
    </row>
    <row r="685" spans="1:11" ht="16" x14ac:dyDescent="0.25">
      <c r="A685" t="s">
        <v>578</v>
      </c>
      <c r="B685">
        <v>12</v>
      </c>
      <c r="C685">
        <v>2023</v>
      </c>
      <c r="D685" t="s">
        <v>598</v>
      </c>
      <c r="E685">
        <v>3.5</v>
      </c>
      <c r="F685">
        <v>1395722</v>
      </c>
      <c r="G685" s="1" t="str">
        <f t="shared" si="10"/>
        <v>Maine2023</v>
      </c>
      <c r="H685">
        <f>+INDEX(Sheet1!C:C, MATCH(Hoja1!G685, Sheet1!D:D, 0))</f>
        <v>93270</v>
      </c>
      <c r="I685">
        <f>+INDEX(Sheet1!G:G, MATCH(Hoja1!G685, Sheet1!I:I, 0))</f>
        <v>119357</v>
      </c>
      <c r="J685" s="2">
        <f>+INDEX(Sheet1!H:H, MATCH(Hoja1!G685, Sheet1!I:I, 0))</f>
        <v>2.956982290884938E-2</v>
      </c>
      <c r="K685" s="2">
        <f>+INDEX(Sheet1!L:L, MATCH(Hoja1!G685,Sheet1!M:M, 0))</f>
        <v>7.4</v>
      </c>
    </row>
    <row r="686" spans="1:11" ht="16" x14ac:dyDescent="0.25">
      <c r="A686" t="s">
        <v>599</v>
      </c>
      <c r="B686">
        <v>1</v>
      </c>
      <c r="C686">
        <v>2021</v>
      </c>
      <c r="D686" t="s">
        <v>600</v>
      </c>
      <c r="E686">
        <v>6.3</v>
      </c>
      <c r="F686">
        <v>6175045</v>
      </c>
      <c r="G686" s="1" t="str">
        <f t="shared" si="10"/>
        <v>Maryland2021</v>
      </c>
      <c r="H686">
        <f>+INDEX(Sheet1!C:C, MATCH(Hoja1!G686, Sheet1!D:D, 0))</f>
        <v>447753.6</v>
      </c>
      <c r="I686">
        <f>+INDEX(Sheet1!G:G, MATCH(Hoja1!G686, Sheet1!I:I, 0))</f>
        <v>101811</v>
      </c>
      <c r="J686" s="2">
        <f>+INDEX(Sheet1!H:H, MATCH(Hoja1!G686, Sheet1!I:I, 0))</f>
        <v>4.6738292294247676E-2</v>
      </c>
      <c r="K686" s="2">
        <f>+INDEX(Sheet1!L:L, MATCH(Hoja1!G686,Sheet1!M:M, 0))</f>
        <v>7.7</v>
      </c>
    </row>
    <row r="687" spans="1:11" ht="16" x14ac:dyDescent="0.25">
      <c r="A687" t="s">
        <v>599</v>
      </c>
      <c r="B687">
        <v>2</v>
      </c>
      <c r="C687">
        <v>2021</v>
      </c>
      <c r="D687" t="s">
        <v>601</v>
      </c>
      <c r="E687">
        <v>6.2</v>
      </c>
      <c r="F687">
        <v>6175045</v>
      </c>
      <c r="G687" s="1" t="str">
        <f t="shared" si="10"/>
        <v>Maryland2021</v>
      </c>
      <c r="H687">
        <f>+INDEX(Sheet1!C:C, MATCH(Hoja1!G687, Sheet1!D:D, 0))</f>
        <v>447753.6</v>
      </c>
      <c r="I687">
        <f>+INDEX(Sheet1!G:G, MATCH(Hoja1!G687, Sheet1!I:I, 0))</f>
        <v>101811</v>
      </c>
      <c r="J687" s="2">
        <f>+INDEX(Sheet1!H:H, MATCH(Hoja1!G687, Sheet1!I:I, 0))</f>
        <v>4.6738292294247676E-2</v>
      </c>
      <c r="K687" s="2">
        <f>+INDEX(Sheet1!L:L, MATCH(Hoja1!G687,Sheet1!M:M, 0))</f>
        <v>7.7</v>
      </c>
    </row>
    <row r="688" spans="1:11" ht="16" x14ac:dyDescent="0.25">
      <c r="A688" t="s">
        <v>599</v>
      </c>
      <c r="B688">
        <v>3</v>
      </c>
      <c r="C688">
        <v>2021</v>
      </c>
      <c r="D688" t="s">
        <v>602</v>
      </c>
      <c r="E688">
        <v>6.1</v>
      </c>
      <c r="F688">
        <v>6175045</v>
      </c>
      <c r="G688" s="1" t="str">
        <f t="shared" si="10"/>
        <v>Maryland2021</v>
      </c>
      <c r="H688">
        <f>+INDEX(Sheet1!C:C, MATCH(Hoja1!G688, Sheet1!D:D, 0))</f>
        <v>447753.6</v>
      </c>
      <c r="I688">
        <f>+INDEX(Sheet1!G:G, MATCH(Hoja1!G688, Sheet1!I:I, 0))</f>
        <v>101811</v>
      </c>
      <c r="J688" s="2">
        <f>+INDEX(Sheet1!H:H, MATCH(Hoja1!G688, Sheet1!I:I, 0))</f>
        <v>4.6738292294247676E-2</v>
      </c>
      <c r="K688" s="2">
        <f>+INDEX(Sheet1!L:L, MATCH(Hoja1!G688,Sheet1!M:M, 0))</f>
        <v>7.7</v>
      </c>
    </row>
    <row r="689" spans="1:11" ht="16" x14ac:dyDescent="0.25">
      <c r="A689" t="s">
        <v>599</v>
      </c>
      <c r="B689">
        <v>4</v>
      </c>
      <c r="C689">
        <v>2021</v>
      </c>
      <c r="D689" t="s">
        <v>56</v>
      </c>
      <c r="E689">
        <v>5.9</v>
      </c>
      <c r="F689">
        <v>6175045</v>
      </c>
      <c r="G689" s="1" t="str">
        <f t="shared" si="10"/>
        <v>Maryland2021</v>
      </c>
      <c r="H689">
        <f>+INDEX(Sheet1!C:C, MATCH(Hoja1!G689, Sheet1!D:D, 0))</f>
        <v>447753.6</v>
      </c>
      <c r="I689">
        <f>+INDEX(Sheet1!G:G, MATCH(Hoja1!G689, Sheet1!I:I, 0))</f>
        <v>101811</v>
      </c>
      <c r="J689" s="2">
        <f>+INDEX(Sheet1!H:H, MATCH(Hoja1!G689, Sheet1!I:I, 0))</f>
        <v>4.6738292294247676E-2</v>
      </c>
      <c r="K689" s="2">
        <f>+INDEX(Sheet1!L:L, MATCH(Hoja1!G689,Sheet1!M:M, 0))</f>
        <v>7.7</v>
      </c>
    </row>
    <row r="690" spans="1:11" ht="16" x14ac:dyDescent="0.25">
      <c r="A690" t="s">
        <v>599</v>
      </c>
      <c r="B690">
        <v>5</v>
      </c>
      <c r="C690">
        <v>2021</v>
      </c>
      <c r="D690" t="s">
        <v>603</v>
      </c>
      <c r="E690">
        <v>5.7</v>
      </c>
      <c r="F690">
        <v>6175045</v>
      </c>
      <c r="G690" s="1" t="str">
        <f t="shared" si="10"/>
        <v>Maryland2021</v>
      </c>
      <c r="H690">
        <f>+INDEX(Sheet1!C:C, MATCH(Hoja1!G690, Sheet1!D:D, 0))</f>
        <v>447753.6</v>
      </c>
      <c r="I690">
        <f>+INDEX(Sheet1!G:G, MATCH(Hoja1!G690, Sheet1!I:I, 0))</f>
        <v>101811</v>
      </c>
      <c r="J690" s="2">
        <f>+INDEX(Sheet1!H:H, MATCH(Hoja1!G690, Sheet1!I:I, 0))</f>
        <v>4.6738292294247676E-2</v>
      </c>
      <c r="K690" s="2">
        <f>+INDEX(Sheet1!L:L, MATCH(Hoja1!G690,Sheet1!M:M, 0))</f>
        <v>7.7</v>
      </c>
    </row>
    <row r="691" spans="1:11" ht="16" x14ac:dyDescent="0.25">
      <c r="A691" t="s">
        <v>599</v>
      </c>
      <c r="B691">
        <v>6</v>
      </c>
      <c r="C691">
        <v>2021</v>
      </c>
      <c r="D691" t="s">
        <v>158</v>
      </c>
      <c r="E691">
        <v>5.7</v>
      </c>
      <c r="F691">
        <v>6175045</v>
      </c>
      <c r="G691" s="1" t="str">
        <f t="shared" si="10"/>
        <v>Maryland2021</v>
      </c>
      <c r="H691">
        <f>+INDEX(Sheet1!C:C, MATCH(Hoja1!G691, Sheet1!D:D, 0))</f>
        <v>447753.6</v>
      </c>
      <c r="I691">
        <f>+INDEX(Sheet1!G:G, MATCH(Hoja1!G691, Sheet1!I:I, 0))</f>
        <v>101811</v>
      </c>
      <c r="J691" s="2">
        <f>+INDEX(Sheet1!H:H, MATCH(Hoja1!G691, Sheet1!I:I, 0))</f>
        <v>4.6738292294247676E-2</v>
      </c>
      <c r="K691" s="2">
        <f>+INDEX(Sheet1!L:L, MATCH(Hoja1!G691,Sheet1!M:M, 0))</f>
        <v>7.7</v>
      </c>
    </row>
    <row r="692" spans="1:11" ht="16" x14ac:dyDescent="0.25">
      <c r="A692" t="s">
        <v>599</v>
      </c>
      <c r="B692">
        <v>7</v>
      </c>
      <c r="C692">
        <v>2021</v>
      </c>
      <c r="D692" t="s">
        <v>604</v>
      </c>
      <c r="E692">
        <v>5.3</v>
      </c>
      <c r="F692">
        <v>6175045</v>
      </c>
      <c r="G692" s="1" t="str">
        <f t="shared" si="10"/>
        <v>Maryland2021</v>
      </c>
      <c r="H692">
        <f>+INDEX(Sheet1!C:C, MATCH(Hoja1!G692, Sheet1!D:D, 0))</f>
        <v>447753.6</v>
      </c>
      <c r="I692">
        <f>+INDEX(Sheet1!G:G, MATCH(Hoja1!G692, Sheet1!I:I, 0))</f>
        <v>101811</v>
      </c>
      <c r="J692" s="2">
        <f>+INDEX(Sheet1!H:H, MATCH(Hoja1!G692, Sheet1!I:I, 0))</f>
        <v>4.6738292294247676E-2</v>
      </c>
      <c r="K692" s="2">
        <f>+INDEX(Sheet1!L:L, MATCH(Hoja1!G692,Sheet1!M:M, 0))</f>
        <v>7.7</v>
      </c>
    </row>
    <row r="693" spans="1:11" ht="16" x14ac:dyDescent="0.25">
      <c r="A693" t="s">
        <v>599</v>
      </c>
      <c r="B693">
        <v>8</v>
      </c>
      <c r="C693">
        <v>2021</v>
      </c>
      <c r="D693" t="s">
        <v>63</v>
      </c>
      <c r="E693">
        <v>5.0999999999999996</v>
      </c>
      <c r="F693">
        <v>6175045</v>
      </c>
      <c r="G693" s="1" t="str">
        <f t="shared" si="10"/>
        <v>Maryland2021</v>
      </c>
      <c r="H693">
        <f>+INDEX(Sheet1!C:C, MATCH(Hoja1!G693, Sheet1!D:D, 0))</f>
        <v>447753.6</v>
      </c>
      <c r="I693">
        <f>+INDEX(Sheet1!G:G, MATCH(Hoja1!G693, Sheet1!I:I, 0))</f>
        <v>101811</v>
      </c>
      <c r="J693" s="2">
        <f>+INDEX(Sheet1!H:H, MATCH(Hoja1!G693, Sheet1!I:I, 0))</f>
        <v>4.6738292294247676E-2</v>
      </c>
      <c r="K693" s="2">
        <f>+INDEX(Sheet1!L:L, MATCH(Hoja1!G693,Sheet1!M:M, 0))</f>
        <v>7.7</v>
      </c>
    </row>
    <row r="694" spans="1:11" ht="16" x14ac:dyDescent="0.25">
      <c r="A694" t="s">
        <v>599</v>
      </c>
      <c r="B694">
        <v>9</v>
      </c>
      <c r="C694">
        <v>2021</v>
      </c>
      <c r="D694" t="s">
        <v>605</v>
      </c>
      <c r="E694">
        <v>4.5999999999999996</v>
      </c>
      <c r="F694">
        <v>6175045</v>
      </c>
      <c r="G694" s="1" t="str">
        <f t="shared" si="10"/>
        <v>Maryland2021</v>
      </c>
      <c r="H694">
        <f>+INDEX(Sheet1!C:C, MATCH(Hoja1!G694, Sheet1!D:D, 0))</f>
        <v>447753.6</v>
      </c>
      <c r="I694">
        <f>+INDEX(Sheet1!G:G, MATCH(Hoja1!G694, Sheet1!I:I, 0))</f>
        <v>101811</v>
      </c>
      <c r="J694" s="2">
        <f>+INDEX(Sheet1!H:H, MATCH(Hoja1!G694, Sheet1!I:I, 0))</f>
        <v>4.6738292294247676E-2</v>
      </c>
      <c r="K694" s="2">
        <f>+INDEX(Sheet1!L:L, MATCH(Hoja1!G694,Sheet1!M:M, 0))</f>
        <v>7.7</v>
      </c>
    </row>
    <row r="695" spans="1:11" ht="16" x14ac:dyDescent="0.25">
      <c r="A695" t="s">
        <v>599</v>
      </c>
      <c r="B695">
        <v>10</v>
      </c>
      <c r="C695">
        <v>2021</v>
      </c>
      <c r="D695" t="s">
        <v>606</v>
      </c>
      <c r="E695">
        <v>4.3</v>
      </c>
      <c r="F695">
        <v>6175045</v>
      </c>
      <c r="G695" s="1" t="str">
        <f t="shared" si="10"/>
        <v>Maryland2021</v>
      </c>
      <c r="H695">
        <f>+INDEX(Sheet1!C:C, MATCH(Hoja1!G695, Sheet1!D:D, 0))</f>
        <v>447753.6</v>
      </c>
      <c r="I695">
        <f>+INDEX(Sheet1!G:G, MATCH(Hoja1!G695, Sheet1!I:I, 0))</f>
        <v>101811</v>
      </c>
      <c r="J695" s="2">
        <f>+INDEX(Sheet1!H:H, MATCH(Hoja1!G695, Sheet1!I:I, 0))</f>
        <v>4.6738292294247676E-2</v>
      </c>
      <c r="K695" s="2">
        <f>+INDEX(Sheet1!L:L, MATCH(Hoja1!G695,Sheet1!M:M, 0))</f>
        <v>7.7</v>
      </c>
    </row>
    <row r="696" spans="1:11" ht="16" x14ac:dyDescent="0.25">
      <c r="A696" t="s">
        <v>599</v>
      </c>
      <c r="B696">
        <v>11</v>
      </c>
      <c r="C696">
        <v>2021</v>
      </c>
      <c r="D696" t="s">
        <v>607</v>
      </c>
      <c r="E696">
        <v>3.9</v>
      </c>
      <c r="F696">
        <v>6175045</v>
      </c>
      <c r="G696" s="1" t="str">
        <f t="shared" si="10"/>
        <v>Maryland2021</v>
      </c>
      <c r="H696">
        <f>+INDEX(Sheet1!C:C, MATCH(Hoja1!G696, Sheet1!D:D, 0))</f>
        <v>447753.6</v>
      </c>
      <c r="I696">
        <f>+INDEX(Sheet1!G:G, MATCH(Hoja1!G696, Sheet1!I:I, 0))</f>
        <v>101811</v>
      </c>
      <c r="J696" s="2">
        <f>+INDEX(Sheet1!H:H, MATCH(Hoja1!G696, Sheet1!I:I, 0))</f>
        <v>4.6738292294247676E-2</v>
      </c>
      <c r="K696" s="2">
        <f>+INDEX(Sheet1!L:L, MATCH(Hoja1!G696,Sheet1!M:M, 0))</f>
        <v>7.7</v>
      </c>
    </row>
    <row r="697" spans="1:11" ht="16" x14ac:dyDescent="0.25">
      <c r="A697" t="s">
        <v>599</v>
      </c>
      <c r="B697">
        <v>12</v>
      </c>
      <c r="C697">
        <v>2021</v>
      </c>
      <c r="D697" t="s">
        <v>608</v>
      </c>
      <c r="E697">
        <v>3.6</v>
      </c>
      <c r="F697">
        <v>6175045</v>
      </c>
      <c r="G697" s="1" t="str">
        <f t="shared" si="10"/>
        <v>Maryland2021</v>
      </c>
      <c r="H697">
        <f>+INDEX(Sheet1!C:C, MATCH(Hoja1!G697, Sheet1!D:D, 0))</f>
        <v>447753.6</v>
      </c>
      <c r="I697">
        <f>+INDEX(Sheet1!G:G, MATCH(Hoja1!G697, Sheet1!I:I, 0))</f>
        <v>101811</v>
      </c>
      <c r="J697" s="2">
        <f>+INDEX(Sheet1!H:H, MATCH(Hoja1!G697, Sheet1!I:I, 0))</f>
        <v>4.6738292294247676E-2</v>
      </c>
      <c r="K697" s="2">
        <f>+INDEX(Sheet1!L:L, MATCH(Hoja1!G697,Sheet1!M:M, 0))</f>
        <v>7.7</v>
      </c>
    </row>
    <row r="698" spans="1:11" ht="16" x14ac:dyDescent="0.25">
      <c r="A698" t="s">
        <v>599</v>
      </c>
      <c r="B698">
        <v>1</v>
      </c>
      <c r="C698">
        <v>2022</v>
      </c>
      <c r="D698" t="s">
        <v>609</v>
      </c>
      <c r="E698">
        <v>3.5</v>
      </c>
      <c r="F698">
        <v>6163981</v>
      </c>
      <c r="G698" s="1" t="str">
        <f t="shared" si="10"/>
        <v>Maryland2022</v>
      </c>
      <c r="H698">
        <f>+INDEX(Sheet1!C:C, MATCH(Hoja1!G698, Sheet1!D:D, 0))</f>
        <v>484907.6</v>
      </c>
      <c r="I698">
        <f>+INDEX(Sheet1!G:G, MATCH(Hoja1!G698, Sheet1!I:I, 0))</f>
        <v>104176</v>
      </c>
      <c r="J698" s="2">
        <f>+INDEX(Sheet1!H:H, MATCH(Hoja1!G698, Sheet1!I:I, 0))</f>
        <v>2.3229317067900324E-2</v>
      </c>
      <c r="K698" s="2">
        <f>+INDEX(Sheet1!L:L, MATCH(Hoja1!G698,Sheet1!M:M, 0))</f>
        <v>8.6</v>
      </c>
    </row>
    <row r="699" spans="1:11" ht="16" x14ac:dyDescent="0.25">
      <c r="A699" t="s">
        <v>599</v>
      </c>
      <c r="B699">
        <v>2</v>
      </c>
      <c r="C699">
        <v>2022</v>
      </c>
      <c r="D699" t="s">
        <v>345</v>
      </c>
      <c r="E699">
        <v>3.3</v>
      </c>
      <c r="F699">
        <v>6163981</v>
      </c>
      <c r="G699" s="1" t="str">
        <f t="shared" si="10"/>
        <v>Maryland2022</v>
      </c>
      <c r="H699">
        <f>+INDEX(Sheet1!C:C, MATCH(Hoja1!G699, Sheet1!D:D, 0))</f>
        <v>484907.6</v>
      </c>
      <c r="I699">
        <f>+INDEX(Sheet1!G:G, MATCH(Hoja1!G699, Sheet1!I:I, 0))</f>
        <v>104176</v>
      </c>
      <c r="J699" s="2">
        <f>+INDEX(Sheet1!H:H, MATCH(Hoja1!G699, Sheet1!I:I, 0))</f>
        <v>2.3229317067900324E-2</v>
      </c>
      <c r="K699" s="2">
        <f>+INDEX(Sheet1!L:L, MATCH(Hoja1!G699,Sheet1!M:M, 0))</f>
        <v>8.6</v>
      </c>
    </row>
    <row r="700" spans="1:11" ht="16" x14ac:dyDescent="0.25">
      <c r="A700" t="s">
        <v>599</v>
      </c>
      <c r="B700">
        <v>3</v>
      </c>
      <c r="C700">
        <v>2022</v>
      </c>
      <c r="D700" t="s">
        <v>424</v>
      </c>
      <c r="E700">
        <v>3.1</v>
      </c>
      <c r="F700">
        <v>6163981</v>
      </c>
      <c r="G700" s="1" t="str">
        <f t="shared" si="10"/>
        <v>Maryland2022</v>
      </c>
      <c r="H700">
        <f>+INDEX(Sheet1!C:C, MATCH(Hoja1!G700, Sheet1!D:D, 0))</f>
        <v>484907.6</v>
      </c>
      <c r="I700">
        <f>+INDEX(Sheet1!G:G, MATCH(Hoja1!G700, Sheet1!I:I, 0))</f>
        <v>104176</v>
      </c>
      <c r="J700" s="2">
        <f>+INDEX(Sheet1!H:H, MATCH(Hoja1!G700, Sheet1!I:I, 0))</f>
        <v>2.3229317067900324E-2</v>
      </c>
      <c r="K700" s="2">
        <f>+INDEX(Sheet1!L:L, MATCH(Hoja1!G700,Sheet1!M:M, 0))</f>
        <v>8.6</v>
      </c>
    </row>
    <row r="701" spans="1:11" ht="16" x14ac:dyDescent="0.25">
      <c r="A701" t="s">
        <v>599</v>
      </c>
      <c r="B701">
        <v>4</v>
      </c>
      <c r="C701">
        <v>2022</v>
      </c>
      <c r="D701" t="s">
        <v>610</v>
      </c>
      <c r="E701">
        <v>3</v>
      </c>
      <c r="F701">
        <v>6163981</v>
      </c>
      <c r="G701" s="1" t="str">
        <f t="shared" si="10"/>
        <v>Maryland2022</v>
      </c>
      <c r="H701">
        <f>+INDEX(Sheet1!C:C, MATCH(Hoja1!G701, Sheet1!D:D, 0))</f>
        <v>484907.6</v>
      </c>
      <c r="I701">
        <f>+INDEX(Sheet1!G:G, MATCH(Hoja1!G701, Sheet1!I:I, 0))</f>
        <v>104176</v>
      </c>
      <c r="J701" s="2">
        <f>+INDEX(Sheet1!H:H, MATCH(Hoja1!G701, Sheet1!I:I, 0))</f>
        <v>2.3229317067900324E-2</v>
      </c>
      <c r="K701" s="2">
        <f>+INDEX(Sheet1!L:L, MATCH(Hoja1!G701,Sheet1!M:M, 0))</f>
        <v>8.6</v>
      </c>
    </row>
    <row r="702" spans="1:11" ht="16" x14ac:dyDescent="0.25">
      <c r="A702" t="s">
        <v>599</v>
      </c>
      <c r="B702">
        <v>5</v>
      </c>
      <c r="C702">
        <v>2022</v>
      </c>
      <c r="D702" t="s">
        <v>611</v>
      </c>
      <c r="E702">
        <v>3</v>
      </c>
      <c r="F702">
        <v>6163981</v>
      </c>
      <c r="G702" s="1" t="str">
        <f t="shared" si="10"/>
        <v>Maryland2022</v>
      </c>
      <c r="H702">
        <f>+INDEX(Sheet1!C:C, MATCH(Hoja1!G702, Sheet1!D:D, 0))</f>
        <v>484907.6</v>
      </c>
      <c r="I702">
        <f>+INDEX(Sheet1!G:G, MATCH(Hoja1!G702, Sheet1!I:I, 0))</f>
        <v>104176</v>
      </c>
      <c r="J702" s="2">
        <f>+INDEX(Sheet1!H:H, MATCH(Hoja1!G702, Sheet1!I:I, 0))</f>
        <v>2.3229317067900324E-2</v>
      </c>
      <c r="K702" s="2">
        <f>+INDEX(Sheet1!L:L, MATCH(Hoja1!G702,Sheet1!M:M, 0))</f>
        <v>8.6</v>
      </c>
    </row>
    <row r="703" spans="1:11" ht="16" x14ac:dyDescent="0.25">
      <c r="A703" t="s">
        <v>599</v>
      </c>
      <c r="B703">
        <v>6</v>
      </c>
      <c r="C703">
        <v>2022</v>
      </c>
      <c r="D703" t="s">
        <v>612</v>
      </c>
      <c r="E703">
        <v>3</v>
      </c>
      <c r="F703">
        <v>6163981</v>
      </c>
      <c r="G703" s="1" t="str">
        <f t="shared" si="10"/>
        <v>Maryland2022</v>
      </c>
      <c r="H703">
        <f>+INDEX(Sheet1!C:C, MATCH(Hoja1!G703, Sheet1!D:D, 0))</f>
        <v>484907.6</v>
      </c>
      <c r="I703">
        <f>+INDEX(Sheet1!G:G, MATCH(Hoja1!G703, Sheet1!I:I, 0))</f>
        <v>104176</v>
      </c>
      <c r="J703" s="2">
        <f>+INDEX(Sheet1!H:H, MATCH(Hoja1!G703, Sheet1!I:I, 0))</f>
        <v>2.3229317067900324E-2</v>
      </c>
      <c r="K703" s="2">
        <f>+INDEX(Sheet1!L:L, MATCH(Hoja1!G703,Sheet1!M:M, 0))</f>
        <v>8.6</v>
      </c>
    </row>
    <row r="704" spans="1:11" ht="16" x14ac:dyDescent="0.25">
      <c r="A704" t="s">
        <v>599</v>
      </c>
      <c r="B704">
        <v>7</v>
      </c>
      <c r="C704">
        <v>2022</v>
      </c>
      <c r="D704" t="s">
        <v>613</v>
      </c>
      <c r="E704">
        <v>3</v>
      </c>
      <c r="F704">
        <v>6163981</v>
      </c>
      <c r="G704" s="1" t="str">
        <f t="shared" si="10"/>
        <v>Maryland2022</v>
      </c>
      <c r="H704">
        <f>+INDEX(Sheet1!C:C, MATCH(Hoja1!G704, Sheet1!D:D, 0))</f>
        <v>484907.6</v>
      </c>
      <c r="I704">
        <f>+INDEX(Sheet1!G:G, MATCH(Hoja1!G704, Sheet1!I:I, 0))</f>
        <v>104176</v>
      </c>
      <c r="J704" s="2">
        <f>+INDEX(Sheet1!H:H, MATCH(Hoja1!G704, Sheet1!I:I, 0))</f>
        <v>2.3229317067900324E-2</v>
      </c>
      <c r="K704" s="2">
        <f>+INDEX(Sheet1!L:L, MATCH(Hoja1!G704,Sheet1!M:M, 0))</f>
        <v>8.6</v>
      </c>
    </row>
    <row r="705" spans="1:11" ht="16" x14ac:dyDescent="0.25">
      <c r="A705" t="s">
        <v>599</v>
      </c>
      <c r="B705">
        <v>8</v>
      </c>
      <c r="C705">
        <v>2022</v>
      </c>
      <c r="D705" t="s">
        <v>245</v>
      </c>
      <c r="E705">
        <v>3</v>
      </c>
      <c r="F705">
        <v>6163981</v>
      </c>
      <c r="G705" s="1" t="str">
        <f t="shared" si="10"/>
        <v>Maryland2022</v>
      </c>
      <c r="H705">
        <f>+INDEX(Sheet1!C:C, MATCH(Hoja1!G705, Sheet1!D:D, 0))</f>
        <v>484907.6</v>
      </c>
      <c r="I705">
        <f>+INDEX(Sheet1!G:G, MATCH(Hoja1!G705, Sheet1!I:I, 0))</f>
        <v>104176</v>
      </c>
      <c r="J705" s="2">
        <f>+INDEX(Sheet1!H:H, MATCH(Hoja1!G705, Sheet1!I:I, 0))</f>
        <v>2.3229317067900324E-2</v>
      </c>
      <c r="K705" s="2">
        <f>+INDEX(Sheet1!L:L, MATCH(Hoja1!G705,Sheet1!M:M, 0))</f>
        <v>8.6</v>
      </c>
    </row>
    <row r="706" spans="1:11" ht="16" x14ac:dyDescent="0.25">
      <c r="A706" t="s">
        <v>599</v>
      </c>
      <c r="B706">
        <v>9</v>
      </c>
      <c r="C706">
        <v>2022</v>
      </c>
      <c r="D706" t="s">
        <v>513</v>
      </c>
      <c r="E706">
        <v>2.9</v>
      </c>
      <c r="F706">
        <v>6163981</v>
      </c>
      <c r="G706" s="1" t="str">
        <f t="shared" si="10"/>
        <v>Maryland2022</v>
      </c>
      <c r="H706">
        <f>+INDEX(Sheet1!C:C, MATCH(Hoja1!G706, Sheet1!D:D, 0))</f>
        <v>484907.6</v>
      </c>
      <c r="I706">
        <f>+INDEX(Sheet1!G:G, MATCH(Hoja1!G706, Sheet1!I:I, 0))</f>
        <v>104176</v>
      </c>
      <c r="J706" s="2">
        <f>+INDEX(Sheet1!H:H, MATCH(Hoja1!G706, Sheet1!I:I, 0))</f>
        <v>2.3229317067900324E-2</v>
      </c>
      <c r="K706" s="2">
        <f>+INDEX(Sheet1!L:L, MATCH(Hoja1!G706,Sheet1!M:M, 0))</f>
        <v>8.6</v>
      </c>
    </row>
    <row r="707" spans="1:11" ht="16" x14ac:dyDescent="0.25">
      <c r="A707" t="s">
        <v>599</v>
      </c>
      <c r="B707">
        <v>10</v>
      </c>
      <c r="C707">
        <v>2022</v>
      </c>
      <c r="D707" t="s">
        <v>614</v>
      </c>
      <c r="E707">
        <v>2.8</v>
      </c>
      <c r="F707">
        <v>6163981</v>
      </c>
      <c r="G707" s="1" t="str">
        <f t="shared" ref="G707:G770" si="11">+A707&amp;C707</f>
        <v>Maryland2022</v>
      </c>
      <c r="H707">
        <f>+INDEX(Sheet1!C:C, MATCH(Hoja1!G707, Sheet1!D:D, 0))</f>
        <v>484907.6</v>
      </c>
      <c r="I707">
        <f>+INDEX(Sheet1!G:G, MATCH(Hoja1!G707, Sheet1!I:I, 0))</f>
        <v>104176</v>
      </c>
      <c r="J707" s="2">
        <f>+INDEX(Sheet1!H:H, MATCH(Hoja1!G707, Sheet1!I:I, 0))</f>
        <v>2.3229317067900324E-2</v>
      </c>
      <c r="K707" s="2">
        <f>+INDEX(Sheet1!L:L, MATCH(Hoja1!G707,Sheet1!M:M, 0))</f>
        <v>8.6</v>
      </c>
    </row>
    <row r="708" spans="1:11" ht="16" x14ac:dyDescent="0.25">
      <c r="A708" t="s">
        <v>599</v>
      </c>
      <c r="B708">
        <v>11</v>
      </c>
      <c r="C708">
        <v>2022</v>
      </c>
      <c r="D708" t="s">
        <v>615</v>
      </c>
      <c r="E708">
        <v>2.7</v>
      </c>
      <c r="F708">
        <v>6163981</v>
      </c>
      <c r="G708" s="1" t="str">
        <f t="shared" si="11"/>
        <v>Maryland2022</v>
      </c>
      <c r="H708">
        <f>+INDEX(Sheet1!C:C, MATCH(Hoja1!G708, Sheet1!D:D, 0))</f>
        <v>484907.6</v>
      </c>
      <c r="I708">
        <f>+INDEX(Sheet1!G:G, MATCH(Hoja1!G708, Sheet1!I:I, 0))</f>
        <v>104176</v>
      </c>
      <c r="J708" s="2">
        <f>+INDEX(Sheet1!H:H, MATCH(Hoja1!G708, Sheet1!I:I, 0))</f>
        <v>2.3229317067900324E-2</v>
      </c>
      <c r="K708" s="2">
        <f>+INDEX(Sheet1!L:L, MATCH(Hoja1!G708,Sheet1!M:M, 0))</f>
        <v>8.6</v>
      </c>
    </row>
    <row r="709" spans="1:11" ht="16" x14ac:dyDescent="0.25">
      <c r="A709" t="s">
        <v>599</v>
      </c>
      <c r="B709">
        <v>12</v>
      </c>
      <c r="C709">
        <v>2022</v>
      </c>
      <c r="D709" t="s">
        <v>616</v>
      </c>
      <c r="E709">
        <v>2.5</v>
      </c>
      <c r="F709">
        <v>6163981</v>
      </c>
      <c r="G709" s="1" t="str">
        <f t="shared" si="11"/>
        <v>Maryland2022</v>
      </c>
      <c r="H709">
        <f>+INDEX(Sheet1!C:C, MATCH(Hoja1!G709, Sheet1!D:D, 0))</f>
        <v>484907.6</v>
      </c>
      <c r="I709">
        <f>+INDEX(Sheet1!G:G, MATCH(Hoja1!G709, Sheet1!I:I, 0))</f>
        <v>104176</v>
      </c>
      <c r="J709" s="2">
        <f>+INDEX(Sheet1!H:H, MATCH(Hoja1!G709, Sheet1!I:I, 0))</f>
        <v>2.3229317067900324E-2</v>
      </c>
      <c r="K709" s="2">
        <f>+INDEX(Sheet1!L:L, MATCH(Hoja1!G709,Sheet1!M:M, 0))</f>
        <v>8.6</v>
      </c>
    </row>
    <row r="710" spans="1:11" ht="16" x14ac:dyDescent="0.25">
      <c r="A710" t="s">
        <v>599</v>
      </c>
      <c r="B710">
        <v>1</v>
      </c>
      <c r="C710">
        <v>2023</v>
      </c>
      <c r="D710" t="s">
        <v>617</v>
      </c>
      <c r="E710">
        <v>2.4</v>
      </c>
      <c r="F710">
        <v>6180253</v>
      </c>
      <c r="G710" s="1" t="str">
        <f t="shared" si="11"/>
        <v>Maryland2023</v>
      </c>
      <c r="H710">
        <f>+INDEX(Sheet1!C:C, MATCH(Hoja1!G710, Sheet1!D:D, 0))</f>
        <v>515607.3</v>
      </c>
      <c r="I710">
        <f>+INDEX(Sheet1!G:G, MATCH(Hoja1!G710, Sheet1!I:I, 0))</f>
        <v>105792</v>
      </c>
      <c r="J710" s="2">
        <f>+INDEX(Sheet1!H:H, MATCH(Hoja1!G710, Sheet1!I:I, 0))</f>
        <v>1.5512210105974505E-2</v>
      </c>
      <c r="K710" s="2">
        <f>+INDEX(Sheet1!L:L, MATCH(Hoja1!G710,Sheet1!M:M, 0))</f>
        <v>8.9</v>
      </c>
    </row>
    <row r="711" spans="1:11" ht="16" x14ac:dyDescent="0.25">
      <c r="A711" t="s">
        <v>599</v>
      </c>
      <c r="B711">
        <v>2</v>
      </c>
      <c r="C711">
        <v>2023</v>
      </c>
      <c r="D711" t="s">
        <v>618</v>
      </c>
      <c r="E711">
        <v>2.2000000000000002</v>
      </c>
      <c r="F711">
        <v>6180253</v>
      </c>
      <c r="G711" s="1" t="str">
        <f t="shared" si="11"/>
        <v>Maryland2023</v>
      </c>
      <c r="H711">
        <f>+INDEX(Sheet1!C:C, MATCH(Hoja1!G711, Sheet1!D:D, 0))</f>
        <v>515607.3</v>
      </c>
      <c r="I711">
        <f>+INDEX(Sheet1!G:G, MATCH(Hoja1!G711, Sheet1!I:I, 0))</f>
        <v>105792</v>
      </c>
      <c r="J711" s="2">
        <f>+INDEX(Sheet1!H:H, MATCH(Hoja1!G711, Sheet1!I:I, 0))</f>
        <v>1.5512210105974505E-2</v>
      </c>
      <c r="K711" s="2">
        <f>+INDEX(Sheet1!L:L, MATCH(Hoja1!G711,Sheet1!M:M, 0))</f>
        <v>8.9</v>
      </c>
    </row>
    <row r="712" spans="1:11" ht="16" x14ac:dyDescent="0.25">
      <c r="A712" t="s">
        <v>599</v>
      </c>
      <c r="B712">
        <v>3</v>
      </c>
      <c r="C712">
        <v>2023</v>
      </c>
      <c r="D712" t="s">
        <v>208</v>
      </c>
      <c r="E712">
        <v>2</v>
      </c>
      <c r="F712">
        <v>6180253</v>
      </c>
      <c r="G712" s="1" t="str">
        <f t="shared" si="11"/>
        <v>Maryland2023</v>
      </c>
      <c r="H712">
        <f>+INDEX(Sheet1!C:C, MATCH(Hoja1!G712, Sheet1!D:D, 0))</f>
        <v>515607.3</v>
      </c>
      <c r="I712">
        <f>+INDEX(Sheet1!G:G, MATCH(Hoja1!G712, Sheet1!I:I, 0))</f>
        <v>105792</v>
      </c>
      <c r="J712" s="2">
        <f>+INDEX(Sheet1!H:H, MATCH(Hoja1!G712, Sheet1!I:I, 0))</f>
        <v>1.5512210105974505E-2</v>
      </c>
      <c r="K712" s="2">
        <f>+INDEX(Sheet1!L:L, MATCH(Hoja1!G712,Sheet1!M:M, 0))</f>
        <v>8.9</v>
      </c>
    </row>
    <row r="713" spans="1:11" ht="16" x14ac:dyDescent="0.25">
      <c r="A713" t="s">
        <v>599</v>
      </c>
      <c r="B713">
        <v>4</v>
      </c>
      <c r="C713">
        <v>2023</v>
      </c>
      <c r="D713" t="s">
        <v>619</v>
      </c>
      <c r="E713">
        <v>1.9</v>
      </c>
      <c r="F713">
        <v>6180253</v>
      </c>
      <c r="G713" s="1" t="str">
        <f t="shared" si="11"/>
        <v>Maryland2023</v>
      </c>
      <c r="H713">
        <f>+INDEX(Sheet1!C:C, MATCH(Hoja1!G713, Sheet1!D:D, 0))</f>
        <v>515607.3</v>
      </c>
      <c r="I713">
        <f>+INDEX(Sheet1!G:G, MATCH(Hoja1!G713, Sheet1!I:I, 0))</f>
        <v>105792</v>
      </c>
      <c r="J713" s="2">
        <f>+INDEX(Sheet1!H:H, MATCH(Hoja1!G713, Sheet1!I:I, 0))</f>
        <v>1.5512210105974505E-2</v>
      </c>
      <c r="K713" s="2">
        <f>+INDEX(Sheet1!L:L, MATCH(Hoja1!G713,Sheet1!M:M, 0))</f>
        <v>8.9</v>
      </c>
    </row>
    <row r="714" spans="1:11" ht="16" x14ac:dyDescent="0.25">
      <c r="A714" t="s">
        <v>599</v>
      </c>
      <c r="B714">
        <v>5</v>
      </c>
      <c r="C714">
        <v>2023</v>
      </c>
      <c r="D714" t="s">
        <v>620</v>
      </c>
      <c r="E714">
        <v>1.9</v>
      </c>
      <c r="F714">
        <v>6180253</v>
      </c>
      <c r="G714" s="1" t="str">
        <f t="shared" si="11"/>
        <v>Maryland2023</v>
      </c>
      <c r="H714">
        <f>+INDEX(Sheet1!C:C, MATCH(Hoja1!G714, Sheet1!D:D, 0))</f>
        <v>515607.3</v>
      </c>
      <c r="I714">
        <f>+INDEX(Sheet1!G:G, MATCH(Hoja1!G714, Sheet1!I:I, 0))</f>
        <v>105792</v>
      </c>
      <c r="J714" s="2">
        <f>+INDEX(Sheet1!H:H, MATCH(Hoja1!G714, Sheet1!I:I, 0))</f>
        <v>1.5512210105974505E-2</v>
      </c>
      <c r="K714" s="2">
        <f>+INDEX(Sheet1!L:L, MATCH(Hoja1!G714,Sheet1!M:M, 0))</f>
        <v>8.9</v>
      </c>
    </row>
    <row r="715" spans="1:11" ht="16" x14ac:dyDescent="0.25">
      <c r="A715" t="s">
        <v>599</v>
      </c>
      <c r="B715">
        <v>6</v>
      </c>
      <c r="C715">
        <v>2023</v>
      </c>
      <c r="D715" t="s">
        <v>621</v>
      </c>
      <c r="E715">
        <v>1.9</v>
      </c>
      <c r="F715">
        <v>6180253</v>
      </c>
      <c r="G715" s="1" t="str">
        <f t="shared" si="11"/>
        <v>Maryland2023</v>
      </c>
      <c r="H715">
        <f>+INDEX(Sheet1!C:C, MATCH(Hoja1!G715, Sheet1!D:D, 0))</f>
        <v>515607.3</v>
      </c>
      <c r="I715">
        <f>+INDEX(Sheet1!G:G, MATCH(Hoja1!G715, Sheet1!I:I, 0))</f>
        <v>105792</v>
      </c>
      <c r="J715" s="2">
        <f>+INDEX(Sheet1!H:H, MATCH(Hoja1!G715, Sheet1!I:I, 0))</f>
        <v>1.5512210105974505E-2</v>
      </c>
      <c r="K715" s="2">
        <f>+INDEX(Sheet1!L:L, MATCH(Hoja1!G715,Sheet1!M:M, 0))</f>
        <v>8.9</v>
      </c>
    </row>
    <row r="716" spans="1:11" ht="16" x14ac:dyDescent="0.25">
      <c r="A716" t="s">
        <v>599</v>
      </c>
      <c r="B716">
        <v>7</v>
      </c>
      <c r="C716">
        <v>2023</v>
      </c>
      <c r="D716" t="s">
        <v>622</v>
      </c>
      <c r="E716">
        <v>1.9</v>
      </c>
      <c r="F716">
        <v>6180253</v>
      </c>
      <c r="G716" s="1" t="str">
        <f t="shared" si="11"/>
        <v>Maryland2023</v>
      </c>
      <c r="H716">
        <f>+INDEX(Sheet1!C:C, MATCH(Hoja1!G716, Sheet1!D:D, 0))</f>
        <v>515607.3</v>
      </c>
      <c r="I716">
        <f>+INDEX(Sheet1!G:G, MATCH(Hoja1!G716, Sheet1!I:I, 0))</f>
        <v>105792</v>
      </c>
      <c r="J716" s="2">
        <f>+INDEX(Sheet1!H:H, MATCH(Hoja1!G716, Sheet1!I:I, 0))</f>
        <v>1.5512210105974505E-2</v>
      </c>
      <c r="K716" s="2">
        <f>+INDEX(Sheet1!L:L, MATCH(Hoja1!G716,Sheet1!M:M, 0))</f>
        <v>8.9</v>
      </c>
    </row>
    <row r="717" spans="1:11" ht="16" x14ac:dyDescent="0.25">
      <c r="A717" t="s">
        <v>599</v>
      </c>
      <c r="B717">
        <v>8</v>
      </c>
      <c r="C717">
        <v>2023</v>
      </c>
      <c r="D717" t="s">
        <v>623</v>
      </c>
      <c r="E717">
        <v>2.1</v>
      </c>
      <c r="F717">
        <v>6180253</v>
      </c>
      <c r="G717" s="1" t="str">
        <f t="shared" si="11"/>
        <v>Maryland2023</v>
      </c>
      <c r="H717">
        <f>+INDEX(Sheet1!C:C, MATCH(Hoja1!G717, Sheet1!D:D, 0))</f>
        <v>515607.3</v>
      </c>
      <c r="I717">
        <f>+INDEX(Sheet1!G:G, MATCH(Hoja1!G717, Sheet1!I:I, 0))</f>
        <v>105792</v>
      </c>
      <c r="J717" s="2">
        <f>+INDEX(Sheet1!H:H, MATCH(Hoja1!G717, Sheet1!I:I, 0))</f>
        <v>1.5512210105974505E-2</v>
      </c>
      <c r="K717" s="2">
        <f>+INDEX(Sheet1!L:L, MATCH(Hoja1!G717,Sheet1!M:M, 0))</f>
        <v>8.9</v>
      </c>
    </row>
    <row r="718" spans="1:11" ht="16" x14ac:dyDescent="0.25">
      <c r="A718" t="s">
        <v>599</v>
      </c>
      <c r="B718">
        <v>9</v>
      </c>
      <c r="C718">
        <v>2023</v>
      </c>
      <c r="D718" t="s">
        <v>624</v>
      </c>
      <c r="E718">
        <v>2.2000000000000002</v>
      </c>
      <c r="F718">
        <v>6180253</v>
      </c>
      <c r="G718" s="1" t="str">
        <f t="shared" si="11"/>
        <v>Maryland2023</v>
      </c>
      <c r="H718">
        <f>+INDEX(Sheet1!C:C, MATCH(Hoja1!G718, Sheet1!D:D, 0))</f>
        <v>515607.3</v>
      </c>
      <c r="I718">
        <f>+INDEX(Sheet1!G:G, MATCH(Hoja1!G718, Sheet1!I:I, 0))</f>
        <v>105792</v>
      </c>
      <c r="J718" s="2">
        <f>+INDEX(Sheet1!H:H, MATCH(Hoja1!G718, Sheet1!I:I, 0))</f>
        <v>1.5512210105974505E-2</v>
      </c>
      <c r="K718" s="2">
        <f>+INDEX(Sheet1!L:L, MATCH(Hoja1!G718,Sheet1!M:M, 0))</f>
        <v>8.9</v>
      </c>
    </row>
    <row r="719" spans="1:11" ht="16" x14ac:dyDescent="0.25">
      <c r="A719" t="s">
        <v>599</v>
      </c>
      <c r="B719">
        <v>10</v>
      </c>
      <c r="C719">
        <v>2023</v>
      </c>
      <c r="D719" t="s">
        <v>625</v>
      </c>
      <c r="E719">
        <v>2.2999999999999998</v>
      </c>
      <c r="F719">
        <v>6180253</v>
      </c>
      <c r="G719" s="1" t="str">
        <f t="shared" si="11"/>
        <v>Maryland2023</v>
      </c>
      <c r="H719">
        <f>+INDEX(Sheet1!C:C, MATCH(Hoja1!G719, Sheet1!D:D, 0))</f>
        <v>515607.3</v>
      </c>
      <c r="I719">
        <f>+INDEX(Sheet1!G:G, MATCH(Hoja1!G719, Sheet1!I:I, 0))</f>
        <v>105792</v>
      </c>
      <c r="J719" s="2">
        <f>+INDEX(Sheet1!H:H, MATCH(Hoja1!G719, Sheet1!I:I, 0))</f>
        <v>1.5512210105974505E-2</v>
      </c>
      <c r="K719" s="2">
        <f>+INDEX(Sheet1!L:L, MATCH(Hoja1!G719,Sheet1!M:M, 0))</f>
        <v>8.9</v>
      </c>
    </row>
    <row r="720" spans="1:11" ht="16" x14ac:dyDescent="0.25">
      <c r="A720" t="s">
        <v>599</v>
      </c>
      <c r="B720">
        <v>11</v>
      </c>
      <c r="C720">
        <v>2023</v>
      </c>
      <c r="D720" t="s">
        <v>626</v>
      </c>
      <c r="E720">
        <v>2.2000000000000002</v>
      </c>
      <c r="F720">
        <v>6180253</v>
      </c>
      <c r="G720" s="1" t="str">
        <f t="shared" si="11"/>
        <v>Maryland2023</v>
      </c>
      <c r="H720">
        <f>+INDEX(Sheet1!C:C, MATCH(Hoja1!G720, Sheet1!D:D, 0))</f>
        <v>515607.3</v>
      </c>
      <c r="I720">
        <f>+INDEX(Sheet1!G:G, MATCH(Hoja1!G720, Sheet1!I:I, 0))</f>
        <v>105792</v>
      </c>
      <c r="J720" s="2">
        <f>+INDEX(Sheet1!H:H, MATCH(Hoja1!G720, Sheet1!I:I, 0))</f>
        <v>1.5512210105974505E-2</v>
      </c>
      <c r="K720" s="2">
        <f>+INDEX(Sheet1!L:L, MATCH(Hoja1!G720,Sheet1!M:M, 0))</f>
        <v>8.9</v>
      </c>
    </row>
    <row r="721" spans="1:11" ht="16" x14ac:dyDescent="0.25">
      <c r="A721" t="s">
        <v>599</v>
      </c>
      <c r="B721">
        <v>12</v>
      </c>
      <c r="C721">
        <v>2023</v>
      </c>
      <c r="D721" t="s">
        <v>627</v>
      </c>
      <c r="E721">
        <v>2.2000000000000002</v>
      </c>
      <c r="F721">
        <v>6180253</v>
      </c>
      <c r="G721" s="1" t="str">
        <f t="shared" si="11"/>
        <v>Maryland2023</v>
      </c>
      <c r="H721">
        <f>+INDEX(Sheet1!C:C, MATCH(Hoja1!G721, Sheet1!D:D, 0))</f>
        <v>515607.3</v>
      </c>
      <c r="I721">
        <f>+INDEX(Sheet1!G:G, MATCH(Hoja1!G721, Sheet1!I:I, 0))</f>
        <v>105792</v>
      </c>
      <c r="J721" s="2">
        <f>+INDEX(Sheet1!H:H, MATCH(Hoja1!G721, Sheet1!I:I, 0))</f>
        <v>1.5512210105974505E-2</v>
      </c>
      <c r="K721" s="2">
        <f>+INDEX(Sheet1!L:L, MATCH(Hoja1!G721,Sheet1!M:M, 0))</f>
        <v>8.9</v>
      </c>
    </row>
    <row r="722" spans="1:11" ht="16" x14ac:dyDescent="0.25">
      <c r="A722" t="s">
        <v>628</v>
      </c>
      <c r="B722">
        <v>1</v>
      </c>
      <c r="C722">
        <v>2021</v>
      </c>
      <c r="D722" t="s">
        <v>629</v>
      </c>
      <c r="E722">
        <v>6.9</v>
      </c>
      <c r="F722">
        <v>6991951</v>
      </c>
      <c r="G722" s="1" t="str">
        <f t="shared" si="11"/>
        <v>Massachusetts2021</v>
      </c>
      <c r="H722">
        <f>+INDEX(Sheet1!C:C, MATCH(Hoja1!G722, Sheet1!D:D, 0))</f>
        <v>649511.4</v>
      </c>
      <c r="I722">
        <f>+INDEX(Sheet1!G:G, MATCH(Hoja1!G722, Sheet1!I:I, 0))</f>
        <v>112409</v>
      </c>
      <c r="J722" s="2">
        <f>+INDEX(Sheet1!H:H, MATCH(Hoja1!G722, Sheet1!I:I, 0))</f>
        <v>6.4579979164693629E-2</v>
      </c>
      <c r="K722" s="2">
        <f>+INDEX(Sheet1!L:L, MATCH(Hoja1!G722,Sheet1!M:M, 0))</f>
        <v>7.6</v>
      </c>
    </row>
    <row r="723" spans="1:11" ht="16" x14ac:dyDescent="0.25">
      <c r="A723" t="s">
        <v>628</v>
      </c>
      <c r="B723">
        <v>2</v>
      </c>
      <c r="C723">
        <v>2021</v>
      </c>
      <c r="D723" t="s">
        <v>630</v>
      </c>
      <c r="E723">
        <v>6.5</v>
      </c>
      <c r="F723">
        <v>6991951</v>
      </c>
      <c r="G723" s="1" t="str">
        <f t="shared" si="11"/>
        <v>Massachusetts2021</v>
      </c>
      <c r="H723">
        <f>+INDEX(Sheet1!C:C, MATCH(Hoja1!G723, Sheet1!D:D, 0))</f>
        <v>649511.4</v>
      </c>
      <c r="I723">
        <f>+INDEX(Sheet1!G:G, MATCH(Hoja1!G723, Sheet1!I:I, 0))</f>
        <v>112409</v>
      </c>
      <c r="J723" s="2">
        <f>+INDEX(Sheet1!H:H, MATCH(Hoja1!G723, Sheet1!I:I, 0))</f>
        <v>6.4579979164693629E-2</v>
      </c>
      <c r="K723" s="2">
        <f>+INDEX(Sheet1!L:L, MATCH(Hoja1!G723,Sheet1!M:M, 0))</f>
        <v>7.6</v>
      </c>
    </row>
    <row r="724" spans="1:11" ht="16" x14ac:dyDescent="0.25">
      <c r="A724" t="s">
        <v>628</v>
      </c>
      <c r="B724">
        <v>3</v>
      </c>
      <c r="C724">
        <v>2021</v>
      </c>
      <c r="D724" t="s">
        <v>631</v>
      </c>
      <c r="E724">
        <v>6.2</v>
      </c>
      <c r="F724">
        <v>6991951</v>
      </c>
      <c r="G724" s="1" t="str">
        <f t="shared" si="11"/>
        <v>Massachusetts2021</v>
      </c>
      <c r="H724">
        <f>+INDEX(Sheet1!C:C, MATCH(Hoja1!G724, Sheet1!D:D, 0))</f>
        <v>649511.4</v>
      </c>
      <c r="I724">
        <f>+INDEX(Sheet1!G:G, MATCH(Hoja1!G724, Sheet1!I:I, 0))</f>
        <v>112409</v>
      </c>
      <c r="J724" s="2">
        <f>+INDEX(Sheet1!H:H, MATCH(Hoja1!G724, Sheet1!I:I, 0))</f>
        <v>6.4579979164693629E-2</v>
      </c>
      <c r="K724" s="2">
        <f>+INDEX(Sheet1!L:L, MATCH(Hoja1!G724,Sheet1!M:M, 0))</f>
        <v>7.6</v>
      </c>
    </row>
    <row r="725" spans="1:11" ht="16" x14ac:dyDescent="0.25">
      <c r="A725" t="s">
        <v>628</v>
      </c>
      <c r="B725">
        <v>4</v>
      </c>
      <c r="C725">
        <v>2021</v>
      </c>
      <c r="D725" t="s">
        <v>632</v>
      </c>
      <c r="E725">
        <v>6.1</v>
      </c>
      <c r="F725">
        <v>6991951</v>
      </c>
      <c r="G725" s="1" t="str">
        <f t="shared" si="11"/>
        <v>Massachusetts2021</v>
      </c>
      <c r="H725">
        <f>+INDEX(Sheet1!C:C, MATCH(Hoja1!G725, Sheet1!D:D, 0))</f>
        <v>649511.4</v>
      </c>
      <c r="I725">
        <f>+INDEX(Sheet1!G:G, MATCH(Hoja1!G725, Sheet1!I:I, 0))</f>
        <v>112409</v>
      </c>
      <c r="J725" s="2">
        <f>+INDEX(Sheet1!H:H, MATCH(Hoja1!G725, Sheet1!I:I, 0))</f>
        <v>6.4579979164693629E-2</v>
      </c>
      <c r="K725" s="2">
        <f>+INDEX(Sheet1!L:L, MATCH(Hoja1!G725,Sheet1!M:M, 0))</f>
        <v>7.6</v>
      </c>
    </row>
    <row r="726" spans="1:11" ht="16" x14ac:dyDescent="0.25">
      <c r="A726" t="s">
        <v>628</v>
      </c>
      <c r="B726">
        <v>5</v>
      </c>
      <c r="C726">
        <v>2021</v>
      </c>
      <c r="D726" t="s">
        <v>633</v>
      </c>
      <c r="E726">
        <v>5.7</v>
      </c>
      <c r="F726">
        <v>6991951</v>
      </c>
      <c r="G726" s="1" t="str">
        <f t="shared" si="11"/>
        <v>Massachusetts2021</v>
      </c>
      <c r="H726">
        <f>+INDEX(Sheet1!C:C, MATCH(Hoja1!G726, Sheet1!D:D, 0))</f>
        <v>649511.4</v>
      </c>
      <c r="I726">
        <f>+INDEX(Sheet1!G:G, MATCH(Hoja1!G726, Sheet1!I:I, 0))</f>
        <v>112409</v>
      </c>
      <c r="J726" s="2">
        <f>+INDEX(Sheet1!H:H, MATCH(Hoja1!G726, Sheet1!I:I, 0))</f>
        <v>6.4579979164693629E-2</v>
      </c>
      <c r="K726" s="2">
        <f>+INDEX(Sheet1!L:L, MATCH(Hoja1!G726,Sheet1!M:M, 0))</f>
        <v>7.6</v>
      </c>
    </row>
    <row r="727" spans="1:11" ht="16" x14ac:dyDescent="0.25">
      <c r="A727" t="s">
        <v>628</v>
      </c>
      <c r="B727">
        <v>6</v>
      </c>
      <c r="C727">
        <v>2021</v>
      </c>
      <c r="D727" t="s">
        <v>634</v>
      </c>
      <c r="E727">
        <v>5.7</v>
      </c>
      <c r="F727">
        <v>6991951</v>
      </c>
      <c r="G727" s="1" t="str">
        <f t="shared" si="11"/>
        <v>Massachusetts2021</v>
      </c>
      <c r="H727">
        <f>+INDEX(Sheet1!C:C, MATCH(Hoja1!G727, Sheet1!D:D, 0))</f>
        <v>649511.4</v>
      </c>
      <c r="I727">
        <f>+INDEX(Sheet1!G:G, MATCH(Hoja1!G727, Sheet1!I:I, 0))</f>
        <v>112409</v>
      </c>
      <c r="J727" s="2">
        <f>+INDEX(Sheet1!H:H, MATCH(Hoja1!G727, Sheet1!I:I, 0))</f>
        <v>6.4579979164693629E-2</v>
      </c>
      <c r="K727" s="2">
        <f>+INDEX(Sheet1!L:L, MATCH(Hoja1!G727,Sheet1!M:M, 0))</f>
        <v>7.6</v>
      </c>
    </row>
    <row r="728" spans="1:11" ht="16" x14ac:dyDescent="0.25">
      <c r="A728" t="s">
        <v>628</v>
      </c>
      <c r="B728">
        <v>7</v>
      </c>
      <c r="C728">
        <v>2021</v>
      </c>
      <c r="D728" t="s">
        <v>10</v>
      </c>
      <c r="E728">
        <v>5.3</v>
      </c>
      <c r="F728">
        <v>6991951</v>
      </c>
      <c r="G728" s="1" t="str">
        <f t="shared" si="11"/>
        <v>Massachusetts2021</v>
      </c>
      <c r="H728">
        <f>+INDEX(Sheet1!C:C, MATCH(Hoja1!G728, Sheet1!D:D, 0))</f>
        <v>649511.4</v>
      </c>
      <c r="I728">
        <f>+INDEX(Sheet1!G:G, MATCH(Hoja1!G728, Sheet1!I:I, 0))</f>
        <v>112409</v>
      </c>
      <c r="J728" s="2">
        <f>+INDEX(Sheet1!H:H, MATCH(Hoja1!G728, Sheet1!I:I, 0))</f>
        <v>6.4579979164693629E-2</v>
      </c>
      <c r="K728" s="2">
        <f>+INDEX(Sheet1!L:L, MATCH(Hoja1!G728,Sheet1!M:M, 0))</f>
        <v>7.6</v>
      </c>
    </row>
    <row r="729" spans="1:11" ht="16" x14ac:dyDescent="0.25">
      <c r="A729" t="s">
        <v>628</v>
      </c>
      <c r="B729">
        <v>8</v>
      </c>
      <c r="C729">
        <v>2021</v>
      </c>
      <c r="D729" t="s">
        <v>7</v>
      </c>
      <c r="E729">
        <v>5.0999999999999996</v>
      </c>
      <c r="F729">
        <v>6991951</v>
      </c>
      <c r="G729" s="1" t="str">
        <f t="shared" si="11"/>
        <v>Massachusetts2021</v>
      </c>
      <c r="H729">
        <f>+INDEX(Sheet1!C:C, MATCH(Hoja1!G729, Sheet1!D:D, 0))</f>
        <v>649511.4</v>
      </c>
      <c r="I729">
        <f>+INDEX(Sheet1!G:G, MATCH(Hoja1!G729, Sheet1!I:I, 0))</f>
        <v>112409</v>
      </c>
      <c r="J729" s="2">
        <f>+INDEX(Sheet1!H:H, MATCH(Hoja1!G729, Sheet1!I:I, 0))</f>
        <v>6.4579979164693629E-2</v>
      </c>
      <c r="K729" s="2">
        <f>+INDEX(Sheet1!L:L, MATCH(Hoja1!G729,Sheet1!M:M, 0))</f>
        <v>7.6</v>
      </c>
    </row>
    <row r="730" spans="1:11" ht="16" x14ac:dyDescent="0.25">
      <c r="A730" t="s">
        <v>628</v>
      </c>
      <c r="B730">
        <v>9</v>
      </c>
      <c r="C730">
        <v>2021</v>
      </c>
      <c r="D730" t="s">
        <v>635</v>
      </c>
      <c r="E730">
        <v>4.7</v>
      </c>
      <c r="F730">
        <v>6991951</v>
      </c>
      <c r="G730" s="1" t="str">
        <f t="shared" si="11"/>
        <v>Massachusetts2021</v>
      </c>
      <c r="H730">
        <f>+INDEX(Sheet1!C:C, MATCH(Hoja1!G730, Sheet1!D:D, 0))</f>
        <v>649511.4</v>
      </c>
      <c r="I730">
        <f>+INDEX(Sheet1!G:G, MATCH(Hoja1!G730, Sheet1!I:I, 0))</f>
        <v>112409</v>
      </c>
      <c r="J730" s="2">
        <f>+INDEX(Sheet1!H:H, MATCH(Hoja1!G730, Sheet1!I:I, 0))</f>
        <v>6.4579979164693629E-2</v>
      </c>
      <c r="K730" s="2">
        <f>+INDEX(Sheet1!L:L, MATCH(Hoja1!G730,Sheet1!M:M, 0))</f>
        <v>7.6</v>
      </c>
    </row>
    <row r="731" spans="1:11" ht="16" x14ac:dyDescent="0.25">
      <c r="A731" t="s">
        <v>628</v>
      </c>
      <c r="B731">
        <v>10</v>
      </c>
      <c r="C731">
        <v>2021</v>
      </c>
      <c r="D731" t="s">
        <v>322</v>
      </c>
      <c r="E731">
        <v>4.5</v>
      </c>
      <c r="F731">
        <v>6991951</v>
      </c>
      <c r="G731" s="1" t="str">
        <f t="shared" si="11"/>
        <v>Massachusetts2021</v>
      </c>
      <c r="H731">
        <f>+INDEX(Sheet1!C:C, MATCH(Hoja1!G731, Sheet1!D:D, 0))</f>
        <v>649511.4</v>
      </c>
      <c r="I731">
        <f>+INDEX(Sheet1!G:G, MATCH(Hoja1!G731, Sheet1!I:I, 0))</f>
        <v>112409</v>
      </c>
      <c r="J731" s="2">
        <f>+INDEX(Sheet1!H:H, MATCH(Hoja1!G731, Sheet1!I:I, 0))</f>
        <v>6.4579979164693629E-2</v>
      </c>
      <c r="K731" s="2">
        <f>+INDEX(Sheet1!L:L, MATCH(Hoja1!G731,Sheet1!M:M, 0))</f>
        <v>7.6</v>
      </c>
    </row>
    <row r="732" spans="1:11" ht="16" x14ac:dyDescent="0.25">
      <c r="A732" t="s">
        <v>628</v>
      </c>
      <c r="B732">
        <v>11</v>
      </c>
      <c r="C732">
        <v>2021</v>
      </c>
      <c r="D732" t="s">
        <v>636</v>
      </c>
      <c r="E732">
        <v>4.2</v>
      </c>
      <c r="F732">
        <v>6991951</v>
      </c>
      <c r="G732" s="1" t="str">
        <f t="shared" si="11"/>
        <v>Massachusetts2021</v>
      </c>
      <c r="H732">
        <f>+INDEX(Sheet1!C:C, MATCH(Hoja1!G732, Sheet1!D:D, 0))</f>
        <v>649511.4</v>
      </c>
      <c r="I732">
        <f>+INDEX(Sheet1!G:G, MATCH(Hoja1!G732, Sheet1!I:I, 0))</f>
        <v>112409</v>
      </c>
      <c r="J732" s="2">
        <f>+INDEX(Sheet1!H:H, MATCH(Hoja1!G732, Sheet1!I:I, 0))</f>
        <v>6.4579979164693629E-2</v>
      </c>
      <c r="K732" s="2">
        <f>+INDEX(Sheet1!L:L, MATCH(Hoja1!G732,Sheet1!M:M, 0))</f>
        <v>7.6</v>
      </c>
    </row>
    <row r="733" spans="1:11" ht="16" x14ac:dyDescent="0.25">
      <c r="A733" t="s">
        <v>628</v>
      </c>
      <c r="B733">
        <v>12</v>
      </c>
      <c r="C733">
        <v>2021</v>
      </c>
      <c r="D733" t="s">
        <v>637</v>
      </c>
      <c r="E733">
        <v>3.9</v>
      </c>
      <c r="F733">
        <v>6991951</v>
      </c>
      <c r="G733" s="1" t="str">
        <f t="shared" si="11"/>
        <v>Massachusetts2021</v>
      </c>
      <c r="H733">
        <f>+INDEX(Sheet1!C:C, MATCH(Hoja1!G733, Sheet1!D:D, 0))</f>
        <v>649511.4</v>
      </c>
      <c r="I733">
        <f>+INDEX(Sheet1!G:G, MATCH(Hoja1!G733, Sheet1!I:I, 0))</f>
        <v>112409</v>
      </c>
      <c r="J733" s="2">
        <f>+INDEX(Sheet1!H:H, MATCH(Hoja1!G733, Sheet1!I:I, 0))</f>
        <v>6.4579979164693629E-2</v>
      </c>
      <c r="K733" s="2">
        <f>+INDEX(Sheet1!L:L, MATCH(Hoja1!G733,Sheet1!M:M, 0))</f>
        <v>7.6</v>
      </c>
    </row>
    <row r="734" spans="1:11" ht="16" x14ac:dyDescent="0.25">
      <c r="A734" t="s">
        <v>628</v>
      </c>
      <c r="B734">
        <v>1</v>
      </c>
      <c r="C734">
        <v>2022</v>
      </c>
      <c r="D734" t="s">
        <v>638</v>
      </c>
      <c r="E734">
        <v>3.9</v>
      </c>
      <c r="F734">
        <v>6982740</v>
      </c>
      <c r="G734" s="1" t="str">
        <f t="shared" si="11"/>
        <v>Massachusetts2022</v>
      </c>
      <c r="H734">
        <f>+INDEX(Sheet1!C:C, MATCH(Hoja1!G734, Sheet1!D:D, 0))</f>
        <v>695612.1</v>
      </c>
      <c r="I734">
        <f>+INDEX(Sheet1!G:G, MATCH(Hoja1!G734, Sheet1!I:I, 0))</f>
        <v>114699</v>
      </c>
      <c r="J734" s="2">
        <f>+INDEX(Sheet1!H:H, MATCH(Hoja1!G734, Sheet1!I:I, 0))</f>
        <v>2.0372034267718778E-2</v>
      </c>
      <c r="K734" s="2">
        <f>+INDEX(Sheet1!L:L, MATCH(Hoja1!G734,Sheet1!M:M, 0))</f>
        <v>9.6</v>
      </c>
    </row>
    <row r="735" spans="1:11" ht="16" x14ac:dyDescent="0.25">
      <c r="A735" t="s">
        <v>628</v>
      </c>
      <c r="B735">
        <v>2</v>
      </c>
      <c r="C735">
        <v>2022</v>
      </c>
      <c r="D735" t="s">
        <v>639</v>
      </c>
      <c r="E735">
        <v>3.8</v>
      </c>
      <c r="F735">
        <v>6982740</v>
      </c>
      <c r="G735" s="1" t="str">
        <f t="shared" si="11"/>
        <v>Massachusetts2022</v>
      </c>
      <c r="H735">
        <f>+INDEX(Sheet1!C:C, MATCH(Hoja1!G735, Sheet1!D:D, 0))</f>
        <v>695612.1</v>
      </c>
      <c r="I735">
        <f>+INDEX(Sheet1!G:G, MATCH(Hoja1!G735, Sheet1!I:I, 0))</f>
        <v>114699</v>
      </c>
      <c r="J735" s="2">
        <f>+INDEX(Sheet1!H:H, MATCH(Hoja1!G735, Sheet1!I:I, 0))</f>
        <v>2.0372034267718778E-2</v>
      </c>
      <c r="K735" s="2">
        <f>+INDEX(Sheet1!L:L, MATCH(Hoja1!G735,Sheet1!M:M, 0))</f>
        <v>9.6</v>
      </c>
    </row>
    <row r="736" spans="1:11" ht="16" x14ac:dyDescent="0.25">
      <c r="A736" t="s">
        <v>628</v>
      </c>
      <c r="B736">
        <v>3</v>
      </c>
      <c r="C736">
        <v>2022</v>
      </c>
      <c r="D736" t="s">
        <v>640</v>
      </c>
      <c r="E736">
        <v>3.6</v>
      </c>
      <c r="F736">
        <v>6982740</v>
      </c>
      <c r="G736" s="1" t="str">
        <f t="shared" si="11"/>
        <v>Massachusetts2022</v>
      </c>
      <c r="H736">
        <f>+INDEX(Sheet1!C:C, MATCH(Hoja1!G736, Sheet1!D:D, 0))</f>
        <v>695612.1</v>
      </c>
      <c r="I736">
        <f>+INDEX(Sheet1!G:G, MATCH(Hoja1!G736, Sheet1!I:I, 0))</f>
        <v>114699</v>
      </c>
      <c r="J736" s="2">
        <f>+INDEX(Sheet1!H:H, MATCH(Hoja1!G736, Sheet1!I:I, 0))</f>
        <v>2.0372034267718778E-2</v>
      </c>
      <c r="K736" s="2">
        <f>+INDEX(Sheet1!L:L, MATCH(Hoja1!G736,Sheet1!M:M, 0))</f>
        <v>9.6</v>
      </c>
    </row>
    <row r="737" spans="1:11" ht="16" x14ac:dyDescent="0.25">
      <c r="A737" t="s">
        <v>628</v>
      </c>
      <c r="B737">
        <v>4</v>
      </c>
      <c r="C737">
        <v>2022</v>
      </c>
      <c r="D737" t="s">
        <v>641</v>
      </c>
      <c r="E737">
        <v>3.6</v>
      </c>
      <c r="F737">
        <v>6982740</v>
      </c>
      <c r="G737" s="1" t="str">
        <f t="shared" si="11"/>
        <v>Massachusetts2022</v>
      </c>
      <c r="H737">
        <f>+INDEX(Sheet1!C:C, MATCH(Hoja1!G737, Sheet1!D:D, 0))</f>
        <v>695612.1</v>
      </c>
      <c r="I737">
        <f>+INDEX(Sheet1!G:G, MATCH(Hoja1!G737, Sheet1!I:I, 0))</f>
        <v>114699</v>
      </c>
      <c r="J737" s="2">
        <f>+INDEX(Sheet1!H:H, MATCH(Hoja1!G737, Sheet1!I:I, 0))</f>
        <v>2.0372034267718778E-2</v>
      </c>
      <c r="K737" s="2">
        <f>+INDEX(Sheet1!L:L, MATCH(Hoja1!G737,Sheet1!M:M, 0))</f>
        <v>9.6</v>
      </c>
    </row>
    <row r="738" spans="1:11" ht="16" x14ac:dyDescent="0.25">
      <c r="A738" t="s">
        <v>628</v>
      </c>
      <c r="B738">
        <v>5</v>
      </c>
      <c r="C738">
        <v>2022</v>
      </c>
      <c r="D738" t="s">
        <v>642</v>
      </c>
      <c r="E738">
        <v>3.7</v>
      </c>
      <c r="F738">
        <v>6982740</v>
      </c>
      <c r="G738" s="1" t="str">
        <f t="shared" si="11"/>
        <v>Massachusetts2022</v>
      </c>
      <c r="H738">
        <f>+INDEX(Sheet1!C:C, MATCH(Hoja1!G738, Sheet1!D:D, 0))</f>
        <v>695612.1</v>
      </c>
      <c r="I738">
        <f>+INDEX(Sheet1!G:G, MATCH(Hoja1!G738, Sheet1!I:I, 0))</f>
        <v>114699</v>
      </c>
      <c r="J738" s="2">
        <f>+INDEX(Sheet1!H:H, MATCH(Hoja1!G738, Sheet1!I:I, 0))</f>
        <v>2.0372034267718778E-2</v>
      </c>
      <c r="K738" s="2">
        <f>+INDEX(Sheet1!L:L, MATCH(Hoja1!G738,Sheet1!M:M, 0))</f>
        <v>9.6</v>
      </c>
    </row>
    <row r="739" spans="1:11" ht="16" x14ac:dyDescent="0.25">
      <c r="A739" t="s">
        <v>628</v>
      </c>
      <c r="B739">
        <v>6</v>
      </c>
      <c r="C739">
        <v>2022</v>
      </c>
      <c r="D739">
        <v>13</v>
      </c>
      <c r="E739">
        <v>3.6</v>
      </c>
      <c r="F739">
        <v>6982740</v>
      </c>
      <c r="G739" s="1" t="str">
        <f t="shared" si="11"/>
        <v>Massachusetts2022</v>
      </c>
      <c r="H739">
        <f>+INDEX(Sheet1!C:C, MATCH(Hoja1!G739, Sheet1!D:D, 0))</f>
        <v>695612.1</v>
      </c>
      <c r="I739">
        <f>+INDEX(Sheet1!G:G, MATCH(Hoja1!G739, Sheet1!I:I, 0))</f>
        <v>114699</v>
      </c>
      <c r="J739" s="2">
        <f>+INDEX(Sheet1!H:H, MATCH(Hoja1!G739, Sheet1!I:I, 0))</f>
        <v>2.0372034267718778E-2</v>
      </c>
      <c r="K739" s="2">
        <f>+INDEX(Sheet1!L:L, MATCH(Hoja1!G739,Sheet1!M:M, 0))</f>
        <v>9.6</v>
      </c>
    </row>
    <row r="740" spans="1:11" ht="16" x14ac:dyDescent="0.25">
      <c r="A740" t="s">
        <v>628</v>
      </c>
      <c r="B740">
        <v>7</v>
      </c>
      <c r="C740">
        <v>2022</v>
      </c>
      <c r="D740" t="s">
        <v>643</v>
      </c>
      <c r="E740">
        <v>3.6</v>
      </c>
      <c r="F740">
        <v>6982740</v>
      </c>
      <c r="G740" s="1" t="str">
        <f t="shared" si="11"/>
        <v>Massachusetts2022</v>
      </c>
      <c r="H740">
        <f>+INDEX(Sheet1!C:C, MATCH(Hoja1!G740, Sheet1!D:D, 0))</f>
        <v>695612.1</v>
      </c>
      <c r="I740">
        <f>+INDEX(Sheet1!G:G, MATCH(Hoja1!G740, Sheet1!I:I, 0))</f>
        <v>114699</v>
      </c>
      <c r="J740" s="2">
        <f>+INDEX(Sheet1!H:H, MATCH(Hoja1!G740, Sheet1!I:I, 0))</f>
        <v>2.0372034267718778E-2</v>
      </c>
      <c r="K740" s="2">
        <f>+INDEX(Sheet1!L:L, MATCH(Hoja1!G740,Sheet1!M:M, 0))</f>
        <v>9.6</v>
      </c>
    </row>
    <row r="741" spans="1:11" ht="16" x14ac:dyDescent="0.25">
      <c r="A741" t="s">
        <v>628</v>
      </c>
      <c r="B741">
        <v>8</v>
      </c>
      <c r="C741">
        <v>2022</v>
      </c>
      <c r="D741" t="s">
        <v>644</v>
      </c>
      <c r="E741">
        <v>3.7</v>
      </c>
      <c r="F741">
        <v>6982740</v>
      </c>
      <c r="G741" s="1" t="str">
        <f t="shared" si="11"/>
        <v>Massachusetts2022</v>
      </c>
      <c r="H741">
        <f>+INDEX(Sheet1!C:C, MATCH(Hoja1!G741, Sheet1!D:D, 0))</f>
        <v>695612.1</v>
      </c>
      <c r="I741">
        <f>+INDEX(Sheet1!G:G, MATCH(Hoja1!G741, Sheet1!I:I, 0))</f>
        <v>114699</v>
      </c>
      <c r="J741" s="2">
        <f>+INDEX(Sheet1!H:H, MATCH(Hoja1!G741, Sheet1!I:I, 0))</f>
        <v>2.0372034267718778E-2</v>
      </c>
      <c r="K741" s="2">
        <f>+INDEX(Sheet1!L:L, MATCH(Hoja1!G741,Sheet1!M:M, 0))</f>
        <v>9.6</v>
      </c>
    </row>
    <row r="742" spans="1:11" ht="16" x14ac:dyDescent="0.25">
      <c r="A742" t="s">
        <v>628</v>
      </c>
      <c r="B742">
        <v>9</v>
      </c>
      <c r="C742">
        <v>2022</v>
      </c>
      <c r="D742" t="s">
        <v>645</v>
      </c>
      <c r="E742">
        <v>3.6</v>
      </c>
      <c r="F742">
        <v>6982740</v>
      </c>
      <c r="G742" s="1" t="str">
        <f t="shared" si="11"/>
        <v>Massachusetts2022</v>
      </c>
      <c r="H742">
        <f>+INDEX(Sheet1!C:C, MATCH(Hoja1!G742, Sheet1!D:D, 0))</f>
        <v>695612.1</v>
      </c>
      <c r="I742">
        <f>+INDEX(Sheet1!G:G, MATCH(Hoja1!G742, Sheet1!I:I, 0))</f>
        <v>114699</v>
      </c>
      <c r="J742" s="2">
        <f>+INDEX(Sheet1!H:H, MATCH(Hoja1!G742, Sheet1!I:I, 0))</f>
        <v>2.0372034267718778E-2</v>
      </c>
      <c r="K742" s="2">
        <f>+INDEX(Sheet1!L:L, MATCH(Hoja1!G742,Sheet1!M:M, 0))</f>
        <v>9.6</v>
      </c>
    </row>
    <row r="743" spans="1:11" ht="16" x14ac:dyDescent="0.25">
      <c r="A743" t="s">
        <v>628</v>
      </c>
      <c r="B743">
        <v>10</v>
      </c>
      <c r="C743">
        <v>2022</v>
      </c>
      <c r="D743" t="s">
        <v>646</v>
      </c>
      <c r="E743">
        <v>3.7</v>
      </c>
      <c r="F743">
        <v>6982740</v>
      </c>
      <c r="G743" s="1" t="str">
        <f t="shared" si="11"/>
        <v>Massachusetts2022</v>
      </c>
      <c r="H743">
        <f>+INDEX(Sheet1!C:C, MATCH(Hoja1!G743, Sheet1!D:D, 0))</f>
        <v>695612.1</v>
      </c>
      <c r="I743">
        <f>+INDEX(Sheet1!G:G, MATCH(Hoja1!G743, Sheet1!I:I, 0))</f>
        <v>114699</v>
      </c>
      <c r="J743" s="2">
        <f>+INDEX(Sheet1!H:H, MATCH(Hoja1!G743, Sheet1!I:I, 0))</f>
        <v>2.0372034267718778E-2</v>
      </c>
      <c r="K743" s="2">
        <f>+INDEX(Sheet1!L:L, MATCH(Hoja1!G743,Sheet1!M:M, 0))</f>
        <v>9.6</v>
      </c>
    </row>
    <row r="744" spans="1:11" ht="16" x14ac:dyDescent="0.25">
      <c r="A744" t="s">
        <v>628</v>
      </c>
      <c r="B744">
        <v>11</v>
      </c>
      <c r="C744">
        <v>2022</v>
      </c>
      <c r="D744" t="s">
        <v>647</v>
      </c>
      <c r="E744">
        <v>3.6</v>
      </c>
      <c r="F744">
        <v>6982740</v>
      </c>
      <c r="G744" s="1" t="str">
        <f t="shared" si="11"/>
        <v>Massachusetts2022</v>
      </c>
      <c r="H744">
        <f>+INDEX(Sheet1!C:C, MATCH(Hoja1!G744, Sheet1!D:D, 0))</f>
        <v>695612.1</v>
      </c>
      <c r="I744">
        <f>+INDEX(Sheet1!G:G, MATCH(Hoja1!G744, Sheet1!I:I, 0))</f>
        <v>114699</v>
      </c>
      <c r="J744" s="2">
        <f>+INDEX(Sheet1!H:H, MATCH(Hoja1!G744, Sheet1!I:I, 0))</f>
        <v>2.0372034267718778E-2</v>
      </c>
      <c r="K744" s="2">
        <f>+INDEX(Sheet1!L:L, MATCH(Hoja1!G744,Sheet1!M:M, 0))</f>
        <v>9.6</v>
      </c>
    </row>
    <row r="745" spans="1:11" ht="16" x14ac:dyDescent="0.25">
      <c r="A745" t="s">
        <v>628</v>
      </c>
      <c r="B745">
        <v>12</v>
      </c>
      <c r="C745">
        <v>2022</v>
      </c>
      <c r="D745" t="s">
        <v>648</v>
      </c>
      <c r="E745">
        <v>3.5</v>
      </c>
      <c r="F745">
        <v>6982740</v>
      </c>
      <c r="G745" s="1" t="str">
        <f t="shared" si="11"/>
        <v>Massachusetts2022</v>
      </c>
      <c r="H745">
        <f>+INDEX(Sheet1!C:C, MATCH(Hoja1!G745, Sheet1!D:D, 0))</f>
        <v>695612.1</v>
      </c>
      <c r="I745">
        <f>+INDEX(Sheet1!G:G, MATCH(Hoja1!G745, Sheet1!I:I, 0))</f>
        <v>114699</v>
      </c>
      <c r="J745" s="2">
        <f>+INDEX(Sheet1!H:H, MATCH(Hoja1!G745, Sheet1!I:I, 0))</f>
        <v>2.0372034267718778E-2</v>
      </c>
      <c r="K745" s="2">
        <f>+INDEX(Sheet1!L:L, MATCH(Hoja1!G745,Sheet1!M:M, 0))</f>
        <v>9.6</v>
      </c>
    </row>
    <row r="746" spans="1:11" ht="16" x14ac:dyDescent="0.25">
      <c r="A746" t="s">
        <v>628</v>
      </c>
      <c r="B746">
        <v>1</v>
      </c>
      <c r="C746">
        <v>2023</v>
      </c>
      <c r="D746" t="s">
        <v>331</v>
      </c>
      <c r="E746">
        <v>3.5</v>
      </c>
      <c r="F746">
        <v>7001399</v>
      </c>
      <c r="G746" s="1" t="str">
        <f t="shared" si="11"/>
        <v>Massachusetts2023</v>
      </c>
      <c r="H746">
        <f>+INDEX(Sheet1!C:C, MATCH(Hoja1!G746, Sheet1!D:D, 0))</f>
        <v>736296.3</v>
      </c>
      <c r="I746">
        <f>+INDEX(Sheet1!G:G, MATCH(Hoja1!G746, Sheet1!I:I, 0))</f>
        <v>116105</v>
      </c>
      <c r="J746" s="2">
        <f>+INDEX(Sheet1!H:H, MATCH(Hoja1!G746, Sheet1!I:I, 0))</f>
        <v>1.2258171387719161E-2</v>
      </c>
      <c r="K746" s="2">
        <f>+INDEX(Sheet1!L:L, MATCH(Hoja1!G746,Sheet1!M:M, 0))</f>
        <v>9.1</v>
      </c>
    </row>
    <row r="747" spans="1:11" ht="16" x14ac:dyDescent="0.25">
      <c r="A747" t="s">
        <v>628</v>
      </c>
      <c r="B747">
        <v>2</v>
      </c>
      <c r="C747">
        <v>2023</v>
      </c>
      <c r="D747" t="s">
        <v>649</v>
      </c>
      <c r="E747">
        <v>3.6</v>
      </c>
      <c r="F747">
        <v>7001399</v>
      </c>
      <c r="G747" s="1" t="str">
        <f t="shared" si="11"/>
        <v>Massachusetts2023</v>
      </c>
      <c r="H747">
        <f>+INDEX(Sheet1!C:C, MATCH(Hoja1!G747, Sheet1!D:D, 0))</f>
        <v>736296.3</v>
      </c>
      <c r="I747">
        <f>+INDEX(Sheet1!G:G, MATCH(Hoja1!G747, Sheet1!I:I, 0))</f>
        <v>116105</v>
      </c>
      <c r="J747" s="2">
        <f>+INDEX(Sheet1!H:H, MATCH(Hoja1!G747, Sheet1!I:I, 0))</f>
        <v>1.2258171387719161E-2</v>
      </c>
      <c r="K747" s="2">
        <f>+INDEX(Sheet1!L:L, MATCH(Hoja1!G747,Sheet1!M:M, 0))</f>
        <v>9.1</v>
      </c>
    </row>
    <row r="748" spans="1:11" ht="16" x14ac:dyDescent="0.25">
      <c r="A748" t="s">
        <v>628</v>
      </c>
      <c r="B748">
        <v>3</v>
      </c>
      <c r="C748">
        <v>2023</v>
      </c>
      <c r="D748" t="s">
        <v>650</v>
      </c>
      <c r="E748">
        <v>3.5</v>
      </c>
      <c r="F748">
        <v>7001399</v>
      </c>
      <c r="G748" s="1" t="str">
        <f t="shared" si="11"/>
        <v>Massachusetts2023</v>
      </c>
      <c r="H748">
        <f>+INDEX(Sheet1!C:C, MATCH(Hoja1!G748, Sheet1!D:D, 0))</f>
        <v>736296.3</v>
      </c>
      <c r="I748">
        <f>+INDEX(Sheet1!G:G, MATCH(Hoja1!G748, Sheet1!I:I, 0))</f>
        <v>116105</v>
      </c>
      <c r="J748" s="2">
        <f>+INDEX(Sheet1!H:H, MATCH(Hoja1!G748, Sheet1!I:I, 0))</f>
        <v>1.2258171387719161E-2</v>
      </c>
      <c r="K748" s="2">
        <f>+INDEX(Sheet1!L:L, MATCH(Hoja1!G748,Sheet1!M:M, 0))</f>
        <v>9.1</v>
      </c>
    </row>
    <row r="749" spans="1:11" ht="16" x14ac:dyDescent="0.25">
      <c r="A749" t="s">
        <v>628</v>
      </c>
      <c r="B749">
        <v>4</v>
      </c>
      <c r="C749">
        <v>2023</v>
      </c>
      <c r="D749" t="s">
        <v>651</v>
      </c>
      <c r="E749">
        <v>3.2</v>
      </c>
      <c r="F749">
        <v>7001399</v>
      </c>
      <c r="G749" s="1" t="str">
        <f t="shared" si="11"/>
        <v>Massachusetts2023</v>
      </c>
      <c r="H749">
        <f>+INDEX(Sheet1!C:C, MATCH(Hoja1!G749, Sheet1!D:D, 0))</f>
        <v>736296.3</v>
      </c>
      <c r="I749">
        <f>+INDEX(Sheet1!G:G, MATCH(Hoja1!G749, Sheet1!I:I, 0))</f>
        <v>116105</v>
      </c>
      <c r="J749" s="2">
        <f>+INDEX(Sheet1!H:H, MATCH(Hoja1!G749, Sheet1!I:I, 0))</f>
        <v>1.2258171387719161E-2</v>
      </c>
      <c r="K749" s="2">
        <f>+INDEX(Sheet1!L:L, MATCH(Hoja1!G749,Sheet1!M:M, 0))</f>
        <v>9.1</v>
      </c>
    </row>
    <row r="750" spans="1:11" ht="16" x14ac:dyDescent="0.25">
      <c r="A750" t="s">
        <v>628</v>
      </c>
      <c r="B750">
        <v>5</v>
      </c>
      <c r="C750">
        <v>2023</v>
      </c>
      <c r="D750" t="s">
        <v>652</v>
      </c>
      <c r="E750">
        <v>3.3</v>
      </c>
      <c r="F750">
        <v>7001399</v>
      </c>
      <c r="G750" s="1" t="str">
        <f t="shared" si="11"/>
        <v>Massachusetts2023</v>
      </c>
      <c r="H750">
        <f>+INDEX(Sheet1!C:C, MATCH(Hoja1!G750, Sheet1!D:D, 0))</f>
        <v>736296.3</v>
      </c>
      <c r="I750">
        <f>+INDEX(Sheet1!G:G, MATCH(Hoja1!G750, Sheet1!I:I, 0))</f>
        <v>116105</v>
      </c>
      <c r="J750" s="2">
        <f>+INDEX(Sheet1!H:H, MATCH(Hoja1!G750, Sheet1!I:I, 0))</f>
        <v>1.2258171387719161E-2</v>
      </c>
      <c r="K750" s="2">
        <f>+INDEX(Sheet1!L:L, MATCH(Hoja1!G750,Sheet1!M:M, 0))</f>
        <v>9.1</v>
      </c>
    </row>
    <row r="751" spans="1:11" ht="16" x14ac:dyDescent="0.25">
      <c r="A751" t="s">
        <v>628</v>
      </c>
      <c r="B751">
        <v>6</v>
      </c>
      <c r="C751">
        <v>2023</v>
      </c>
      <c r="D751" t="s">
        <v>653</v>
      </c>
      <c r="E751">
        <v>3.3</v>
      </c>
      <c r="F751">
        <v>7001399</v>
      </c>
      <c r="G751" s="1" t="str">
        <f t="shared" si="11"/>
        <v>Massachusetts2023</v>
      </c>
      <c r="H751">
        <f>+INDEX(Sheet1!C:C, MATCH(Hoja1!G751, Sheet1!D:D, 0))</f>
        <v>736296.3</v>
      </c>
      <c r="I751">
        <f>+INDEX(Sheet1!G:G, MATCH(Hoja1!G751, Sheet1!I:I, 0))</f>
        <v>116105</v>
      </c>
      <c r="J751" s="2">
        <f>+INDEX(Sheet1!H:H, MATCH(Hoja1!G751, Sheet1!I:I, 0))</f>
        <v>1.2258171387719161E-2</v>
      </c>
      <c r="K751" s="2">
        <f>+INDEX(Sheet1!L:L, MATCH(Hoja1!G751,Sheet1!M:M, 0))</f>
        <v>9.1</v>
      </c>
    </row>
    <row r="752" spans="1:11" ht="16" x14ac:dyDescent="0.25">
      <c r="A752" t="s">
        <v>628</v>
      </c>
      <c r="B752">
        <v>7</v>
      </c>
      <c r="C752">
        <v>2023</v>
      </c>
      <c r="D752" t="s">
        <v>552</v>
      </c>
      <c r="E752">
        <v>3.2</v>
      </c>
      <c r="F752">
        <v>7001399</v>
      </c>
      <c r="G752" s="1" t="str">
        <f t="shared" si="11"/>
        <v>Massachusetts2023</v>
      </c>
      <c r="H752">
        <f>+INDEX(Sheet1!C:C, MATCH(Hoja1!G752, Sheet1!D:D, 0))</f>
        <v>736296.3</v>
      </c>
      <c r="I752">
        <f>+INDEX(Sheet1!G:G, MATCH(Hoja1!G752, Sheet1!I:I, 0))</f>
        <v>116105</v>
      </c>
      <c r="J752" s="2">
        <f>+INDEX(Sheet1!H:H, MATCH(Hoja1!G752, Sheet1!I:I, 0))</f>
        <v>1.2258171387719161E-2</v>
      </c>
      <c r="K752" s="2">
        <f>+INDEX(Sheet1!L:L, MATCH(Hoja1!G752,Sheet1!M:M, 0))</f>
        <v>9.1</v>
      </c>
    </row>
    <row r="753" spans="1:11" ht="16" x14ac:dyDescent="0.25">
      <c r="A753" t="s">
        <v>628</v>
      </c>
      <c r="B753">
        <v>8</v>
      </c>
      <c r="C753">
        <v>2023</v>
      </c>
      <c r="D753" t="s">
        <v>654</v>
      </c>
      <c r="E753">
        <v>3.3</v>
      </c>
      <c r="F753">
        <v>7001399</v>
      </c>
      <c r="G753" s="1" t="str">
        <f t="shared" si="11"/>
        <v>Massachusetts2023</v>
      </c>
      <c r="H753">
        <f>+INDEX(Sheet1!C:C, MATCH(Hoja1!G753, Sheet1!D:D, 0))</f>
        <v>736296.3</v>
      </c>
      <c r="I753">
        <f>+INDEX(Sheet1!G:G, MATCH(Hoja1!G753, Sheet1!I:I, 0))</f>
        <v>116105</v>
      </c>
      <c r="J753" s="2">
        <f>+INDEX(Sheet1!H:H, MATCH(Hoja1!G753, Sheet1!I:I, 0))</f>
        <v>1.2258171387719161E-2</v>
      </c>
      <c r="K753" s="2">
        <f>+INDEX(Sheet1!L:L, MATCH(Hoja1!G753,Sheet1!M:M, 0))</f>
        <v>9.1</v>
      </c>
    </row>
    <row r="754" spans="1:11" ht="16" x14ac:dyDescent="0.25">
      <c r="A754" t="s">
        <v>628</v>
      </c>
      <c r="B754">
        <v>9</v>
      </c>
      <c r="C754">
        <v>2023</v>
      </c>
      <c r="D754" t="s">
        <v>655</v>
      </c>
      <c r="E754">
        <v>3.3</v>
      </c>
      <c r="F754">
        <v>7001399</v>
      </c>
      <c r="G754" s="1" t="str">
        <f t="shared" si="11"/>
        <v>Massachusetts2023</v>
      </c>
      <c r="H754">
        <f>+INDEX(Sheet1!C:C, MATCH(Hoja1!G754, Sheet1!D:D, 0))</f>
        <v>736296.3</v>
      </c>
      <c r="I754">
        <f>+INDEX(Sheet1!G:G, MATCH(Hoja1!G754, Sheet1!I:I, 0))</f>
        <v>116105</v>
      </c>
      <c r="J754" s="2">
        <f>+INDEX(Sheet1!H:H, MATCH(Hoja1!G754, Sheet1!I:I, 0))</f>
        <v>1.2258171387719161E-2</v>
      </c>
      <c r="K754" s="2">
        <f>+INDEX(Sheet1!L:L, MATCH(Hoja1!G754,Sheet1!M:M, 0))</f>
        <v>9.1</v>
      </c>
    </row>
    <row r="755" spans="1:11" ht="16" x14ac:dyDescent="0.25">
      <c r="A755" t="s">
        <v>628</v>
      </c>
      <c r="B755">
        <v>10</v>
      </c>
      <c r="C755">
        <v>2023</v>
      </c>
      <c r="D755" t="s">
        <v>656</v>
      </c>
      <c r="E755">
        <v>3.4</v>
      </c>
      <c r="F755">
        <v>7001399</v>
      </c>
      <c r="G755" s="1" t="str">
        <f t="shared" si="11"/>
        <v>Massachusetts2023</v>
      </c>
      <c r="H755">
        <f>+INDEX(Sheet1!C:C, MATCH(Hoja1!G755, Sheet1!D:D, 0))</f>
        <v>736296.3</v>
      </c>
      <c r="I755">
        <f>+INDEX(Sheet1!G:G, MATCH(Hoja1!G755, Sheet1!I:I, 0))</f>
        <v>116105</v>
      </c>
      <c r="J755" s="2">
        <f>+INDEX(Sheet1!H:H, MATCH(Hoja1!G755, Sheet1!I:I, 0))</f>
        <v>1.2258171387719161E-2</v>
      </c>
      <c r="K755" s="2">
        <f>+INDEX(Sheet1!L:L, MATCH(Hoja1!G755,Sheet1!M:M, 0))</f>
        <v>9.1</v>
      </c>
    </row>
    <row r="756" spans="1:11" ht="16" x14ac:dyDescent="0.25">
      <c r="A756" t="s">
        <v>628</v>
      </c>
      <c r="B756">
        <v>11</v>
      </c>
      <c r="C756">
        <v>2023</v>
      </c>
      <c r="D756" t="s">
        <v>657</v>
      </c>
      <c r="E756">
        <v>3.3</v>
      </c>
      <c r="F756">
        <v>7001399</v>
      </c>
      <c r="G756" s="1" t="str">
        <f t="shared" si="11"/>
        <v>Massachusetts2023</v>
      </c>
      <c r="H756">
        <f>+INDEX(Sheet1!C:C, MATCH(Hoja1!G756, Sheet1!D:D, 0))</f>
        <v>736296.3</v>
      </c>
      <c r="I756">
        <f>+INDEX(Sheet1!G:G, MATCH(Hoja1!G756, Sheet1!I:I, 0))</f>
        <v>116105</v>
      </c>
      <c r="J756" s="2">
        <f>+INDEX(Sheet1!H:H, MATCH(Hoja1!G756, Sheet1!I:I, 0))</f>
        <v>1.2258171387719161E-2</v>
      </c>
      <c r="K756" s="2">
        <f>+INDEX(Sheet1!L:L, MATCH(Hoja1!G756,Sheet1!M:M, 0))</f>
        <v>9.1</v>
      </c>
    </row>
    <row r="757" spans="1:11" ht="16" x14ac:dyDescent="0.25">
      <c r="A757" t="s">
        <v>628</v>
      </c>
      <c r="B757">
        <v>12</v>
      </c>
      <c r="C757">
        <v>2023</v>
      </c>
      <c r="D757" t="s">
        <v>604</v>
      </c>
      <c r="E757">
        <v>3.2</v>
      </c>
      <c r="F757">
        <v>7001399</v>
      </c>
      <c r="G757" s="1" t="str">
        <f t="shared" si="11"/>
        <v>Massachusetts2023</v>
      </c>
      <c r="H757">
        <f>+INDEX(Sheet1!C:C, MATCH(Hoja1!G757, Sheet1!D:D, 0))</f>
        <v>736296.3</v>
      </c>
      <c r="I757">
        <f>+INDEX(Sheet1!G:G, MATCH(Hoja1!G757, Sheet1!I:I, 0))</f>
        <v>116105</v>
      </c>
      <c r="J757" s="2">
        <f>+INDEX(Sheet1!H:H, MATCH(Hoja1!G757, Sheet1!I:I, 0))</f>
        <v>1.2258171387719161E-2</v>
      </c>
      <c r="K757" s="2">
        <f>+INDEX(Sheet1!L:L, MATCH(Hoja1!G757,Sheet1!M:M, 0))</f>
        <v>9.1</v>
      </c>
    </row>
    <row r="758" spans="1:11" ht="16" x14ac:dyDescent="0.25">
      <c r="A758" t="s">
        <v>658</v>
      </c>
      <c r="B758">
        <v>1</v>
      </c>
      <c r="C758">
        <v>2021</v>
      </c>
      <c r="D758" t="s">
        <v>590</v>
      </c>
      <c r="E758">
        <v>6.5</v>
      </c>
      <c r="F758">
        <v>10038117</v>
      </c>
      <c r="G758" s="1" t="str">
        <f t="shared" si="11"/>
        <v>Michigan2021</v>
      </c>
      <c r="H758">
        <f>+INDEX(Sheet1!C:C, MATCH(Hoja1!G758, Sheet1!D:D, 0))</f>
        <v>575116.4</v>
      </c>
      <c r="I758">
        <f>+INDEX(Sheet1!G:G, MATCH(Hoja1!G758, Sheet1!I:I, 0))</f>
        <v>105005</v>
      </c>
      <c r="J758" s="2">
        <f>+INDEX(Sheet1!H:H, MATCH(Hoja1!G758, Sheet1!I:I, 0))</f>
        <v>5.6760428722387159E-2</v>
      </c>
      <c r="K758" s="2">
        <f>+INDEX(Sheet1!L:L, MATCH(Hoja1!G758,Sheet1!M:M, 0))</f>
        <v>11.7</v>
      </c>
    </row>
    <row r="759" spans="1:11" ht="16" x14ac:dyDescent="0.25">
      <c r="A759" t="s">
        <v>658</v>
      </c>
      <c r="B759">
        <v>2</v>
      </c>
      <c r="C759">
        <v>2021</v>
      </c>
      <c r="D759" t="s">
        <v>659</v>
      </c>
      <c r="E759">
        <v>6.3</v>
      </c>
      <c r="F759">
        <v>10038117</v>
      </c>
      <c r="G759" s="1" t="str">
        <f t="shared" si="11"/>
        <v>Michigan2021</v>
      </c>
      <c r="H759">
        <f>+INDEX(Sheet1!C:C, MATCH(Hoja1!G759, Sheet1!D:D, 0))</f>
        <v>575116.4</v>
      </c>
      <c r="I759">
        <f>+INDEX(Sheet1!G:G, MATCH(Hoja1!G759, Sheet1!I:I, 0))</f>
        <v>105005</v>
      </c>
      <c r="J759" s="2">
        <f>+INDEX(Sheet1!H:H, MATCH(Hoja1!G759, Sheet1!I:I, 0))</f>
        <v>5.6760428722387159E-2</v>
      </c>
      <c r="K759" s="2">
        <f>+INDEX(Sheet1!L:L, MATCH(Hoja1!G759,Sheet1!M:M, 0))</f>
        <v>11.7</v>
      </c>
    </row>
    <row r="760" spans="1:11" ht="16" x14ac:dyDescent="0.25">
      <c r="A760" t="s">
        <v>658</v>
      </c>
      <c r="B760">
        <v>3</v>
      </c>
      <c r="C760">
        <v>2021</v>
      </c>
      <c r="D760" t="s">
        <v>115</v>
      </c>
      <c r="E760">
        <v>6.2</v>
      </c>
      <c r="F760">
        <v>10038117</v>
      </c>
      <c r="G760" s="1" t="str">
        <f t="shared" si="11"/>
        <v>Michigan2021</v>
      </c>
      <c r="H760">
        <f>+INDEX(Sheet1!C:C, MATCH(Hoja1!G760, Sheet1!D:D, 0))</f>
        <v>575116.4</v>
      </c>
      <c r="I760">
        <f>+INDEX(Sheet1!G:G, MATCH(Hoja1!G760, Sheet1!I:I, 0))</f>
        <v>105005</v>
      </c>
      <c r="J760" s="2">
        <f>+INDEX(Sheet1!H:H, MATCH(Hoja1!G760, Sheet1!I:I, 0))</f>
        <v>5.6760428722387159E-2</v>
      </c>
      <c r="K760" s="2">
        <f>+INDEX(Sheet1!L:L, MATCH(Hoja1!G760,Sheet1!M:M, 0))</f>
        <v>11.7</v>
      </c>
    </row>
    <row r="761" spans="1:11" ht="16" x14ac:dyDescent="0.25">
      <c r="A761" t="s">
        <v>658</v>
      </c>
      <c r="B761">
        <v>4</v>
      </c>
      <c r="C761">
        <v>2021</v>
      </c>
      <c r="D761" t="s">
        <v>660</v>
      </c>
      <c r="E761">
        <v>6.2</v>
      </c>
      <c r="F761">
        <v>10038117</v>
      </c>
      <c r="G761" s="1" t="str">
        <f t="shared" si="11"/>
        <v>Michigan2021</v>
      </c>
      <c r="H761">
        <f>+INDEX(Sheet1!C:C, MATCH(Hoja1!G761, Sheet1!D:D, 0))</f>
        <v>575116.4</v>
      </c>
      <c r="I761">
        <f>+INDEX(Sheet1!G:G, MATCH(Hoja1!G761, Sheet1!I:I, 0))</f>
        <v>105005</v>
      </c>
      <c r="J761" s="2">
        <f>+INDEX(Sheet1!H:H, MATCH(Hoja1!G761, Sheet1!I:I, 0))</f>
        <v>5.6760428722387159E-2</v>
      </c>
      <c r="K761" s="2">
        <f>+INDEX(Sheet1!L:L, MATCH(Hoja1!G761,Sheet1!M:M, 0))</f>
        <v>11.7</v>
      </c>
    </row>
    <row r="762" spans="1:11" ht="16" x14ac:dyDescent="0.25">
      <c r="A762" t="s">
        <v>658</v>
      </c>
      <c r="B762">
        <v>5</v>
      </c>
      <c r="C762">
        <v>2021</v>
      </c>
      <c r="D762" t="s">
        <v>371</v>
      </c>
      <c r="E762">
        <v>6.2</v>
      </c>
      <c r="F762">
        <v>10038117</v>
      </c>
      <c r="G762" s="1" t="str">
        <f t="shared" si="11"/>
        <v>Michigan2021</v>
      </c>
      <c r="H762">
        <f>+INDEX(Sheet1!C:C, MATCH(Hoja1!G762, Sheet1!D:D, 0))</f>
        <v>575116.4</v>
      </c>
      <c r="I762">
        <f>+INDEX(Sheet1!G:G, MATCH(Hoja1!G762, Sheet1!I:I, 0))</f>
        <v>105005</v>
      </c>
      <c r="J762" s="2">
        <f>+INDEX(Sheet1!H:H, MATCH(Hoja1!G762, Sheet1!I:I, 0))</f>
        <v>5.6760428722387159E-2</v>
      </c>
      <c r="K762" s="2">
        <f>+INDEX(Sheet1!L:L, MATCH(Hoja1!G762,Sheet1!M:M, 0))</f>
        <v>11.7</v>
      </c>
    </row>
    <row r="763" spans="1:11" ht="16" x14ac:dyDescent="0.25">
      <c r="A763" t="s">
        <v>658</v>
      </c>
      <c r="B763">
        <v>6</v>
      </c>
      <c r="C763">
        <v>2021</v>
      </c>
      <c r="D763" t="s">
        <v>407</v>
      </c>
      <c r="E763">
        <v>6.2</v>
      </c>
      <c r="F763">
        <v>10038117</v>
      </c>
      <c r="G763" s="1" t="str">
        <f t="shared" si="11"/>
        <v>Michigan2021</v>
      </c>
      <c r="H763">
        <f>+INDEX(Sheet1!C:C, MATCH(Hoja1!G763, Sheet1!D:D, 0))</f>
        <v>575116.4</v>
      </c>
      <c r="I763">
        <f>+INDEX(Sheet1!G:G, MATCH(Hoja1!G763, Sheet1!I:I, 0))</f>
        <v>105005</v>
      </c>
      <c r="J763" s="2">
        <f>+INDEX(Sheet1!H:H, MATCH(Hoja1!G763, Sheet1!I:I, 0))</f>
        <v>5.6760428722387159E-2</v>
      </c>
      <c r="K763" s="2">
        <f>+INDEX(Sheet1!L:L, MATCH(Hoja1!G763,Sheet1!M:M, 0))</f>
        <v>11.7</v>
      </c>
    </row>
    <row r="764" spans="1:11" ht="16" x14ac:dyDescent="0.25">
      <c r="A764" t="s">
        <v>658</v>
      </c>
      <c r="B764">
        <v>7</v>
      </c>
      <c r="C764">
        <v>2021</v>
      </c>
      <c r="D764" t="s">
        <v>395</v>
      </c>
      <c r="E764">
        <v>6</v>
      </c>
      <c r="F764">
        <v>10038117</v>
      </c>
      <c r="G764" s="1" t="str">
        <f t="shared" si="11"/>
        <v>Michigan2021</v>
      </c>
      <c r="H764">
        <f>+INDEX(Sheet1!C:C, MATCH(Hoja1!G764, Sheet1!D:D, 0))</f>
        <v>575116.4</v>
      </c>
      <c r="I764">
        <f>+INDEX(Sheet1!G:G, MATCH(Hoja1!G764, Sheet1!I:I, 0))</f>
        <v>105005</v>
      </c>
      <c r="J764" s="2">
        <f>+INDEX(Sheet1!H:H, MATCH(Hoja1!G764, Sheet1!I:I, 0))</f>
        <v>5.6760428722387159E-2</v>
      </c>
      <c r="K764" s="2">
        <f>+INDEX(Sheet1!L:L, MATCH(Hoja1!G764,Sheet1!M:M, 0))</f>
        <v>11.7</v>
      </c>
    </row>
    <row r="765" spans="1:11" ht="16" x14ac:dyDescent="0.25">
      <c r="A765" t="s">
        <v>658</v>
      </c>
      <c r="B765">
        <v>8</v>
      </c>
      <c r="C765">
        <v>2021</v>
      </c>
      <c r="D765" t="s">
        <v>661</v>
      </c>
      <c r="E765">
        <v>5.8</v>
      </c>
      <c r="F765">
        <v>10038117</v>
      </c>
      <c r="G765" s="1" t="str">
        <f t="shared" si="11"/>
        <v>Michigan2021</v>
      </c>
      <c r="H765">
        <f>+INDEX(Sheet1!C:C, MATCH(Hoja1!G765, Sheet1!D:D, 0))</f>
        <v>575116.4</v>
      </c>
      <c r="I765">
        <f>+INDEX(Sheet1!G:G, MATCH(Hoja1!G765, Sheet1!I:I, 0))</f>
        <v>105005</v>
      </c>
      <c r="J765" s="2">
        <f>+INDEX(Sheet1!H:H, MATCH(Hoja1!G765, Sheet1!I:I, 0))</f>
        <v>5.6760428722387159E-2</v>
      </c>
      <c r="K765" s="2">
        <f>+INDEX(Sheet1!L:L, MATCH(Hoja1!G765,Sheet1!M:M, 0))</f>
        <v>11.7</v>
      </c>
    </row>
    <row r="766" spans="1:11" ht="16" x14ac:dyDescent="0.25">
      <c r="A766" t="s">
        <v>658</v>
      </c>
      <c r="B766">
        <v>9</v>
      </c>
      <c r="C766">
        <v>2021</v>
      </c>
      <c r="D766" t="s">
        <v>662</v>
      </c>
      <c r="E766">
        <v>5.4</v>
      </c>
      <c r="F766">
        <v>10038117</v>
      </c>
      <c r="G766" s="1" t="str">
        <f t="shared" si="11"/>
        <v>Michigan2021</v>
      </c>
      <c r="H766">
        <f>+INDEX(Sheet1!C:C, MATCH(Hoja1!G766, Sheet1!D:D, 0))</f>
        <v>575116.4</v>
      </c>
      <c r="I766">
        <f>+INDEX(Sheet1!G:G, MATCH(Hoja1!G766, Sheet1!I:I, 0))</f>
        <v>105005</v>
      </c>
      <c r="J766" s="2">
        <f>+INDEX(Sheet1!H:H, MATCH(Hoja1!G766, Sheet1!I:I, 0))</f>
        <v>5.6760428722387159E-2</v>
      </c>
      <c r="K766" s="2">
        <f>+INDEX(Sheet1!L:L, MATCH(Hoja1!G766,Sheet1!M:M, 0))</f>
        <v>11.7</v>
      </c>
    </row>
    <row r="767" spans="1:11" ht="16" x14ac:dyDescent="0.25">
      <c r="A767" t="s">
        <v>658</v>
      </c>
      <c r="B767">
        <v>10</v>
      </c>
      <c r="C767">
        <v>2021</v>
      </c>
      <c r="D767" t="s">
        <v>527</v>
      </c>
      <c r="E767">
        <v>5.0999999999999996</v>
      </c>
      <c r="F767">
        <v>10038117</v>
      </c>
      <c r="G767" s="1" t="str">
        <f t="shared" si="11"/>
        <v>Michigan2021</v>
      </c>
      <c r="H767">
        <f>+INDEX(Sheet1!C:C, MATCH(Hoja1!G767, Sheet1!D:D, 0))</f>
        <v>575116.4</v>
      </c>
      <c r="I767">
        <f>+INDEX(Sheet1!G:G, MATCH(Hoja1!G767, Sheet1!I:I, 0))</f>
        <v>105005</v>
      </c>
      <c r="J767" s="2">
        <f>+INDEX(Sheet1!H:H, MATCH(Hoja1!G767, Sheet1!I:I, 0))</f>
        <v>5.6760428722387159E-2</v>
      </c>
      <c r="K767" s="2">
        <f>+INDEX(Sheet1!L:L, MATCH(Hoja1!G767,Sheet1!M:M, 0))</f>
        <v>11.7</v>
      </c>
    </row>
    <row r="768" spans="1:11" ht="16" x14ac:dyDescent="0.25">
      <c r="A768" t="s">
        <v>658</v>
      </c>
      <c r="B768">
        <v>11</v>
      </c>
      <c r="C768">
        <v>2021</v>
      </c>
      <c r="D768" t="s">
        <v>466</v>
      </c>
      <c r="E768">
        <v>4.8</v>
      </c>
      <c r="F768">
        <v>10038117</v>
      </c>
      <c r="G768" s="1" t="str">
        <f t="shared" si="11"/>
        <v>Michigan2021</v>
      </c>
      <c r="H768">
        <f>+INDEX(Sheet1!C:C, MATCH(Hoja1!G768, Sheet1!D:D, 0))</f>
        <v>575116.4</v>
      </c>
      <c r="I768">
        <f>+INDEX(Sheet1!G:G, MATCH(Hoja1!G768, Sheet1!I:I, 0))</f>
        <v>105005</v>
      </c>
      <c r="J768" s="2">
        <f>+INDEX(Sheet1!H:H, MATCH(Hoja1!G768, Sheet1!I:I, 0))</f>
        <v>5.6760428722387159E-2</v>
      </c>
      <c r="K768" s="2">
        <f>+INDEX(Sheet1!L:L, MATCH(Hoja1!G768,Sheet1!M:M, 0))</f>
        <v>11.7</v>
      </c>
    </row>
    <row r="769" spans="1:11" ht="16" x14ac:dyDescent="0.25">
      <c r="A769" t="s">
        <v>658</v>
      </c>
      <c r="B769">
        <v>12</v>
      </c>
      <c r="C769">
        <v>2021</v>
      </c>
      <c r="D769" t="s">
        <v>663</v>
      </c>
      <c r="E769">
        <v>4.5</v>
      </c>
      <c r="F769">
        <v>10038117</v>
      </c>
      <c r="G769" s="1" t="str">
        <f t="shared" si="11"/>
        <v>Michigan2021</v>
      </c>
      <c r="H769">
        <f>+INDEX(Sheet1!C:C, MATCH(Hoja1!G769, Sheet1!D:D, 0))</f>
        <v>575116.4</v>
      </c>
      <c r="I769">
        <f>+INDEX(Sheet1!G:G, MATCH(Hoja1!G769, Sheet1!I:I, 0))</f>
        <v>105005</v>
      </c>
      <c r="J769" s="2">
        <f>+INDEX(Sheet1!H:H, MATCH(Hoja1!G769, Sheet1!I:I, 0))</f>
        <v>5.6760428722387159E-2</v>
      </c>
      <c r="K769" s="2">
        <f>+INDEX(Sheet1!L:L, MATCH(Hoja1!G769,Sheet1!M:M, 0))</f>
        <v>11.7</v>
      </c>
    </row>
    <row r="770" spans="1:11" ht="16" x14ac:dyDescent="0.25">
      <c r="A770" t="s">
        <v>658</v>
      </c>
      <c r="B770">
        <v>1</v>
      </c>
      <c r="C770">
        <v>2022</v>
      </c>
      <c r="D770" t="s">
        <v>664</v>
      </c>
      <c r="E770">
        <v>4.4000000000000004</v>
      </c>
      <c r="F770">
        <v>10033281</v>
      </c>
      <c r="G770" s="1" t="str">
        <f t="shared" si="11"/>
        <v>Michigan2022</v>
      </c>
      <c r="H770">
        <f>+INDEX(Sheet1!C:C, MATCH(Hoja1!G770, Sheet1!D:D, 0))</f>
        <v>627009.1</v>
      </c>
      <c r="I770">
        <f>+INDEX(Sheet1!G:G, MATCH(Hoja1!G770, Sheet1!I:I, 0))</f>
        <v>107646</v>
      </c>
      <c r="J770" s="2">
        <f>+INDEX(Sheet1!H:H, MATCH(Hoja1!G770, Sheet1!I:I, 0))</f>
        <v>2.5151183276986809E-2</v>
      </c>
      <c r="K770" s="2">
        <f>+INDEX(Sheet1!L:L, MATCH(Hoja1!G770,Sheet1!M:M, 0))</f>
        <v>12.1</v>
      </c>
    </row>
    <row r="771" spans="1:11" ht="16" x14ac:dyDescent="0.25">
      <c r="A771" t="s">
        <v>658</v>
      </c>
      <c r="B771">
        <v>2</v>
      </c>
      <c r="C771">
        <v>2022</v>
      </c>
      <c r="D771" t="s">
        <v>662</v>
      </c>
      <c r="E771">
        <v>4.3</v>
      </c>
      <c r="F771">
        <v>10033281</v>
      </c>
      <c r="G771" s="1" t="str">
        <f t="shared" ref="G771:G834" si="12">+A771&amp;C771</f>
        <v>Michigan2022</v>
      </c>
      <c r="H771">
        <f>+INDEX(Sheet1!C:C, MATCH(Hoja1!G771, Sheet1!D:D, 0))</f>
        <v>627009.1</v>
      </c>
      <c r="I771">
        <f>+INDEX(Sheet1!G:G, MATCH(Hoja1!G771, Sheet1!I:I, 0))</f>
        <v>107646</v>
      </c>
      <c r="J771" s="2">
        <f>+INDEX(Sheet1!H:H, MATCH(Hoja1!G771, Sheet1!I:I, 0))</f>
        <v>2.5151183276986809E-2</v>
      </c>
      <c r="K771" s="2">
        <f>+INDEX(Sheet1!L:L, MATCH(Hoja1!G771,Sheet1!M:M, 0))</f>
        <v>12.1</v>
      </c>
    </row>
    <row r="772" spans="1:11" ht="16" x14ac:dyDescent="0.25">
      <c r="A772" t="s">
        <v>658</v>
      </c>
      <c r="B772">
        <v>3</v>
      </c>
      <c r="C772">
        <v>2022</v>
      </c>
      <c r="D772" t="s">
        <v>450</v>
      </c>
      <c r="E772">
        <v>4.2</v>
      </c>
      <c r="F772">
        <v>10033281</v>
      </c>
      <c r="G772" s="1" t="str">
        <f t="shared" si="12"/>
        <v>Michigan2022</v>
      </c>
      <c r="H772">
        <f>+INDEX(Sheet1!C:C, MATCH(Hoja1!G772, Sheet1!D:D, 0))</f>
        <v>627009.1</v>
      </c>
      <c r="I772">
        <f>+INDEX(Sheet1!G:G, MATCH(Hoja1!G772, Sheet1!I:I, 0))</f>
        <v>107646</v>
      </c>
      <c r="J772" s="2">
        <f>+INDEX(Sheet1!H:H, MATCH(Hoja1!G772, Sheet1!I:I, 0))</f>
        <v>2.5151183276986809E-2</v>
      </c>
      <c r="K772" s="2">
        <f>+INDEX(Sheet1!L:L, MATCH(Hoja1!G772,Sheet1!M:M, 0))</f>
        <v>12.1</v>
      </c>
    </row>
    <row r="773" spans="1:11" ht="16" x14ac:dyDescent="0.25">
      <c r="A773" t="s">
        <v>658</v>
      </c>
      <c r="B773">
        <v>4</v>
      </c>
      <c r="C773">
        <v>2022</v>
      </c>
      <c r="D773" t="s">
        <v>665</v>
      </c>
      <c r="E773">
        <v>4.0999999999999996</v>
      </c>
      <c r="F773">
        <v>10033281</v>
      </c>
      <c r="G773" s="1" t="str">
        <f t="shared" si="12"/>
        <v>Michigan2022</v>
      </c>
      <c r="H773">
        <f>+INDEX(Sheet1!C:C, MATCH(Hoja1!G773, Sheet1!D:D, 0))</f>
        <v>627009.1</v>
      </c>
      <c r="I773">
        <f>+INDEX(Sheet1!G:G, MATCH(Hoja1!G773, Sheet1!I:I, 0))</f>
        <v>107646</v>
      </c>
      <c r="J773" s="2">
        <f>+INDEX(Sheet1!H:H, MATCH(Hoja1!G773, Sheet1!I:I, 0))</f>
        <v>2.5151183276986809E-2</v>
      </c>
      <c r="K773" s="2">
        <f>+INDEX(Sheet1!L:L, MATCH(Hoja1!G773,Sheet1!M:M, 0))</f>
        <v>12.1</v>
      </c>
    </row>
    <row r="774" spans="1:11" ht="16" x14ac:dyDescent="0.25">
      <c r="A774" t="s">
        <v>658</v>
      </c>
      <c r="B774">
        <v>5</v>
      </c>
      <c r="C774">
        <v>2022</v>
      </c>
      <c r="D774" t="s">
        <v>666</v>
      </c>
      <c r="E774">
        <v>4</v>
      </c>
      <c r="F774">
        <v>10033281</v>
      </c>
      <c r="G774" s="1" t="str">
        <f t="shared" si="12"/>
        <v>Michigan2022</v>
      </c>
      <c r="H774">
        <f>+INDEX(Sheet1!C:C, MATCH(Hoja1!G774, Sheet1!D:D, 0))</f>
        <v>627009.1</v>
      </c>
      <c r="I774">
        <f>+INDEX(Sheet1!G:G, MATCH(Hoja1!G774, Sheet1!I:I, 0))</f>
        <v>107646</v>
      </c>
      <c r="J774" s="2">
        <f>+INDEX(Sheet1!H:H, MATCH(Hoja1!G774, Sheet1!I:I, 0))</f>
        <v>2.5151183276986809E-2</v>
      </c>
      <c r="K774" s="2">
        <f>+INDEX(Sheet1!L:L, MATCH(Hoja1!G774,Sheet1!M:M, 0))</f>
        <v>12.1</v>
      </c>
    </row>
    <row r="775" spans="1:11" ht="16" x14ac:dyDescent="0.25">
      <c r="A775" t="s">
        <v>658</v>
      </c>
      <c r="B775">
        <v>6</v>
      </c>
      <c r="C775">
        <v>2022</v>
      </c>
      <c r="D775" t="s">
        <v>360</v>
      </c>
      <c r="E775">
        <v>4</v>
      </c>
      <c r="F775">
        <v>10033281</v>
      </c>
      <c r="G775" s="1" t="str">
        <f t="shared" si="12"/>
        <v>Michigan2022</v>
      </c>
      <c r="H775">
        <f>+INDEX(Sheet1!C:C, MATCH(Hoja1!G775, Sheet1!D:D, 0))</f>
        <v>627009.1</v>
      </c>
      <c r="I775">
        <f>+INDEX(Sheet1!G:G, MATCH(Hoja1!G775, Sheet1!I:I, 0))</f>
        <v>107646</v>
      </c>
      <c r="J775" s="2">
        <f>+INDEX(Sheet1!H:H, MATCH(Hoja1!G775, Sheet1!I:I, 0))</f>
        <v>2.5151183276986809E-2</v>
      </c>
      <c r="K775" s="2">
        <f>+INDEX(Sheet1!L:L, MATCH(Hoja1!G775,Sheet1!M:M, 0))</f>
        <v>12.1</v>
      </c>
    </row>
    <row r="776" spans="1:11" ht="16" x14ac:dyDescent="0.25">
      <c r="A776" t="s">
        <v>658</v>
      </c>
      <c r="B776">
        <v>7</v>
      </c>
      <c r="C776">
        <v>2022</v>
      </c>
      <c r="D776" t="s">
        <v>667</v>
      </c>
      <c r="E776">
        <v>4</v>
      </c>
      <c r="F776">
        <v>10033281</v>
      </c>
      <c r="G776" s="1" t="str">
        <f t="shared" si="12"/>
        <v>Michigan2022</v>
      </c>
      <c r="H776">
        <f>+INDEX(Sheet1!C:C, MATCH(Hoja1!G776, Sheet1!D:D, 0))</f>
        <v>627009.1</v>
      </c>
      <c r="I776">
        <f>+INDEX(Sheet1!G:G, MATCH(Hoja1!G776, Sheet1!I:I, 0))</f>
        <v>107646</v>
      </c>
      <c r="J776" s="2">
        <f>+INDEX(Sheet1!H:H, MATCH(Hoja1!G776, Sheet1!I:I, 0))</f>
        <v>2.5151183276986809E-2</v>
      </c>
      <c r="K776" s="2">
        <f>+INDEX(Sheet1!L:L, MATCH(Hoja1!G776,Sheet1!M:M, 0))</f>
        <v>12.1</v>
      </c>
    </row>
    <row r="777" spans="1:11" ht="16" x14ac:dyDescent="0.25">
      <c r="A777" t="s">
        <v>658</v>
      </c>
      <c r="B777">
        <v>8</v>
      </c>
      <c r="C777">
        <v>2022</v>
      </c>
      <c r="D777" t="s">
        <v>668</v>
      </c>
      <c r="E777">
        <v>4</v>
      </c>
      <c r="F777">
        <v>10033281</v>
      </c>
      <c r="G777" s="1" t="str">
        <f t="shared" si="12"/>
        <v>Michigan2022</v>
      </c>
      <c r="H777">
        <f>+INDEX(Sheet1!C:C, MATCH(Hoja1!G777, Sheet1!D:D, 0))</f>
        <v>627009.1</v>
      </c>
      <c r="I777">
        <f>+INDEX(Sheet1!G:G, MATCH(Hoja1!G777, Sheet1!I:I, 0))</f>
        <v>107646</v>
      </c>
      <c r="J777" s="2">
        <f>+INDEX(Sheet1!H:H, MATCH(Hoja1!G777, Sheet1!I:I, 0))</f>
        <v>2.5151183276986809E-2</v>
      </c>
      <c r="K777" s="2">
        <f>+INDEX(Sheet1!L:L, MATCH(Hoja1!G777,Sheet1!M:M, 0))</f>
        <v>12.1</v>
      </c>
    </row>
    <row r="778" spans="1:11" ht="16" x14ac:dyDescent="0.25">
      <c r="A778" t="s">
        <v>658</v>
      </c>
      <c r="B778">
        <v>9</v>
      </c>
      <c r="C778">
        <v>2022</v>
      </c>
      <c r="D778" t="s">
        <v>549</v>
      </c>
      <c r="E778">
        <v>4.0999999999999996</v>
      </c>
      <c r="F778">
        <v>10033281</v>
      </c>
      <c r="G778" s="1" t="str">
        <f t="shared" si="12"/>
        <v>Michigan2022</v>
      </c>
      <c r="H778">
        <f>+INDEX(Sheet1!C:C, MATCH(Hoja1!G778, Sheet1!D:D, 0))</f>
        <v>627009.1</v>
      </c>
      <c r="I778">
        <f>+INDEX(Sheet1!G:G, MATCH(Hoja1!G778, Sheet1!I:I, 0))</f>
        <v>107646</v>
      </c>
      <c r="J778" s="2">
        <f>+INDEX(Sheet1!H:H, MATCH(Hoja1!G778, Sheet1!I:I, 0))</f>
        <v>2.5151183276986809E-2</v>
      </c>
      <c r="K778" s="2">
        <f>+INDEX(Sheet1!L:L, MATCH(Hoja1!G778,Sheet1!M:M, 0))</f>
        <v>12.1</v>
      </c>
    </row>
    <row r="779" spans="1:11" ht="16" x14ac:dyDescent="0.25">
      <c r="A779" t="s">
        <v>658</v>
      </c>
      <c r="B779">
        <v>10</v>
      </c>
      <c r="C779">
        <v>2022</v>
      </c>
      <c r="D779" t="s">
        <v>669</v>
      </c>
      <c r="E779">
        <v>4.2</v>
      </c>
      <c r="F779">
        <v>10033281</v>
      </c>
      <c r="G779" s="1" t="str">
        <f t="shared" si="12"/>
        <v>Michigan2022</v>
      </c>
      <c r="H779">
        <f>+INDEX(Sheet1!C:C, MATCH(Hoja1!G779, Sheet1!D:D, 0))</f>
        <v>627009.1</v>
      </c>
      <c r="I779">
        <f>+INDEX(Sheet1!G:G, MATCH(Hoja1!G779, Sheet1!I:I, 0))</f>
        <v>107646</v>
      </c>
      <c r="J779" s="2">
        <f>+INDEX(Sheet1!H:H, MATCH(Hoja1!G779, Sheet1!I:I, 0))</f>
        <v>2.5151183276986809E-2</v>
      </c>
      <c r="K779" s="2">
        <f>+INDEX(Sheet1!L:L, MATCH(Hoja1!G779,Sheet1!M:M, 0))</f>
        <v>12.1</v>
      </c>
    </row>
    <row r="780" spans="1:11" ht="16" x14ac:dyDescent="0.25">
      <c r="A780" t="s">
        <v>658</v>
      </c>
      <c r="B780">
        <v>11</v>
      </c>
      <c r="C780">
        <v>2022</v>
      </c>
      <c r="D780" t="s">
        <v>464</v>
      </c>
      <c r="E780">
        <v>4.2</v>
      </c>
      <c r="F780">
        <v>10033281</v>
      </c>
      <c r="G780" s="1" t="str">
        <f t="shared" si="12"/>
        <v>Michigan2022</v>
      </c>
      <c r="H780">
        <f>+INDEX(Sheet1!C:C, MATCH(Hoja1!G780, Sheet1!D:D, 0))</f>
        <v>627009.1</v>
      </c>
      <c r="I780">
        <f>+INDEX(Sheet1!G:G, MATCH(Hoja1!G780, Sheet1!I:I, 0))</f>
        <v>107646</v>
      </c>
      <c r="J780" s="2">
        <f>+INDEX(Sheet1!H:H, MATCH(Hoja1!G780, Sheet1!I:I, 0))</f>
        <v>2.5151183276986809E-2</v>
      </c>
      <c r="K780" s="2">
        <f>+INDEX(Sheet1!L:L, MATCH(Hoja1!G780,Sheet1!M:M, 0))</f>
        <v>12.1</v>
      </c>
    </row>
    <row r="781" spans="1:11" ht="16" x14ac:dyDescent="0.25">
      <c r="A781" t="s">
        <v>658</v>
      </c>
      <c r="B781">
        <v>12</v>
      </c>
      <c r="C781">
        <v>2022</v>
      </c>
      <c r="D781" t="s">
        <v>541</v>
      </c>
      <c r="E781">
        <v>4.0999999999999996</v>
      </c>
      <c r="F781">
        <v>10033281</v>
      </c>
      <c r="G781" s="1" t="str">
        <f t="shared" si="12"/>
        <v>Michigan2022</v>
      </c>
      <c r="H781">
        <f>+INDEX(Sheet1!C:C, MATCH(Hoja1!G781, Sheet1!D:D, 0))</f>
        <v>627009.1</v>
      </c>
      <c r="I781">
        <f>+INDEX(Sheet1!G:G, MATCH(Hoja1!G781, Sheet1!I:I, 0))</f>
        <v>107646</v>
      </c>
      <c r="J781" s="2">
        <f>+INDEX(Sheet1!H:H, MATCH(Hoja1!G781, Sheet1!I:I, 0))</f>
        <v>2.5151183276986809E-2</v>
      </c>
      <c r="K781" s="2">
        <f>+INDEX(Sheet1!L:L, MATCH(Hoja1!G781,Sheet1!M:M, 0))</f>
        <v>12.1</v>
      </c>
    </row>
    <row r="782" spans="1:11" ht="16" x14ac:dyDescent="0.25">
      <c r="A782" t="s">
        <v>658</v>
      </c>
      <c r="B782">
        <v>1</v>
      </c>
      <c r="C782">
        <v>2023</v>
      </c>
      <c r="D782" t="s">
        <v>420</v>
      </c>
      <c r="E782">
        <v>4</v>
      </c>
      <c r="F782">
        <v>10037261</v>
      </c>
      <c r="G782" s="1" t="str">
        <f t="shared" si="12"/>
        <v>Michigan2023</v>
      </c>
      <c r="H782">
        <f>+INDEX(Sheet1!C:C, MATCH(Hoja1!G782, Sheet1!D:D, 0))</f>
        <v>673818.1</v>
      </c>
      <c r="I782">
        <f>+INDEX(Sheet1!G:G, MATCH(Hoja1!G782, Sheet1!I:I, 0))</f>
        <v>109732</v>
      </c>
      <c r="J782" s="2">
        <f>+INDEX(Sheet1!H:H, MATCH(Hoja1!G782, Sheet1!I:I, 0))</f>
        <v>1.9378332683053712E-2</v>
      </c>
      <c r="K782" s="2">
        <f>+INDEX(Sheet1!L:L, MATCH(Hoja1!G782,Sheet1!M:M, 0))</f>
        <v>12.1</v>
      </c>
    </row>
    <row r="783" spans="1:11" ht="16" x14ac:dyDescent="0.25">
      <c r="A783" t="s">
        <v>658</v>
      </c>
      <c r="B783">
        <v>2</v>
      </c>
      <c r="C783">
        <v>2023</v>
      </c>
      <c r="D783" t="s">
        <v>546</v>
      </c>
      <c r="E783">
        <v>3.8</v>
      </c>
      <c r="F783">
        <v>10037261</v>
      </c>
      <c r="G783" s="1" t="str">
        <f t="shared" si="12"/>
        <v>Michigan2023</v>
      </c>
      <c r="H783">
        <f>+INDEX(Sheet1!C:C, MATCH(Hoja1!G783, Sheet1!D:D, 0))</f>
        <v>673818.1</v>
      </c>
      <c r="I783">
        <f>+INDEX(Sheet1!G:G, MATCH(Hoja1!G783, Sheet1!I:I, 0))</f>
        <v>109732</v>
      </c>
      <c r="J783" s="2">
        <f>+INDEX(Sheet1!H:H, MATCH(Hoja1!G783, Sheet1!I:I, 0))</f>
        <v>1.9378332683053712E-2</v>
      </c>
      <c r="K783" s="2">
        <f>+INDEX(Sheet1!L:L, MATCH(Hoja1!G783,Sheet1!M:M, 0))</f>
        <v>12.1</v>
      </c>
    </row>
    <row r="784" spans="1:11" ht="16" x14ac:dyDescent="0.25">
      <c r="A784" t="s">
        <v>658</v>
      </c>
      <c r="B784">
        <v>3</v>
      </c>
      <c r="C784">
        <v>2023</v>
      </c>
      <c r="D784">
        <v>22</v>
      </c>
      <c r="E784">
        <v>3.7</v>
      </c>
      <c r="F784">
        <v>10037261</v>
      </c>
      <c r="G784" s="1" t="str">
        <f t="shared" si="12"/>
        <v>Michigan2023</v>
      </c>
      <c r="H784">
        <f>+INDEX(Sheet1!C:C, MATCH(Hoja1!G784, Sheet1!D:D, 0))</f>
        <v>673818.1</v>
      </c>
      <c r="I784">
        <f>+INDEX(Sheet1!G:G, MATCH(Hoja1!G784, Sheet1!I:I, 0))</f>
        <v>109732</v>
      </c>
      <c r="J784" s="2">
        <f>+INDEX(Sheet1!H:H, MATCH(Hoja1!G784, Sheet1!I:I, 0))</f>
        <v>1.9378332683053712E-2</v>
      </c>
      <c r="K784" s="2">
        <f>+INDEX(Sheet1!L:L, MATCH(Hoja1!G784,Sheet1!M:M, 0))</f>
        <v>12.1</v>
      </c>
    </row>
    <row r="785" spans="1:11" ht="16" x14ac:dyDescent="0.25">
      <c r="A785" t="s">
        <v>658</v>
      </c>
      <c r="B785">
        <v>4</v>
      </c>
      <c r="C785">
        <v>2023</v>
      </c>
      <c r="D785" t="s">
        <v>670</v>
      </c>
      <c r="E785">
        <v>3.6</v>
      </c>
      <c r="F785">
        <v>10037261</v>
      </c>
      <c r="G785" s="1" t="str">
        <f t="shared" si="12"/>
        <v>Michigan2023</v>
      </c>
      <c r="H785">
        <f>+INDEX(Sheet1!C:C, MATCH(Hoja1!G785, Sheet1!D:D, 0))</f>
        <v>673818.1</v>
      </c>
      <c r="I785">
        <f>+INDEX(Sheet1!G:G, MATCH(Hoja1!G785, Sheet1!I:I, 0))</f>
        <v>109732</v>
      </c>
      <c r="J785" s="2">
        <f>+INDEX(Sheet1!H:H, MATCH(Hoja1!G785, Sheet1!I:I, 0))</f>
        <v>1.9378332683053712E-2</v>
      </c>
      <c r="K785" s="2">
        <f>+INDEX(Sheet1!L:L, MATCH(Hoja1!G785,Sheet1!M:M, 0))</f>
        <v>12.1</v>
      </c>
    </row>
    <row r="786" spans="1:11" ht="16" x14ac:dyDescent="0.25">
      <c r="A786" t="s">
        <v>658</v>
      </c>
      <c r="B786">
        <v>5</v>
      </c>
      <c r="C786">
        <v>2023</v>
      </c>
      <c r="D786" t="s">
        <v>671</v>
      </c>
      <c r="E786">
        <v>3.6</v>
      </c>
      <c r="F786">
        <v>10037261</v>
      </c>
      <c r="G786" s="1" t="str">
        <f t="shared" si="12"/>
        <v>Michigan2023</v>
      </c>
      <c r="H786">
        <f>+INDEX(Sheet1!C:C, MATCH(Hoja1!G786, Sheet1!D:D, 0))</f>
        <v>673818.1</v>
      </c>
      <c r="I786">
        <f>+INDEX(Sheet1!G:G, MATCH(Hoja1!G786, Sheet1!I:I, 0))</f>
        <v>109732</v>
      </c>
      <c r="J786" s="2">
        <f>+INDEX(Sheet1!H:H, MATCH(Hoja1!G786, Sheet1!I:I, 0))</f>
        <v>1.9378332683053712E-2</v>
      </c>
      <c r="K786" s="2">
        <f>+INDEX(Sheet1!L:L, MATCH(Hoja1!G786,Sheet1!M:M, 0))</f>
        <v>12.1</v>
      </c>
    </row>
    <row r="787" spans="1:11" ht="16" x14ac:dyDescent="0.25">
      <c r="A787" t="s">
        <v>658</v>
      </c>
      <c r="B787">
        <v>6</v>
      </c>
      <c r="C787">
        <v>2023</v>
      </c>
      <c r="D787" t="s">
        <v>672</v>
      </c>
      <c r="E787">
        <v>3.7</v>
      </c>
      <c r="F787">
        <v>10037261</v>
      </c>
      <c r="G787" s="1" t="str">
        <f t="shared" si="12"/>
        <v>Michigan2023</v>
      </c>
      <c r="H787">
        <f>+INDEX(Sheet1!C:C, MATCH(Hoja1!G787, Sheet1!D:D, 0))</f>
        <v>673818.1</v>
      </c>
      <c r="I787">
        <f>+INDEX(Sheet1!G:G, MATCH(Hoja1!G787, Sheet1!I:I, 0))</f>
        <v>109732</v>
      </c>
      <c r="J787" s="2">
        <f>+INDEX(Sheet1!H:H, MATCH(Hoja1!G787, Sheet1!I:I, 0))</f>
        <v>1.9378332683053712E-2</v>
      </c>
      <c r="K787" s="2">
        <f>+INDEX(Sheet1!L:L, MATCH(Hoja1!G787,Sheet1!M:M, 0))</f>
        <v>12.1</v>
      </c>
    </row>
    <row r="788" spans="1:11" ht="16" x14ac:dyDescent="0.25">
      <c r="A788" t="s">
        <v>658</v>
      </c>
      <c r="B788">
        <v>7</v>
      </c>
      <c r="C788">
        <v>2023</v>
      </c>
      <c r="D788" t="s">
        <v>673</v>
      </c>
      <c r="E788">
        <v>3.8</v>
      </c>
      <c r="F788">
        <v>10037261</v>
      </c>
      <c r="G788" s="1" t="str">
        <f t="shared" si="12"/>
        <v>Michigan2023</v>
      </c>
      <c r="H788">
        <f>+INDEX(Sheet1!C:C, MATCH(Hoja1!G788, Sheet1!D:D, 0))</f>
        <v>673818.1</v>
      </c>
      <c r="I788">
        <f>+INDEX(Sheet1!G:G, MATCH(Hoja1!G788, Sheet1!I:I, 0))</f>
        <v>109732</v>
      </c>
      <c r="J788" s="2">
        <f>+INDEX(Sheet1!H:H, MATCH(Hoja1!G788, Sheet1!I:I, 0))</f>
        <v>1.9378332683053712E-2</v>
      </c>
      <c r="K788" s="2">
        <f>+INDEX(Sheet1!L:L, MATCH(Hoja1!G788,Sheet1!M:M, 0))</f>
        <v>12.1</v>
      </c>
    </row>
    <row r="789" spans="1:11" ht="16" x14ac:dyDescent="0.25">
      <c r="A789" t="s">
        <v>658</v>
      </c>
      <c r="B789">
        <v>8</v>
      </c>
      <c r="C789">
        <v>2023</v>
      </c>
      <c r="D789" t="s">
        <v>176</v>
      </c>
      <c r="E789">
        <v>4</v>
      </c>
      <c r="F789">
        <v>10037261</v>
      </c>
      <c r="G789" s="1" t="str">
        <f t="shared" si="12"/>
        <v>Michigan2023</v>
      </c>
      <c r="H789">
        <f>+INDEX(Sheet1!C:C, MATCH(Hoja1!G789, Sheet1!D:D, 0))</f>
        <v>673818.1</v>
      </c>
      <c r="I789">
        <f>+INDEX(Sheet1!G:G, MATCH(Hoja1!G789, Sheet1!I:I, 0))</f>
        <v>109732</v>
      </c>
      <c r="J789" s="2">
        <f>+INDEX(Sheet1!H:H, MATCH(Hoja1!G789, Sheet1!I:I, 0))</f>
        <v>1.9378332683053712E-2</v>
      </c>
      <c r="K789" s="2">
        <f>+INDEX(Sheet1!L:L, MATCH(Hoja1!G789,Sheet1!M:M, 0))</f>
        <v>12.1</v>
      </c>
    </row>
    <row r="790" spans="1:11" ht="16" x14ac:dyDescent="0.25">
      <c r="A790" t="s">
        <v>658</v>
      </c>
      <c r="B790">
        <v>9</v>
      </c>
      <c r="C790">
        <v>2023</v>
      </c>
      <c r="D790" t="s">
        <v>674</v>
      </c>
      <c r="E790">
        <v>4.0999999999999996</v>
      </c>
      <c r="F790">
        <v>10037261</v>
      </c>
      <c r="G790" s="1" t="str">
        <f t="shared" si="12"/>
        <v>Michigan2023</v>
      </c>
      <c r="H790">
        <f>+INDEX(Sheet1!C:C, MATCH(Hoja1!G790, Sheet1!D:D, 0))</f>
        <v>673818.1</v>
      </c>
      <c r="I790">
        <f>+INDEX(Sheet1!G:G, MATCH(Hoja1!G790, Sheet1!I:I, 0))</f>
        <v>109732</v>
      </c>
      <c r="J790" s="2">
        <f>+INDEX(Sheet1!H:H, MATCH(Hoja1!G790, Sheet1!I:I, 0))</f>
        <v>1.9378332683053712E-2</v>
      </c>
      <c r="K790" s="2">
        <f>+INDEX(Sheet1!L:L, MATCH(Hoja1!G790,Sheet1!M:M, 0))</f>
        <v>12.1</v>
      </c>
    </row>
    <row r="791" spans="1:11" ht="16" x14ac:dyDescent="0.25">
      <c r="A791" t="s">
        <v>658</v>
      </c>
      <c r="B791">
        <v>10</v>
      </c>
      <c r="C791">
        <v>2023</v>
      </c>
      <c r="D791" t="s">
        <v>675</v>
      </c>
      <c r="E791">
        <v>4.2</v>
      </c>
      <c r="F791">
        <v>10037261</v>
      </c>
      <c r="G791" s="1" t="str">
        <f t="shared" si="12"/>
        <v>Michigan2023</v>
      </c>
      <c r="H791">
        <f>+INDEX(Sheet1!C:C, MATCH(Hoja1!G791, Sheet1!D:D, 0))</f>
        <v>673818.1</v>
      </c>
      <c r="I791">
        <f>+INDEX(Sheet1!G:G, MATCH(Hoja1!G791, Sheet1!I:I, 0))</f>
        <v>109732</v>
      </c>
      <c r="J791" s="2">
        <f>+INDEX(Sheet1!H:H, MATCH(Hoja1!G791, Sheet1!I:I, 0))</f>
        <v>1.9378332683053712E-2</v>
      </c>
      <c r="K791" s="2">
        <f>+INDEX(Sheet1!L:L, MATCH(Hoja1!G791,Sheet1!M:M, 0))</f>
        <v>12.1</v>
      </c>
    </row>
    <row r="792" spans="1:11" ht="16" x14ac:dyDescent="0.25">
      <c r="A792" t="s">
        <v>658</v>
      </c>
      <c r="B792">
        <v>11</v>
      </c>
      <c r="C792">
        <v>2023</v>
      </c>
      <c r="D792" t="s">
        <v>174</v>
      </c>
      <c r="E792">
        <v>4.0999999999999996</v>
      </c>
      <c r="F792">
        <v>10037261</v>
      </c>
      <c r="G792" s="1" t="str">
        <f t="shared" si="12"/>
        <v>Michigan2023</v>
      </c>
      <c r="H792">
        <f>+INDEX(Sheet1!C:C, MATCH(Hoja1!G792, Sheet1!D:D, 0))</f>
        <v>673818.1</v>
      </c>
      <c r="I792">
        <f>+INDEX(Sheet1!G:G, MATCH(Hoja1!G792, Sheet1!I:I, 0))</f>
        <v>109732</v>
      </c>
      <c r="J792" s="2">
        <f>+INDEX(Sheet1!H:H, MATCH(Hoja1!G792, Sheet1!I:I, 0))</f>
        <v>1.9378332683053712E-2</v>
      </c>
      <c r="K792" s="2">
        <f>+INDEX(Sheet1!L:L, MATCH(Hoja1!G792,Sheet1!M:M, 0))</f>
        <v>12.1</v>
      </c>
    </row>
    <row r="793" spans="1:11" ht="16" x14ac:dyDescent="0.25">
      <c r="A793" t="s">
        <v>658</v>
      </c>
      <c r="B793">
        <v>12</v>
      </c>
      <c r="C793">
        <v>2023</v>
      </c>
      <c r="D793" t="s">
        <v>676</v>
      </c>
      <c r="E793">
        <v>4.0999999999999996</v>
      </c>
      <c r="F793">
        <v>10037261</v>
      </c>
      <c r="G793" s="1" t="str">
        <f t="shared" si="12"/>
        <v>Michigan2023</v>
      </c>
      <c r="H793">
        <f>+INDEX(Sheet1!C:C, MATCH(Hoja1!G793, Sheet1!D:D, 0))</f>
        <v>673818.1</v>
      </c>
      <c r="I793">
        <f>+INDEX(Sheet1!G:G, MATCH(Hoja1!G793, Sheet1!I:I, 0))</f>
        <v>109732</v>
      </c>
      <c r="J793" s="2">
        <f>+INDEX(Sheet1!H:H, MATCH(Hoja1!G793, Sheet1!I:I, 0))</f>
        <v>1.9378332683053712E-2</v>
      </c>
      <c r="K793" s="2">
        <f>+INDEX(Sheet1!L:L, MATCH(Hoja1!G793,Sheet1!M:M, 0))</f>
        <v>12.1</v>
      </c>
    </row>
    <row r="794" spans="1:11" ht="16" x14ac:dyDescent="0.25">
      <c r="A794" t="s">
        <v>677</v>
      </c>
      <c r="B794">
        <v>1</v>
      </c>
      <c r="C794">
        <v>2021</v>
      </c>
      <c r="D794" t="s">
        <v>678</v>
      </c>
      <c r="E794">
        <v>4.4000000000000004</v>
      </c>
      <c r="F794">
        <v>5717968</v>
      </c>
      <c r="G794" s="1" t="str">
        <f t="shared" si="12"/>
        <v>Minnesota2021</v>
      </c>
      <c r="H794">
        <f>+INDEX(Sheet1!C:C, MATCH(Hoja1!G794, Sheet1!D:D, 0))</f>
        <v>416538.7</v>
      </c>
      <c r="I794">
        <f>+INDEX(Sheet1!G:G, MATCH(Hoja1!G794, Sheet1!I:I, 0))</f>
        <v>106547</v>
      </c>
      <c r="J794" s="2">
        <f>+INDEX(Sheet1!H:H, MATCH(Hoja1!G794, Sheet1!I:I, 0))</f>
        <v>5.7265618798126541E-2</v>
      </c>
      <c r="K794" s="2">
        <f>+INDEX(Sheet1!L:L, MATCH(Hoja1!G794,Sheet1!M:M, 0))</f>
        <v>6.9</v>
      </c>
    </row>
    <row r="795" spans="1:11" ht="16" x14ac:dyDescent="0.25">
      <c r="A795" t="s">
        <v>677</v>
      </c>
      <c r="B795">
        <v>2</v>
      </c>
      <c r="C795">
        <v>2021</v>
      </c>
      <c r="D795" t="s">
        <v>679</v>
      </c>
      <c r="E795">
        <v>4.2</v>
      </c>
      <c r="F795">
        <v>5717968</v>
      </c>
      <c r="G795" s="1" t="str">
        <f t="shared" si="12"/>
        <v>Minnesota2021</v>
      </c>
      <c r="H795">
        <f>+INDEX(Sheet1!C:C, MATCH(Hoja1!G795, Sheet1!D:D, 0))</f>
        <v>416538.7</v>
      </c>
      <c r="I795">
        <f>+INDEX(Sheet1!G:G, MATCH(Hoja1!G795, Sheet1!I:I, 0))</f>
        <v>106547</v>
      </c>
      <c r="J795" s="2">
        <f>+INDEX(Sheet1!H:H, MATCH(Hoja1!G795, Sheet1!I:I, 0))</f>
        <v>5.7265618798126541E-2</v>
      </c>
      <c r="K795" s="2">
        <f>+INDEX(Sheet1!L:L, MATCH(Hoja1!G795,Sheet1!M:M, 0))</f>
        <v>6.9</v>
      </c>
    </row>
    <row r="796" spans="1:11" ht="16" x14ac:dyDescent="0.25">
      <c r="A796" t="s">
        <v>677</v>
      </c>
      <c r="B796">
        <v>3</v>
      </c>
      <c r="C796">
        <v>2021</v>
      </c>
      <c r="D796" t="s">
        <v>680</v>
      </c>
      <c r="E796">
        <v>4.0999999999999996</v>
      </c>
      <c r="F796">
        <v>5717968</v>
      </c>
      <c r="G796" s="1" t="str">
        <f t="shared" si="12"/>
        <v>Minnesota2021</v>
      </c>
      <c r="H796">
        <f>+INDEX(Sheet1!C:C, MATCH(Hoja1!G796, Sheet1!D:D, 0))</f>
        <v>416538.7</v>
      </c>
      <c r="I796">
        <f>+INDEX(Sheet1!G:G, MATCH(Hoja1!G796, Sheet1!I:I, 0))</f>
        <v>106547</v>
      </c>
      <c r="J796" s="2">
        <f>+INDEX(Sheet1!H:H, MATCH(Hoja1!G796, Sheet1!I:I, 0))</f>
        <v>5.7265618798126541E-2</v>
      </c>
      <c r="K796" s="2">
        <f>+INDEX(Sheet1!L:L, MATCH(Hoja1!G796,Sheet1!M:M, 0))</f>
        <v>6.9</v>
      </c>
    </row>
    <row r="797" spans="1:11" ht="16" x14ac:dyDescent="0.25">
      <c r="A797" t="s">
        <v>677</v>
      </c>
      <c r="B797">
        <v>4</v>
      </c>
      <c r="C797">
        <v>2021</v>
      </c>
      <c r="D797" t="s">
        <v>681</v>
      </c>
      <c r="E797">
        <v>4</v>
      </c>
      <c r="F797">
        <v>5717968</v>
      </c>
      <c r="G797" s="1" t="str">
        <f t="shared" si="12"/>
        <v>Minnesota2021</v>
      </c>
      <c r="H797">
        <f>+INDEX(Sheet1!C:C, MATCH(Hoja1!G797, Sheet1!D:D, 0))</f>
        <v>416538.7</v>
      </c>
      <c r="I797">
        <f>+INDEX(Sheet1!G:G, MATCH(Hoja1!G797, Sheet1!I:I, 0))</f>
        <v>106547</v>
      </c>
      <c r="J797" s="2">
        <f>+INDEX(Sheet1!H:H, MATCH(Hoja1!G797, Sheet1!I:I, 0))</f>
        <v>5.7265618798126541E-2</v>
      </c>
      <c r="K797" s="2">
        <f>+INDEX(Sheet1!L:L, MATCH(Hoja1!G797,Sheet1!M:M, 0))</f>
        <v>6.9</v>
      </c>
    </row>
    <row r="798" spans="1:11" ht="16" x14ac:dyDescent="0.25">
      <c r="A798" t="s">
        <v>677</v>
      </c>
      <c r="B798">
        <v>5</v>
      </c>
      <c r="C798">
        <v>2021</v>
      </c>
      <c r="D798" t="s">
        <v>682</v>
      </c>
      <c r="E798">
        <v>3.9</v>
      </c>
      <c r="F798">
        <v>5717968</v>
      </c>
      <c r="G798" s="1" t="str">
        <f t="shared" si="12"/>
        <v>Minnesota2021</v>
      </c>
      <c r="H798">
        <f>+INDEX(Sheet1!C:C, MATCH(Hoja1!G798, Sheet1!D:D, 0))</f>
        <v>416538.7</v>
      </c>
      <c r="I798">
        <f>+INDEX(Sheet1!G:G, MATCH(Hoja1!G798, Sheet1!I:I, 0))</f>
        <v>106547</v>
      </c>
      <c r="J798" s="2">
        <f>+INDEX(Sheet1!H:H, MATCH(Hoja1!G798, Sheet1!I:I, 0))</f>
        <v>5.7265618798126541E-2</v>
      </c>
      <c r="K798" s="2">
        <f>+INDEX(Sheet1!L:L, MATCH(Hoja1!G798,Sheet1!M:M, 0))</f>
        <v>6.9</v>
      </c>
    </row>
    <row r="799" spans="1:11" ht="16" x14ac:dyDescent="0.25">
      <c r="A799" t="s">
        <v>677</v>
      </c>
      <c r="B799">
        <v>6</v>
      </c>
      <c r="C799">
        <v>2021</v>
      </c>
      <c r="D799" t="s">
        <v>683</v>
      </c>
      <c r="E799">
        <v>3.8</v>
      </c>
      <c r="F799">
        <v>5717968</v>
      </c>
      <c r="G799" s="1" t="str">
        <f t="shared" si="12"/>
        <v>Minnesota2021</v>
      </c>
      <c r="H799">
        <f>+INDEX(Sheet1!C:C, MATCH(Hoja1!G799, Sheet1!D:D, 0))</f>
        <v>416538.7</v>
      </c>
      <c r="I799">
        <f>+INDEX(Sheet1!G:G, MATCH(Hoja1!G799, Sheet1!I:I, 0))</f>
        <v>106547</v>
      </c>
      <c r="J799" s="2">
        <f>+INDEX(Sheet1!H:H, MATCH(Hoja1!G799, Sheet1!I:I, 0))</f>
        <v>5.7265618798126541E-2</v>
      </c>
      <c r="K799" s="2">
        <f>+INDEX(Sheet1!L:L, MATCH(Hoja1!G799,Sheet1!M:M, 0))</f>
        <v>6.9</v>
      </c>
    </row>
    <row r="800" spans="1:11" ht="16" x14ac:dyDescent="0.25">
      <c r="A800" t="s">
        <v>677</v>
      </c>
      <c r="B800">
        <v>7</v>
      </c>
      <c r="C800">
        <v>2021</v>
      </c>
      <c r="D800" t="s">
        <v>34</v>
      </c>
      <c r="E800">
        <v>3.7</v>
      </c>
      <c r="F800">
        <v>5717968</v>
      </c>
      <c r="G800" s="1" t="str">
        <f t="shared" si="12"/>
        <v>Minnesota2021</v>
      </c>
      <c r="H800">
        <f>+INDEX(Sheet1!C:C, MATCH(Hoja1!G800, Sheet1!D:D, 0))</f>
        <v>416538.7</v>
      </c>
      <c r="I800">
        <f>+INDEX(Sheet1!G:G, MATCH(Hoja1!G800, Sheet1!I:I, 0))</f>
        <v>106547</v>
      </c>
      <c r="J800" s="2">
        <f>+INDEX(Sheet1!H:H, MATCH(Hoja1!G800, Sheet1!I:I, 0))</f>
        <v>5.7265618798126541E-2</v>
      </c>
      <c r="K800" s="2">
        <f>+INDEX(Sheet1!L:L, MATCH(Hoja1!G800,Sheet1!M:M, 0))</f>
        <v>6.9</v>
      </c>
    </row>
    <row r="801" spans="1:11" ht="16" x14ac:dyDescent="0.25">
      <c r="A801" t="s">
        <v>677</v>
      </c>
      <c r="B801">
        <v>8</v>
      </c>
      <c r="C801">
        <v>2021</v>
      </c>
      <c r="D801" t="s">
        <v>684</v>
      </c>
      <c r="E801">
        <v>3.6</v>
      </c>
      <c r="F801">
        <v>5717968</v>
      </c>
      <c r="G801" s="1" t="str">
        <f t="shared" si="12"/>
        <v>Minnesota2021</v>
      </c>
      <c r="H801">
        <f>+INDEX(Sheet1!C:C, MATCH(Hoja1!G801, Sheet1!D:D, 0))</f>
        <v>416538.7</v>
      </c>
      <c r="I801">
        <f>+INDEX(Sheet1!G:G, MATCH(Hoja1!G801, Sheet1!I:I, 0))</f>
        <v>106547</v>
      </c>
      <c r="J801" s="2">
        <f>+INDEX(Sheet1!H:H, MATCH(Hoja1!G801, Sheet1!I:I, 0))</f>
        <v>5.7265618798126541E-2</v>
      </c>
      <c r="K801" s="2">
        <f>+INDEX(Sheet1!L:L, MATCH(Hoja1!G801,Sheet1!M:M, 0))</f>
        <v>6.9</v>
      </c>
    </row>
    <row r="802" spans="1:11" ht="16" x14ac:dyDescent="0.25">
      <c r="A802" t="s">
        <v>677</v>
      </c>
      <c r="B802">
        <v>9</v>
      </c>
      <c r="C802">
        <v>2021</v>
      </c>
      <c r="D802" t="s">
        <v>685</v>
      </c>
      <c r="E802">
        <v>3.4</v>
      </c>
      <c r="F802">
        <v>5717968</v>
      </c>
      <c r="G802" s="1" t="str">
        <f t="shared" si="12"/>
        <v>Minnesota2021</v>
      </c>
      <c r="H802">
        <f>+INDEX(Sheet1!C:C, MATCH(Hoja1!G802, Sheet1!D:D, 0))</f>
        <v>416538.7</v>
      </c>
      <c r="I802">
        <f>+INDEX(Sheet1!G:G, MATCH(Hoja1!G802, Sheet1!I:I, 0))</f>
        <v>106547</v>
      </c>
      <c r="J802" s="2">
        <f>+INDEX(Sheet1!H:H, MATCH(Hoja1!G802, Sheet1!I:I, 0))</f>
        <v>5.7265618798126541E-2</v>
      </c>
      <c r="K802" s="2">
        <f>+INDEX(Sheet1!L:L, MATCH(Hoja1!G802,Sheet1!M:M, 0))</f>
        <v>6.9</v>
      </c>
    </row>
    <row r="803" spans="1:11" ht="16" x14ac:dyDescent="0.25">
      <c r="A803" t="s">
        <v>677</v>
      </c>
      <c r="B803">
        <v>10</v>
      </c>
      <c r="C803">
        <v>2021</v>
      </c>
      <c r="D803" t="s">
        <v>686</v>
      </c>
      <c r="E803">
        <v>3.3</v>
      </c>
      <c r="F803">
        <v>5717968</v>
      </c>
      <c r="G803" s="1" t="str">
        <f t="shared" si="12"/>
        <v>Minnesota2021</v>
      </c>
      <c r="H803">
        <f>+INDEX(Sheet1!C:C, MATCH(Hoja1!G803, Sheet1!D:D, 0))</f>
        <v>416538.7</v>
      </c>
      <c r="I803">
        <f>+INDEX(Sheet1!G:G, MATCH(Hoja1!G803, Sheet1!I:I, 0))</f>
        <v>106547</v>
      </c>
      <c r="J803" s="2">
        <f>+INDEX(Sheet1!H:H, MATCH(Hoja1!G803, Sheet1!I:I, 0))</f>
        <v>5.7265618798126541E-2</v>
      </c>
      <c r="K803" s="2">
        <f>+INDEX(Sheet1!L:L, MATCH(Hoja1!G803,Sheet1!M:M, 0))</f>
        <v>6.9</v>
      </c>
    </row>
    <row r="804" spans="1:11" ht="16" x14ac:dyDescent="0.25">
      <c r="A804" t="s">
        <v>677</v>
      </c>
      <c r="B804">
        <v>11</v>
      </c>
      <c r="C804">
        <v>2021</v>
      </c>
      <c r="D804" t="s">
        <v>687</v>
      </c>
      <c r="E804">
        <v>3.1</v>
      </c>
      <c r="F804">
        <v>5717968</v>
      </c>
      <c r="G804" s="1" t="str">
        <f t="shared" si="12"/>
        <v>Minnesota2021</v>
      </c>
      <c r="H804">
        <f>+INDEX(Sheet1!C:C, MATCH(Hoja1!G804, Sheet1!D:D, 0))</f>
        <v>416538.7</v>
      </c>
      <c r="I804">
        <f>+INDEX(Sheet1!G:G, MATCH(Hoja1!G804, Sheet1!I:I, 0))</f>
        <v>106547</v>
      </c>
      <c r="J804" s="2">
        <f>+INDEX(Sheet1!H:H, MATCH(Hoja1!G804, Sheet1!I:I, 0))</f>
        <v>5.7265618798126541E-2</v>
      </c>
      <c r="K804" s="2">
        <f>+INDEX(Sheet1!L:L, MATCH(Hoja1!G804,Sheet1!M:M, 0))</f>
        <v>6.9</v>
      </c>
    </row>
    <row r="805" spans="1:11" ht="16" x14ac:dyDescent="0.25">
      <c r="A805" t="s">
        <v>677</v>
      </c>
      <c r="B805">
        <v>12</v>
      </c>
      <c r="C805">
        <v>2021</v>
      </c>
      <c r="D805" t="s">
        <v>613</v>
      </c>
      <c r="E805">
        <v>2.9</v>
      </c>
      <c r="F805">
        <v>5717968</v>
      </c>
      <c r="G805" s="1" t="str">
        <f t="shared" si="12"/>
        <v>Minnesota2021</v>
      </c>
      <c r="H805">
        <f>+INDEX(Sheet1!C:C, MATCH(Hoja1!G805, Sheet1!D:D, 0))</f>
        <v>416538.7</v>
      </c>
      <c r="I805">
        <f>+INDEX(Sheet1!G:G, MATCH(Hoja1!G805, Sheet1!I:I, 0))</f>
        <v>106547</v>
      </c>
      <c r="J805" s="2">
        <f>+INDEX(Sheet1!H:H, MATCH(Hoja1!G805, Sheet1!I:I, 0))</f>
        <v>5.7265618798126541E-2</v>
      </c>
      <c r="K805" s="2">
        <f>+INDEX(Sheet1!L:L, MATCH(Hoja1!G805,Sheet1!M:M, 0))</f>
        <v>6.9</v>
      </c>
    </row>
    <row r="806" spans="1:11" ht="16" x14ac:dyDescent="0.25">
      <c r="A806" t="s">
        <v>677</v>
      </c>
      <c r="B806">
        <v>1</v>
      </c>
      <c r="C806">
        <v>2022</v>
      </c>
      <c r="D806" t="s">
        <v>613</v>
      </c>
      <c r="E806">
        <v>2.7</v>
      </c>
      <c r="F806">
        <v>5714300</v>
      </c>
      <c r="G806" s="1" t="str">
        <f t="shared" si="12"/>
        <v>Minnesota2022</v>
      </c>
      <c r="H806">
        <f>+INDEX(Sheet1!C:C, MATCH(Hoja1!G806, Sheet1!D:D, 0))</f>
        <v>454992.8</v>
      </c>
      <c r="I806">
        <f>+INDEX(Sheet1!G:G, MATCH(Hoja1!G806, Sheet1!I:I, 0))</f>
        <v>108459</v>
      </c>
      <c r="J806" s="2">
        <f>+INDEX(Sheet1!H:H, MATCH(Hoja1!G806, Sheet1!I:I, 0))</f>
        <v>1.7945132195181471E-2</v>
      </c>
      <c r="K806" s="2">
        <f>+INDEX(Sheet1!L:L, MATCH(Hoja1!G806,Sheet1!M:M, 0))</f>
        <v>7.6</v>
      </c>
    </row>
    <row r="807" spans="1:11" ht="16" x14ac:dyDescent="0.25">
      <c r="A807" t="s">
        <v>677</v>
      </c>
      <c r="B807">
        <v>2</v>
      </c>
      <c r="C807">
        <v>2022</v>
      </c>
      <c r="D807" t="s">
        <v>688</v>
      </c>
      <c r="E807">
        <v>2.5</v>
      </c>
      <c r="F807">
        <v>5714300</v>
      </c>
      <c r="G807" s="1" t="str">
        <f t="shared" si="12"/>
        <v>Minnesota2022</v>
      </c>
      <c r="H807">
        <f>+INDEX(Sheet1!C:C, MATCH(Hoja1!G807, Sheet1!D:D, 0))</f>
        <v>454992.8</v>
      </c>
      <c r="I807">
        <f>+INDEX(Sheet1!G:G, MATCH(Hoja1!G807, Sheet1!I:I, 0))</f>
        <v>108459</v>
      </c>
      <c r="J807" s="2">
        <f>+INDEX(Sheet1!H:H, MATCH(Hoja1!G807, Sheet1!I:I, 0))</f>
        <v>1.7945132195181471E-2</v>
      </c>
      <c r="K807" s="2">
        <f>+INDEX(Sheet1!L:L, MATCH(Hoja1!G807,Sheet1!M:M, 0))</f>
        <v>7.6</v>
      </c>
    </row>
    <row r="808" spans="1:11" ht="16" x14ac:dyDescent="0.25">
      <c r="A808" t="s">
        <v>677</v>
      </c>
      <c r="B808">
        <v>3</v>
      </c>
      <c r="C808">
        <v>2022</v>
      </c>
      <c r="D808" t="s">
        <v>504</v>
      </c>
      <c r="E808">
        <v>2.4</v>
      </c>
      <c r="F808">
        <v>5714300</v>
      </c>
      <c r="G808" s="1" t="str">
        <f t="shared" si="12"/>
        <v>Minnesota2022</v>
      </c>
      <c r="H808">
        <f>+INDEX(Sheet1!C:C, MATCH(Hoja1!G808, Sheet1!D:D, 0))</f>
        <v>454992.8</v>
      </c>
      <c r="I808">
        <f>+INDEX(Sheet1!G:G, MATCH(Hoja1!G808, Sheet1!I:I, 0))</f>
        <v>108459</v>
      </c>
      <c r="J808" s="2">
        <f>+INDEX(Sheet1!H:H, MATCH(Hoja1!G808, Sheet1!I:I, 0))</f>
        <v>1.7945132195181471E-2</v>
      </c>
      <c r="K808" s="2">
        <f>+INDEX(Sheet1!L:L, MATCH(Hoja1!G808,Sheet1!M:M, 0))</f>
        <v>7.6</v>
      </c>
    </row>
    <row r="809" spans="1:11" ht="16" x14ac:dyDescent="0.25">
      <c r="A809" t="s">
        <v>677</v>
      </c>
      <c r="B809">
        <v>4</v>
      </c>
      <c r="C809">
        <v>2022</v>
      </c>
      <c r="D809" t="s">
        <v>689</v>
      </c>
      <c r="E809">
        <v>2.2999999999999998</v>
      </c>
      <c r="F809">
        <v>5714300</v>
      </c>
      <c r="G809" s="1" t="str">
        <f t="shared" si="12"/>
        <v>Minnesota2022</v>
      </c>
      <c r="H809">
        <f>+INDEX(Sheet1!C:C, MATCH(Hoja1!G809, Sheet1!D:D, 0))</f>
        <v>454992.8</v>
      </c>
      <c r="I809">
        <f>+INDEX(Sheet1!G:G, MATCH(Hoja1!G809, Sheet1!I:I, 0))</f>
        <v>108459</v>
      </c>
      <c r="J809" s="2">
        <f>+INDEX(Sheet1!H:H, MATCH(Hoja1!G809, Sheet1!I:I, 0))</f>
        <v>1.7945132195181471E-2</v>
      </c>
      <c r="K809" s="2">
        <f>+INDEX(Sheet1!L:L, MATCH(Hoja1!G809,Sheet1!M:M, 0))</f>
        <v>7.6</v>
      </c>
    </row>
    <row r="810" spans="1:11" ht="16" x14ac:dyDescent="0.25">
      <c r="A810" t="s">
        <v>677</v>
      </c>
      <c r="B810">
        <v>5</v>
      </c>
      <c r="C810">
        <v>2022</v>
      </c>
      <c r="D810" t="s">
        <v>690</v>
      </c>
      <c r="E810">
        <v>2.2999999999999998</v>
      </c>
      <c r="F810">
        <v>5714300</v>
      </c>
      <c r="G810" s="1" t="str">
        <f t="shared" si="12"/>
        <v>Minnesota2022</v>
      </c>
      <c r="H810">
        <f>+INDEX(Sheet1!C:C, MATCH(Hoja1!G810, Sheet1!D:D, 0))</f>
        <v>454992.8</v>
      </c>
      <c r="I810">
        <f>+INDEX(Sheet1!G:G, MATCH(Hoja1!G810, Sheet1!I:I, 0))</f>
        <v>108459</v>
      </c>
      <c r="J810" s="2">
        <f>+INDEX(Sheet1!H:H, MATCH(Hoja1!G810, Sheet1!I:I, 0))</f>
        <v>1.7945132195181471E-2</v>
      </c>
      <c r="K810" s="2">
        <f>+INDEX(Sheet1!L:L, MATCH(Hoja1!G810,Sheet1!M:M, 0))</f>
        <v>7.6</v>
      </c>
    </row>
    <row r="811" spans="1:11" ht="16" x14ac:dyDescent="0.25">
      <c r="A811" t="s">
        <v>677</v>
      </c>
      <c r="B811">
        <v>6</v>
      </c>
      <c r="C811">
        <v>2022</v>
      </c>
      <c r="D811" t="s">
        <v>691</v>
      </c>
      <c r="E811">
        <v>2.2999999999999998</v>
      </c>
      <c r="F811">
        <v>5714300</v>
      </c>
      <c r="G811" s="1" t="str">
        <f t="shared" si="12"/>
        <v>Minnesota2022</v>
      </c>
      <c r="H811">
        <f>+INDEX(Sheet1!C:C, MATCH(Hoja1!G811, Sheet1!D:D, 0))</f>
        <v>454992.8</v>
      </c>
      <c r="I811">
        <f>+INDEX(Sheet1!G:G, MATCH(Hoja1!G811, Sheet1!I:I, 0))</f>
        <v>108459</v>
      </c>
      <c r="J811" s="2">
        <f>+INDEX(Sheet1!H:H, MATCH(Hoja1!G811, Sheet1!I:I, 0))</f>
        <v>1.7945132195181471E-2</v>
      </c>
      <c r="K811" s="2">
        <f>+INDEX(Sheet1!L:L, MATCH(Hoja1!G811,Sheet1!M:M, 0))</f>
        <v>7.6</v>
      </c>
    </row>
    <row r="812" spans="1:11" ht="16" x14ac:dyDescent="0.25">
      <c r="A812" t="s">
        <v>677</v>
      </c>
      <c r="B812">
        <v>7</v>
      </c>
      <c r="C812">
        <v>2022</v>
      </c>
      <c r="D812" t="s">
        <v>28</v>
      </c>
      <c r="E812">
        <v>2.4</v>
      </c>
      <c r="F812">
        <v>5714300</v>
      </c>
      <c r="G812" s="1" t="str">
        <f t="shared" si="12"/>
        <v>Minnesota2022</v>
      </c>
      <c r="H812">
        <f>+INDEX(Sheet1!C:C, MATCH(Hoja1!G812, Sheet1!D:D, 0))</f>
        <v>454992.8</v>
      </c>
      <c r="I812">
        <f>+INDEX(Sheet1!G:G, MATCH(Hoja1!G812, Sheet1!I:I, 0))</f>
        <v>108459</v>
      </c>
      <c r="J812" s="2">
        <f>+INDEX(Sheet1!H:H, MATCH(Hoja1!G812, Sheet1!I:I, 0))</f>
        <v>1.7945132195181471E-2</v>
      </c>
      <c r="K812" s="2">
        <f>+INDEX(Sheet1!L:L, MATCH(Hoja1!G812,Sheet1!M:M, 0))</f>
        <v>7.6</v>
      </c>
    </row>
    <row r="813" spans="1:11" ht="16" x14ac:dyDescent="0.25">
      <c r="A813" t="s">
        <v>677</v>
      </c>
      <c r="B813">
        <v>8</v>
      </c>
      <c r="C813">
        <v>2022</v>
      </c>
      <c r="D813" t="s">
        <v>692</v>
      </c>
      <c r="E813">
        <v>2.5</v>
      </c>
      <c r="F813">
        <v>5714300</v>
      </c>
      <c r="G813" s="1" t="str">
        <f t="shared" si="12"/>
        <v>Minnesota2022</v>
      </c>
      <c r="H813">
        <f>+INDEX(Sheet1!C:C, MATCH(Hoja1!G813, Sheet1!D:D, 0))</f>
        <v>454992.8</v>
      </c>
      <c r="I813">
        <f>+INDEX(Sheet1!G:G, MATCH(Hoja1!G813, Sheet1!I:I, 0))</f>
        <v>108459</v>
      </c>
      <c r="J813" s="2">
        <f>+INDEX(Sheet1!H:H, MATCH(Hoja1!G813, Sheet1!I:I, 0))</f>
        <v>1.7945132195181471E-2</v>
      </c>
      <c r="K813" s="2">
        <f>+INDEX(Sheet1!L:L, MATCH(Hoja1!G813,Sheet1!M:M, 0))</f>
        <v>7.6</v>
      </c>
    </row>
    <row r="814" spans="1:11" ht="16" x14ac:dyDescent="0.25">
      <c r="A814" t="s">
        <v>677</v>
      </c>
      <c r="B814">
        <v>9</v>
      </c>
      <c r="C814">
        <v>2022</v>
      </c>
      <c r="D814" t="s">
        <v>693</v>
      </c>
      <c r="E814">
        <v>2.7</v>
      </c>
      <c r="F814">
        <v>5714300</v>
      </c>
      <c r="G814" s="1" t="str">
        <f t="shared" si="12"/>
        <v>Minnesota2022</v>
      </c>
      <c r="H814">
        <f>+INDEX(Sheet1!C:C, MATCH(Hoja1!G814, Sheet1!D:D, 0))</f>
        <v>454992.8</v>
      </c>
      <c r="I814">
        <f>+INDEX(Sheet1!G:G, MATCH(Hoja1!G814, Sheet1!I:I, 0))</f>
        <v>108459</v>
      </c>
      <c r="J814" s="2">
        <f>+INDEX(Sheet1!H:H, MATCH(Hoja1!G814, Sheet1!I:I, 0))</f>
        <v>1.7945132195181471E-2</v>
      </c>
      <c r="K814" s="2">
        <f>+INDEX(Sheet1!L:L, MATCH(Hoja1!G814,Sheet1!M:M, 0))</f>
        <v>7.6</v>
      </c>
    </row>
    <row r="815" spans="1:11" ht="16" x14ac:dyDescent="0.25">
      <c r="A815" t="s">
        <v>677</v>
      </c>
      <c r="B815">
        <v>10</v>
      </c>
      <c r="C815">
        <v>2022</v>
      </c>
      <c r="D815" t="s">
        <v>694</v>
      </c>
      <c r="E815">
        <v>2.7</v>
      </c>
      <c r="F815">
        <v>5714300</v>
      </c>
      <c r="G815" s="1" t="str">
        <f t="shared" si="12"/>
        <v>Minnesota2022</v>
      </c>
      <c r="H815">
        <f>+INDEX(Sheet1!C:C, MATCH(Hoja1!G815, Sheet1!D:D, 0))</f>
        <v>454992.8</v>
      </c>
      <c r="I815">
        <f>+INDEX(Sheet1!G:G, MATCH(Hoja1!G815, Sheet1!I:I, 0))</f>
        <v>108459</v>
      </c>
      <c r="J815" s="2">
        <f>+INDEX(Sheet1!H:H, MATCH(Hoja1!G815, Sheet1!I:I, 0))</f>
        <v>1.7945132195181471E-2</v>
      </c>
      <c r="K815" s="2">
        <f>+INDEX(Sheet1!L:L, MATCH(Hoja1!G815,Sheet1!M:M, 0))</f>
        <v>7.6</v>
      </c>
    </row>
    <row r="816" spans="1:11" ht="16" x14ac:dyDescent="0.25">
      <c r="A816" t="s">
        <v>677</v>
      </c>
      <c r="B816">
        <v>11</v>
      </c>
      <c r="C816">
        <v>2022</v>
      </c>
      <c r="D816" t="s">
        <v>695</v>
      </c>
      <c r="E816">
        <v>2.8</v>
      </c>
      <c r="F816">
        <v>5714300</v>
      </c>
      <c r="G816" s="1" t="str">
        <f t="shared" si="12"/>
        <v>Minnesota2022</v>
      </c>
      <c r="H816">
        <f>+INDEX(Sheet1!C:C, MATCH(Hoja1!G816, Sheet1!D:D, 0))</f>
        <v>454992.8</v>
      </c>
      <c r="I816">
        <f>+INDEX(Sheet1!G:G, MATCH(Hoja1!G816, Sheet1!I:I, 0))</f>
        <v>108459</v>
      </c>
      <c r="J816" s="2">
        <f>+INDEX(Sheet1!H:H, MATCH(Hoja1!G816, Sheet1!I:I, 0))</f>
        <v>1.7945132195181471E-2</v>
      </c>
      <c r="K816" s="2">
        <f>+INDEX(Sheet1!L:L, MATCH(Hoja1!G816,Sheet1!M:M, 0))</f>
        <v>7.6</v>
      </c>
    </row>
    <row r="817" spans="1:11" ht="16" x14ac:dyDescent="0.25">
      <c r="A817" t="s">
        <v>677</v>
      </c>
      <c r="B817">
        <v>12</v>
      </c>
      <c r="C817">
        <v>2022</v>
      </c>
      <c r="D817" t="s">
        <v>696</v>
      </c>
      <c r="E817">
        <v>2.8</v>
      </c>
      <c r="F817">
        <v>5714300</v>
      </c>
      <c r="G817" s="1" t="str">
        <f t="shared" si="12"/>
        <v>Minnesota2022</v>
      </c>
      <c r="H817">
        <f>+INDEX(Sheet1!C:C, MATCH(Hoja1!G817, Sheet1!D:D, 0))</f>
        <v>454992.8</v>
      </c>
      <c r="I817">
        <f>+INDEX(Sheet1!G:G, MATCH(Hoja1!G817, Sheet1!I:I, 0))</f>
        <v>108459</v>
      </c>
      <c r="J817" s="2">
        <f>+INDEX(Sheet1!H:H, MATCH(Hoja1!G817, Sheet1!I:I, 0))</f>
        <v>1.7945132195181471E-2</v>
      </c>
      <c r="K817" s="2">
        <f>+INDEX(Sheet1!L:L, MATCH(Hoja1!G817,Sheet1!M:M, 0))</f>
        <v>7.6</v>
      </c>
    </row>
    <row r="818" spans="1:11" ht="16" x14ac:dyDescent="0.25">
      <c r="A818" t="s">
        <v>677</v>
      </c>
      <c r="B818">
        <v>1</v>
      </c>
      <c r="C818">
        <v>2023</v>
      </c>
      <c r="D818" t="s">
        <v>697</v>
      </c>
      <c r="E818">
        <v>2.8</v>
      </c>
      <c r="F818">
        <v>5737915</v>
      </c>
      <c r="G818" s="1" t="str">
        <f t="shared" si="12"/>
        <v>Minnesota2023</v>
      </c>
      <c r="H818">
        <f>+INDEX(Sheet1!C:C, MATCH(Hoja1!G818, Sheet1!D:D, 0))</f>
        <v>483162.1</v>
      </c>
      <c r="I818">
        <f>+INDEX(Sheet1!G:G, MATCH(Hoja1!G818, Sheet1!I:I, 0))</f>
        <v>110201</v>
      </c>
      <c r="J818" s="2">
        <f>+INDEX(Sheet1!H:H, MATCH(Hoja1!G818, Sheet1!I:I, 0))</f>
        <v>1.6061368812177873E-2</v>
      </c>
      <c r="K818" s="2">
        <f>+INDEX(Sheet1!L:L, MATCH(Hoja1!G818,Sheet1!M:M, 0))</f>
        <v>7.2</v>
      </c>
    </row>
    <row r="819" spans="1:11" ht="16" x14ac:dyDescent="0.25">
      <c r="A819" t="s">
        <v>677</v>
      </c>
      <c r="B819">
        <v>2</v>
      </c>
      <c r="C819">
        <v>2023</v>
      </c>
      <c r="D819" t="s">
        <v>195</v>
      </c>
      <c r="E819">
        <v>2.8</v>
      </c>
      <c r="F819">
        <v>5737915</v>
      </c>
      <c r="G819" s="1" t="str">
        <f t="shared" si="12"/>
        <v>Minnesota2023</v>
      </c>
      <c r="H819">
        <f>+INDEX(Sheet1!C:C, MATCH(Hoja1!G819, Sheet1!D:D, 0))</f>
        <v>483162.1</v>
      </c>
      <c r="I819">
        <f>+INDEX(Sheet1!G:G, MATCH(Hoja1!G819, Sheet1!I:I, 0))</f>
        <v>110201</v>
      </c>
      <c r="J819" s="2">
        <f>+INDEX(Sheet1!H:H, MATCH(Hoja1!G819, Sheet1!I:I, 0))</f>
        <v>1.6061368812177873E-2</v>
      </c>
      <c r="K819" s="2">
        <f>+INDEX(Sheet1!L:L, MATCH(Hoja1!G819,Sheet1!M:M, 0))</f>
        <v>7.2</v>
      </c>
    </row>
    <row r="820" spans="1:11" ht="16" x14ac:dyDescent="0.25">
      <c r="A820" t="s">
        <v>677</v>
      </c>
      <c r="B820">
        <v>3</v>
      </c>
      <c r="C820">
        <v>2023</v>
      </c>
      <c r="D820" t="s">
        <v>568</v>
      </c>
      <c r="E820">
        <v>2.8</v>
      </c>
      <c r="F820">
        <v>5737915</v>
      </c>
      <c r="G820" s="1" t="str">
        <f t="shared" si="12"/>
        <v>Minnesota2023</v>
      </c>
      <c r="H820">
        <f>+INDEX(Sheet1!C:C, MATCH(Hoja1!G820, Sheet1!D:D, 0))</f>
        <v>483162.1</v>
      </c>
      <c r="I820">
        <f>+INDEX(Sheet1!G:G, MATCH(Hoja1!G820, Sheet1!I:I, 0))</f>
        <v>110201</v>
      </c>
      <c r="J820" s="2">
        <f>+INDEX(Sheet1!H:H, MATCH(Hoja1!G820, Sheet1!I:I, 0))</f>
        <v>1.6061368812177873E-2</v>
      </c>
      <c r="K820" s="2">
        <f>+INDEX(Sheet1!L:L, MATCH(Hoja1!G820,Sheet1!M:M, 0))</f>
        <v>7.2</v>
      </c>
    </row>
    <row r="821" spans="1:11" ht="16" x14ac:dyDescent="0.25">
      <c r="A821" t="s">
        <v>677</v>
      </c>
      <c r="B821">
        <v>4</v>
      </c>
      <c r="C821">
        <v>2023</v>
      </c>
      <c r="D821" t="s">
        <v>698</v>
      </c>
      <c r="E821">
        <v>2.8</v>
      </c>
      <c r="F821">
        <v>5737915</v>
      </c>
      <c r="G821" s="1" t="str">
        <f t="shared" si="12"/>
        <v>Minnesota2023</v>
      </c>
      <c r="H821">
        <f>+INDEX(Sheet1!C:C, MATCH(Hoja1!G821, Sheet1!D:D, 0))</f>
        <v>483162.1</v>
      </c>
      <c r="I821">
        <f>+INDEX(Sheet1!G:G, MATCH(Hoja1!G821, Sheet1!I:I, 0))</f>
        <v>110201</v>
      </c>
      <c r="J821" s="2">
        <f>+INDEX(Sheet1!H:H, MATCH(Hoja1!G821, Sheet1!I:I, 0))</f>
        <v>1.6061368812177873E-2</v>
      </c>
      <c r="K821" s="2">
        <f>+INDEX(Sheet1!L:L, MATCH(Hoja1!G821,Sheet1!M:M, 0))</f>
        <v>7.2</v>
      </c>
    </row>
    <row r="822" spans="1:11" ht="16" x14ac:dyDescent="0.25">
      <c r="A822" t="s">
        <v>677</v>
      </c>
      <c r="B822">
        <v>5</v>
      </c>
      <c r="C822">
        <v>2023</v>
      </c>
      <c r="D822" t="s">
        <v>699</v>
      </c>
      <c r="E822">
        <v>2.9</v>
      </c>
      <c r="F822">
        <v>5737915</v>
      </c>
      <c r="G822" s="1" t="str">
        <f t="shared" si="12"/>
        <v>Minnesota2023</v>
      </c>
      <c r="H822">
        <f>+INDEX(Sheet1!C:C, MATCH(Hoja1!G822, Sheet1!D:D, 0))</f>
        <v>483162.1</v>
      </c>
      <c r="I822">
        <f>+INDEX(Sheet1!G:G, MATCH(Hoja1!G822, Sheet1!I:I, 0))</f>
        <v>110201</v>
      </c>
      <c r="J822" s="2">
        <f>+INDEX(Sheet1!H:H, MATCH(Hoja1!G822, Sheet1!I:I, 0))</f>
        <v>1.6061368812177873E-2</v>
      </c>
      <c r="K822" s="2">
        <f>+INDEX(Sheet1!L:L, MATCH(Hoja1!G822,Sheet1!M:M, 0))</f>
        <v>7.2</v>
      </c>
    </row>
    <row r="823" spans="1:11" ht="16" x14ac:dyDescent="0.25">
      <c r="A823" t="s">
        <v>677</v>
      </c>
      <c r="B823">
        <v>6</v>
      </c>
      <c r="C823">
        <v>2023</v>
      </c>
      <c r="D823" t="s">
        <v>700</v>
      </c>
      <c r="E823">
        <v>2.9</v>
      </c>
      <c r="F823">
        <v>5737915</v>
      </c>
      <c r="G823" s="1" t="str">
        <f t="shared" si="12"/>
        <v>Minnesota2023</v>
      </c>
      <c r="H823">
        <f>+INDEX(Sheet1!C:C, MATCH(Hoja1!G823, Sheet1!D:D, 0))</f>
        <v>483162.1</v>
      </c>
      <c r="I823">
        <f>+INDEX(Sheet1!G:G, MATCH(Hoja1!G823, Sheet1!I:I, 0))</f>
        <v>110201</v>
      </c>
      <c r="J823" s="2">
        <f>+INDEX(Sheet1!H:H, MATCH(Hoja1!G823, Sheet1!I:I, 0))</f>
        <v>1.6061368812177873E-2</v>
      </c>
      <c r="K823" s="2">
        <f>+INDEX(Sheet1!L:L, MATCH(Hoja1!G823,Sheet1!M:M, 0))</f>
        <v>7.2</v>
      </c>
    </row>
    <row r="824" spans="1:11" ht="16" x14ac:dyDescent="0.25">
      <c r="A824" t="s">
        <v>677</v>
      </c>
      <c r="B824">
        <v>7</v>
      </c>
      <c r="C824">
        <v>2023</v>
      </c>
      <c r="D824" t="s">
        <v>701</v>
      </c>
      <c r="E824">
        <v>3</v>
      </c>
      <c r="F824">
        <v>5737915</v>
      </c>
      <c r="G824" s="1" t="str">
        <f t="shared" si="12"/>
        <v>Minnesota2023</v>
      </c>
      <c r="H824">
        <f>+INDEX(Sheet1!C:C, MATCH(Hoja1!G824, Sheet1!D:D, 0))</f>
        <v>483162.1</v>
      </c>
      <c r="I824">
        <f>+INDEX(Sheet1!G:G, MATCH(Hoja1!G824, Sheet1!I:I, 0))</f>
        <v>110201</v>
      </c>
      <c r="J824" s="2">
        <f>+INDEX(Sheet1!H:H, MATCH(Hoja1!G824, Sheet1!I:I, 0))</f>
        <v>1.6061368812177873E-2</v>
      </c>
      <c r="K824" s="2">
        <f>+INDEX(Sheet1!L:L, MATCH(Hoja1!G824,Sheet1!M:M, 0))</f>
        <v>7.2</v>
      </c>
    </row>
    <row r="825" spans="1:11" ht="16" x14ac:dyDescent="0.25">
      <c r="A825" t="s">
        <v>677</v>
      </c>
      <c r="B825">
        <v>8</v>
      </c>
      <c r="C825">
        <v>2023</v>
      </c>
      <c r="D825" t="s">
        <v>702</v>
      </c>
      <c r="E825">
        <v>2.9</v>
      </c>
      <c r="F825">
        <v>5737915</v>
      </c>
      <c r="G825" s="1" t="str">
        <f t="shared" si="12"/>
        <v>Minnesota2023</v>
      </c>
      <c r="H825">
        <f>+INDEX(Sheet1!C:C, MATCH(Hoja1!G825, Sheet1!D:D, 0))</f>
        <v>483162.1</v>
      </c>
      <c r="I825">
        <f>+INDEX(Sheet1!G:G, MATCH(Hoja1!G825, Sheet1!I:I, 0))</f>
        <v>110201</v>
      </c>
      <c r="J825" s="2">
        <f>+INDEX(Sheet1!H:H, MATCH(Hoja1!G825, Sheet1!I:I, 0))</f>
        <v>1.6061368812177873E-2</v>
      </c>
      <c r="K825" s="2">
        <f>+INDEX(Sheet1!L:L, MATCH(Hoja1!G825,Sheet1!M:M, 0))</f>
        <v>7.2</v>
      </c>
    </row>
    <row r="826" spans="1:11" ht="16" x14ac:dyDescent="0.25">
      <c r="A826" t="s">
        <v>677</v>
      </c>
      <c r="B826">
        <v>9</v>
      </c>
      <c r="C826">
        <v>2023</v>
      </c>
      <c r="D826" t="s">
        <v>703</v>
      </c>
      <c r="E826">
        <v>2.8</v>
      </c>
      <c r="F826">
        <v>5737915</v>
      </c>
      <c r="G826" s="1" t="str">
        <f t="shared" si="12"/>
        <v>Minnesota2023</v>
      </c>
      <c r="H826">
        <f>+INDEX(Sheet1!C:C, MATCH(Hoja1!G826, Sheet1!D:D, 0))</f>
        <v>483162.1</v>
      </c>
      <c r="I826">
        <f>+INDEX(Sheet1!G:G, MATCH(Hoja1!G826, Sheet1!I:I, 0))</f>
        <v>110201</v>
      </c>
      <c r="J826" s="2">
        <f>+INDEX(Sheet1!H:H, MATCH(Hoja1!G826, Sheet1!I:I, 0))</f>
        <v>1.6061368812177873E-2</v>
      </c>
      <c r="K826" s="2">
        <f>+INDEX(Sheet1!L:L, MATCH(Hoja1!G826,Sheet1!M:M, 0))</f>
        <v>7.2</v>
      </c>
    </row>
    <row r="827" spans="1:11" ht="16" x14ac:dyDescent="0.25">
      <c r="A827" t="s">
        <v>677</v>
      </c>
      <c r="B827">
        <v>10</v>
      </c>
      <c r="C827">
        <v>2023</v>
      </c>
      <c r="D827" t="s">
        <v>76</v>
      </c>
      <c r="E827">
        <v>2.8</v>
      </c>
      <c r="F827">
        <v>5737915</v>
      </c>
      <c r="G827" s="1" t="str">
        <f t="shared" si="12"/>
        <v>Minnesota2023</v>
      </c>
      <c r="H827">
        <f>+INDEX(Sheet1!C:C, MATCH(Hoja1!G827, Sheet1!D:D, 0))</f>
        <v>483162.1</v>
      </c>
      <c r="I827">
        <f>+INDEX(Sheet1!G:G, MATCH(Hoja1!G827, Sheet1!I:I, 0))</f>
        <v>110201</v>
      </c>
      <c r="J827" s="2">
        <f>+INDEX(Sheet1!H:H, MATCH(Hoja1!G827, Sheet1!I:I, 0))</f>
        <v>1.6061368812177873E-2</v>
      </c>
      <c r="K827" s="2">
        <f>+INDEX(Sheet1!L:L, MATCH(Hoja1!G827,Sheet1!M:M, 0))</f>
        <v>7.2</v>
      </c>
    </row>
    <row r="828" spans="1:11" ht="16" x14ac:dyDescent="0.25">
      <c r="A828" t="s">
        <v>677</v>
      </c>
      <c r="B828">
        <v>11</v>
      </c>
      <c r="C828">
        <v>2023</v>
      </c>
      <c r="D828" t="s">
        <v>704</v>
      </c>
      <c r="E828">
        <v>2.7</v>
      </c>
      <c r="F828">
        <v>5737915</v>
      </c>
      <c r="G828" s="1" t="str">
        <f t="shared" si="12"/>
        <v>Minnesota2023</v>
      </c>
      <c r="H828">
        <f>+INDEX(Sheet1!C:C, MATCH(Hoja1!G828, Sheet1!D:D, 0))</f>
        <v>483162.1</v>
      </c>
      <c r="I828">
        <f>+INDEX(Sheet1!G:G, MATCH(Hoja1!G828, Sheet1!I:I, 0))</f>
        <v>110201</v>
      </c>
      <c r="J828" s="2">
        <f>+INDEX(Sheet1!H:H, MATCH(Hoja1!G828, Sheet1!I:I, 0))</f>
        <v>1.6061368812177873E-2</v>
      </c>
      <c r="K828" s="2">
        <f>+INDEX(Sheet1!L:L, MATCH(Hoja1!G828,Sheet1!M:M, 0))</f>
        <v>7.2</v>
      </c>
    </row>
    <row r="829" spans="1:11" ht="16" x14ac:dyDescent="0.25">
      <c r="A829" t="s">
        <v>677</v>
      </c>
      <c r="B829">
        <v>12</v>
      </c>
      <c r="C829">
        <v>2023</v>
      </c>
      <c r="D829" t="s">
        <v>705</v>
      </c>
      <c r="E829">
        <v>2.7</v>
      </c>
      <c r="F829">
        <v>5737915</v>
      </c>
      <c r="G829" s="1" t="str">
        <f t="shared" si="12"/>
        <v>Minnesota2023</v>
      </c>
      <c r="H829">
        <f>+INDEX(Sheet1!C:C, MATCH(Hoja1!G829, Sheet1!D:D, 0))</f>
        <v>483162.1</v>
      </c>
      <c r="I829">
        <f>+INDEX(Sheet1!G:G, MATCH(Hoja1!G829, Sheet1!I:I, 0))</f>
        <v>110201</v>
      </c>
      <c r="J829" s="2">
        <f>+INDEX(Sheet1!H:H, MATCH(Hoja1!G829, Sheet1!I:I, 0))</f>
        <v>1.6061368812177873E-2</v>
      </c>
      <c r="K829" s="2">
        <f>+INDEX(Sheet1!L:L, MATCH(Hoja1!G829,Sheet1!M:M, 0))</f>
        <v>7.2</v>
      </c>
    </row>
    <row r="830" spans="1:11" ht="16" x14ac:dyDescent="0.25">
      <c r="A830" t="s">
        <v>706</v>
      </c>
      <c r="B830">
        <v>1</v>
      </c>
      <c r="C830">
        <v>2021</v>
      </c>
      <c r="D830" t="s">
        <v>707</v>
      </c>
      <c r="E830">
        <v>6.5</v>
      </c>
      <c r="F830">
        <v>2949582</v>
      </c>
      <c r="G830" s="1" t="str">
        <f t="shared" si="12"/>
        <v>Mississippi2021</v>
      </c>
      <c r="H830">
        <f>+INDEX(Sheet1!C:C, MATCH(Hoja1!G830, Sheet1!D:D, 0))</f>
        <v>129944.7</v>
      </c>
      <c r="I830">
        <f>+INDEX(Sheet1!G:G, MATCH(Hoja1!G830, Sheet1!I:I, 0))</f>
        <v>104891</v>
      </c>
      <c r="J830" s="2">
        <f>+INDEX(Sheet1!H:H, MATCH(Hoja1!G830, Sheet1!I:I, 0))</f>
        <v>4.851156560507007E-2</v>
      </c>
      <c r="K830" s="2">
        <f>+INDEX(Sheet1!L:L, MATCH(Hoja1!G830,Sheet1!M:M, 0))</f>
        <v>17.399999999999999</v>
      </c>
    </row>
    <row r="831" spans="1:11" ht="16" x14ac:dyDescent="0.25">
      <c r="A831" t="s">
        <v>706</v>
      </c>
      <c r="B831">
        <v>2</v>
      </c>
      <c r="C831">
        <v>2021</v>
      </c>
      <c r="D831" t="s">
        <v>470</v>
      </c>
      <c r="E831">
        <v>6.3</v>
      </c>
      <c r="F831">
        <v>2949582</v>
      </c>
      <c r="G831" s="1" t="str">
        <f t="shared" si="12"/>
        <v>Mississippi2021</v>
      </c>
      <c r="H831">
        <f>+INDEX(Sheet1!C:C, MATCH(Hoja1!G831, Sheet1!D:D, 0))</f>
        <v>129944.7</v>
      </c>
      <c r="I831">
        <f>+INDEX(Sheet1!G:G, MATCH(Hoja1!G831, Sheet1!I:I, 0))</f>
        <v>104891</v>
      </c>
      <c r="J831" s="2">
        <f>+INDEX(Sheet1!H:H, MATCH(Hoja1!G831, Sheet1!I:I, 0))</f>
        <v>4.851156560507007E-2</v>
      </c>
      <c r="K831" s="2">
        <f>+INDEX(Sheet1!L:L, MATCH(Hoja1!G831,Sheet1!M:M, 0))</f>
        <v>17.399999999999999</v>
      </c>
    </row>
    <row r="832" spans="1:11" ht="16" x14ac:dyDescent="0.25">
      <c r="A832" t="s">
        <v>706</v>
      </c>
      <c r="B832">
        <v>3</v>
      </c>
      <c r="C832">
        <v>2021</v>
      </c>
      <c r="D832" t="s">
        <v>607</v>
      </c>
      <c r="E832">
        <v>6.2</v>
      </c>
      <c r="F832">
        <v>2949582</v>
      </c>
      <c r="G832" s="1" t="str">
        <f t="shared" si="12"/>
        <v>Mississippi2021</v>
      </c>
      <c r="H832">
        <f>+INDEX(Sheet1!C:C, MATCH(Hoja1!G832, Sheet1!D:D, 0))</f>
        <v>129944.7</v>
      </c>
      <c r="I832">
        <f>+INDEX(Sheet1!G:G, MATCH(Hoja1!G832, Sheet1!I:I, 0))</f>
        <v>104891</v>
      </c>
      <c r="J832" s="2">
        <f>+INDEX(Sheet1!H:H, MATCH(Hoja1!G832, Sheet1!I:I, 0))</f>
        <v>4.851156560507007E-2</v>
      </c>
      <c r="K832" s="2">
        <f>+INDEX(Sheet1!L:L, MATCH(Hoja1!G832,Sheet1!M:M, 0))</f>
        <v>17.399999999999999</v>
      </c>
    </row>
    <row r="833" spans="1:11" ht="16" x14ac:dyDescent="0.25">
      <c r="A833" t="s">
        <v>706</v>
      </c>
      <c r="B833">
        <v>4</v>
      </c>
      <c r="C833">
        <v>2021</v>
      </c>
      <c r="D833" t="s">
        <v>708</v>
      </c>
      <c r="E833">
        <v>6.1</v>
      </c>
      <c r="F833">
        <v>2949582</v>
      </c>
      <c r="G833" s="1" t="str">
        <f t="shared" si="12"/>
        <v>Mississippi2021</v>
      </c>
      <c r="H833">
        <f>+INDEX(Sheet1!C:C, MATCH(Hoja1!G833, Sheet1!D:D, 0))</f>
        <v>129944.7</v>
      </c>
      <c r="I833">
        <f>+INDEX(Sheet1!G:G, MATCH(Hoja1!G833, Sheet1!I:I, 0))</f>
        <v>104891</v>
      </c>
      <c r="J833" s="2">
        <f>+INDEX(Sheet1!H:H, MATCH(Hoja1!G833, Sheet1!I:I, 0))</f>
        <v>4.851156560507007E-2</v>
      </c>
      <c r="K833" s="2">
        <f>+INDEX(Sheet1!L:L, MATCH(Hoja1!G833,Sheet1!M:M, 0))</f>
        <v>17.399999999999999</v>
      </c>
    </row>
    <row r="834" spans="1:11" ht="16" x14ac:dyDescent="0.25">
      <c r="A834" t="s">
        <v>706</v>
      </c>
      <c r="B834">
        <v>5</v>
      </c>
      <c r="C834">
        <v>2021</v>
      </c>
      <c r="D834" t="s">
        <v>111</v>
      </c>
      <c r="E834">
        <v>5.9</v>
      </c>
      <c r="F834">
        <v>2949582</v>
      </c>
      <c r="G834" s="1" t="str">
        <f t="shared" si="12"/>
        <v>Mississippi2021</v>
      </c>
      <c r="H834">
        <f>+INDEX(Sheet1!C:C, MATCH(Hoja1!G834, Sheet1!D:D, 0))</f>
        <v>129944.7</v>
      </c>
      <c r="I834">
        <f>+INDEX(Sheet1!G:G, MATCH(Hoja1!G834, Sheet1!I:I, 0))</f>
        <v>104891</v>
      </c>
      <c r="J834" s="2">
        <f>+INDEX(Sheet1!H:H, MATCH(Hoja1!G834, Sheet1!I:I, 0))</f>
        <v>4.851156560507007E-2</v>
      </c>
      <c r="K834" s="2">
        <f>+INDEX(Sheet1!L:L, MATCH(Hoja1!G834,Sheet1!M:M, 0))</f>
        <v>17.399999999999999</v>
      </c>
    </row>
    <row r="835" spans="1:11" ht="16" x14ac:dyDescent="0.25">
      <c r="A835" t="s">
        <v>706</v>
      </c>
      <c r="B835">
        <v>6</v>
      </c>
      <c r="C835">
        <v>2021</v>
      </c>
      <c r="D835" t="s">
        <v>340</v>
      </c>
      <c r="E835">
        <v>5.7</v>
      </c>
      <c r="F835">
        <v>2949582</v>
      </c>
      <c r="G835" s="1" t="str">
        <f t="shared" ref="G835:G898" si="13">+A835&amp;C835</f>
        <v>Mississippi2021</v>
      </c>
      <c r="H835">
        <f>+INDEX(Sheet1!C:C, MATCH(Hoja1!G835, Sheet1!D:D, 0))</f>
        <v>129944.7</v>
      </c>
      <c r="I835">
        <f>+INDEX(Sheet1!G:G, MATCH(Hoja1!G835, Sheet1!I:I, 0))</f>
        <v>104891</v>
      </c>
      <c r="J835" s="2">
        <f>+INDEX(Sheet1!H:H, MATCH(Hoja1!G835, Sheet1!I:I, 0))</f>
        <v>4.851156560507007E-2</v>
      </c>
      <c r="K835" s="2">
        <f>+INDEX(Sheet1!L:L, MATCH(Hoja1!G835,Sheet1!M:M, 0))</f>
        <v>17.399999999999999</v>
      </c>
    </row>
    <row r="836" spans="1:11" ht="16" x14ac:dyDescent="0.25">
      <c r="A836" t="s">
        <v>706</v>
      </c>
      <c r="B836">
        <v>7</v>
      </c>
      <c r="C836">
        <v>2021</v>
      </c>
      <c r="D836" t="s">
        <v>709</v>
      </c>
      <c r="E836">
        <v>5.5</v>
      </c>
      <c r="F836">
        <v>2949582</v>
      </c>
      <c r="G836" s="1" t="str">
        <f t="shared" si="13"/>
        <v>Mississippi2021</v>
      </c>
      <c r="H836">
        <f>+INDEX(Sheet1!C:C, MATCH(Hoja1!G836, Sheet1!D:D, 0))</f>
        <v>129944.7</v>
      </c>
      <c r="I836">
        <f>+INDEX(Sheet1!G:G, MATCH(Hoja1!G836, Sheet1!I:I, 0))</f>
        <v>104891</v>
      </c>
      <c r="J836" s="2">
        <f>+INDEX(Sheet1!H:H, MATCH(Hoja1!G836, Sheet1!I:I, 0))</f>
        <v>4.851156560507007E-2</v>
      </c>
      <c r="K836" s="2">
        <f>+INDEX(Sheet1!L:L, MATCH(Hoja1!G836,Sheet1!M:M, 0))</f>
        <v>17.399999999999999</v>
      </c>
    </row>
    <row r="837" spans="1:11" ht="16" x14ac:dyDescent="0.25">
      <c r="A837" t="s">
        <v>706</v>
      </c>
      <c r="B837">
        <v>8</v>
      </c>
      <c r="C837">
        <v>2021</v>
      </c>
      <c r="D837" t="s">
        <v>710</v>
      </c>
      <c r="E837">
        <v>5.2</v>
      </c>
      <c r="F837">
        <v>2949582</v>
      </c>
      <c r="G837" s="1" t="str">
        <f t="shared" si="13"/>
        <v>Mississippi2021</v>
      </c>
      <c r="H837">
        <f>+INDEX(Sheet1!C:C, MATCH(Hoja1!G837, Sheet1!D:D, 0))</f>
        <v>129944.7</v>
      </c>
      <c r="I837">
        <f>+INDEX(Sheet1!G:G, MATCH(Hoja1!G837, Sheet1!I:I, 0))</f>
        <v>104891</v>
      </c>
      <c r="J837" s="2">
        <f>+INDEX(Sheet1!H:H, MATCH(Hoja1!G837, Sheet1!I:I, 0))</f>
        <v>4.851156560507007E-2</v>
      </c>
      <c r="K837" s="2">
        <f>+INDEX(Sheet1!L:L, MATCH(Hoja1!G837,Sheet1!M:M, 0))</f>
        <v>17.399999999999999</v>
      </c>
    </row>
    <row r="838" spans="1:11" ht="16" x14ac:dyDescent="0.25">
      <c r="A838" t="s">
        <v>706</v>
      </c>
      <c r="B838">
        <v>9</v>
      </c>
      <c r="C838">
        <v>2021</v>
      </c>
      <c r="D838" t="s">
        <v>175</v>
      </c>
      <c r="E838">
        <v>4.9000000000000004</v>
      </c>
      <c r="F838">
        <v>2949582</v>
      </c>
      <c r="G838" s="1" t="str">
        <f t="shared" si="13"/>
        <v>Mississippi2021</v>
      </c>
      <c r="H838">
        <f>+INDEX(Sheet1!C:C, MATCH(Hoja1!G838, Sheet1!D:D, 0))</f>
        <v>129944.7</v>
      </c>
      <c r="I838">
        <f>+INDEX(Sheet1!G:G, MATCH(Hoja1!G838, Sheet1!I:I, 0))</f>
        <v>104891</v>
      </c>
      <c r="J838" s="2">
        <f>+INDEX(Sheet1!H:H, MATCH(Hoja1!G838, Sheet1!I:I, 0))</f>
        <v>4.851156560507007E-2</v>
      </c>
      <c r="K838" s="2">
        <f>+INDEX(Sheet1!L:L, MATCH(Hoja1!G838,Sheet1!M:M, 0))</f>
        <v>17.399999999999999</v>
      </c>
    </row>
    <row r="839" spans="1:11" ht="16" x14ac:dyDescent="0.25">
      <c r="A839" t="s">
        <v>706</v>
      </c>
      <c r="B839">
        <v>10</v>
      </c>
      <c r="C839">
        <v>2021</v>
      </c>
      <c r="D839" t="s">
        <v>711</v>
      </c>
      <c r="E839">
        <v>4.5999999999999996</v>
      </c>
      <c r="F839">
        <v>2949582</v>
      </c>
      <c r="G839" s="1" t="str">
        <f t="shared" si="13"/>
        <v>Mississippi2021</v>
      </c>
      <c r="H839">
        <f>+INDEX(Sheet1!C:C, MATCH(Hoja1!G839, Sheet1!D:D, 0))</f>
        <v>129944.7</v>
      </c>
      <c r="I839">
        <f>+INDEX(Sheet1!G:G, MATCH(Hoja1!G839, Sheet1!I:I, 0))</f>
        <v>104891</v>
      </c>
      <c r="J839" s="2">
        <f>+INDEX(Sheet1!H:H, MATCH(Hoja1!G839, Sheet1!I:I, 0))</f>
        <v>4.851156560507007E-2</v>
      </c>
      <c r="K839" s="2">
        <f>+INDEX(Sheet1!L:L, MATCH(Hoja1!G839,Sheet1!M:M, 0))</f>
        <v>17.399999999999999</v>
      </c>
    </row>
    <row r="840" spans="1:11" ht="16" x14ac:dyDescent="0.25">
      <c r="A840" t="s">
        <v>706</v>
      </c>
      <c r="B840">
        <v>11</v>
      </c>
      <c r="C840">
        <v>2021</v>
      </c>
      <c r="D840" t="s">
        <v>712</v>
      </c>
      <c r="E840">
        <v>4.4000000000000004</v>
      </c>
      <c r="F840">
        <v>2949582</v>
      </c>
      <c r="G840" s="1" t="str">
        <f t="shared" si="13"/>
        <v>Mississippi2021</v>
      </c>
      <c r="H840">
        <f>+INDEX(Sheet1!C:C, MATCH(Hoja1!G840, Sheet1!D:D, 0))</f>
        <v>129944.7</v>
      </c>
      <c r="I840">
        <f>+INDEX(Sheet1!G:G, MATCH(Hoja1!G840, Sheet1!I:I, 0))</f>
        <v>104891</v>
      </c>
      <c r="J840" s="2">
        <f>+INDEX(Sheet1!H:H, MATCH(Hoja1!G840, Sheet1!I:I, 0))</f>
        <v>4.851156560507007E-2</v>
      </c>
      <c r="K840" s="2">
        <f>+INDEX(Sheet1!L:L, MATCH(Hoja1!G840,Sheet1!M:M, 0))</f>
        <v>17.399999999999999</v>
      </c>
    </row>
    <row r="841" spans="1:11" ht="16" x14ac:dyDescent="0.25">
      <c r="A841" t="s">
        <v>706</v>
      </c>
      <c r="B841">
        <v>12</v>
      </c>
      <c r="C841">
        <v>2021</v>
      </c>
      <c r="D841" t="s">
        <v>713</v>
      </c>
      <c r="E841">
        <v>4.2</v>
      </c>
      <c r="F841">
        <v>2949582</v>
      </c>
      <c r="G841" s="1" t="str">
        <f t="shared" si="13"/>
        <v>Mississippi2021</v>
      </c>
      <c r="H841">
        <f>+INDEX(Sheet1!C:C, MATCH(Hoja1!G841, Sheet1!D:D, 0))</f>
        <v>129944.7</v>
      </c>
      <c r="I841">
        <f>+INDEX(Sheet1!G:G, MATCH(Hoja1!G841, Sheet1!I:I, 0))</f>
        <v>104891</v>
      </c>
      <c r="J841" s="2">
        <f>+INDEX(Sheet1!H:H, MATCH(Hoja1!G841, Sheet1!I:I, 0))</f>
        <v>4.851156560507007E-2</v>
      </c>
      <c r="K841" s="2">
        <f>+INDEX(Sheet1!L:L, MATCH(Hoja1!G841,Sheet1!M:M, 0))</f>
        <v>17.399999999999999</v>
      </c>
    </row>
    <row r="842" spans="1:11" ht="16" x14ac:dyDescent="0.25">
      <c r="A842" t="s">
        <v>706</v>
      </c>
      <c r="B842">
        <v>1</v>
      </c>
      <c r="C842">
        <v>2022</v>
      </c>
      <c r="D842" t="s">
        <v>714</v>
      </c>
      <c r="E842">
        <v>4.0999999999999996</v>
      </c>
      <c r="F842">
        <v>2938928</v>
      </c>
      <c r="G842" s="1" t="str">
        <f t="shared" si="13"/>
        <v>Mississippi2022</v>
      </c>
      <c r="H842">
        <f>+INDEX(Sheet1!C:C, MATCH(Hoja1!G842, Sheet1!D:D, 0))</f>
        <v>142762.29999999999</v>
      </c>
      <c r="I842">
        <f>+INDEX(Sheet1!G:G, MATCH(Hoja1!G842, Sheet1!I:I, 0))</f>
        <v>105691</v>
      </c>
      <c r="J842" s="2">
        <f>+INDEX(Sheet1!H:H, MATCH(Hoja1!G842, Sheet1!I:I, 0))</f>
        <v>7.626965135235626E-3</v>
      </c>
      <c r="K842" s="2">
        <f>+INDEX(Sheet1!L:L, MATCH(Hoja1!G842,Sheet1!M:M, 0))</f>
        <v>18.399999999999999</v>
      </c>
    </row>
    <row r="843" spans="1:11" ht="16" x14ac:dyDescent="0.25">
      <c r="A843" t="s">
        <v>706</v>
      </c>
      <c r="B843">
        <v>2</v>
      </c>
      <c r="C843">
        <v>2022</v>
      </c>
      <c r="D843" t="s">
        <v>491</v>
      </c>
      <c r="E843">
        <v>3.9</v>
      </c>
      <c r="F843">
        <v>2938928</v>
      </c>
      <c r="G843" s="1" t="str">
        <f t="shared" si="13"/>
        <v>Mississippi2022</v>
      </c>
      <c r="H843">
        <f>+INDEX(Sheet1!C:C, MATCH(Hoja1!G843, Sheet1!D:D, 0))</f>
        <v>142762.29999999999</v>
      </c>
      <c r="I843">
        <f>+INDEX(Sheet1!G:G, MATCH(Hoja1!G843, Sheet1!I:I, 0))</f>
        <v>105691</v>
      </c>
      <c r="J843" s="2">
        <f>+INDEX(Sheet1!H:H, MATCH(Hoja1!G843, Sheet1!I:I, 0))</f>
        <v>7.626965135235626E-3</v>
      </c>
      <c r="K843" s="2">
        <f>+INDEX(Sheet1!L:L, MATCH(Hoja1!G843,Sheet1!M:M, 0))</f>
        <v>18.399999999999999</v>
      </c>
    </row>
    <row r="844" spans="1:11" ht="16" x14ac:dyDescent="0.25">
      <c r="A844" t="s">
        <v>706</v>
      </c>
      <c r="B844">
        <v>3</v>
      </c>
      <c r="C844">
        <v>2022</v>
      </c>
      <c r="D844" t="s">
        <v>676</v>
      </c>
      <c r="E844">
        <v>3.8</v>
      </c>
      <c r="F844">
        <v>2938928</v>
      </c>
      <c r="G844" s="1" t="str">
        <f t="shared" si="13"/>
        <v>Mississippi2022</v>
      </c>
      <c r="H844">
        <f>+INDEX(Sheet1!C:C, MATCH(Hoja1!G844, Sheet1!D:D, 0))</f>
        <v>142762.29999999999</v>
      </c>
      <c r="I844">
        <f>+INDEX(Sheet1!G:G, MATCH(Hoja1!G844, Sheet1!I:I, 0))</f>
        <v>105691</v>
      </c>
      <c r="J844" s="2">
        <f>+INDEX(Sheet1!H:H, MATCH(Hoja1!G844, Sheet1!I:I, 0))</f>
        <v>7.626965135235626E-3</v>
      </c>
      <c r="K844" s="2">
        <f>+INDEX(Sheet1!L:L, MATCH(Hoja1!G844,Sheet1!M:M, 0))</f>
        <v>18.399999999999999</v>
      </c>
    </row>
    <row r="845" spans="1:11" ht="16" x14ac:dyDescent="0.25">
      <c r="A845" t="s">
        <v>706</v>
      </c>
      <c r="B845">
        <v>4</v>
      </c>
      <c r="C845">
        <v>2022</v>
      </c>
      <c r="D845" t="s">
        <v>715</v>
      </c>
      <c r="E845">
        <v>3.7</v>
      </c>
      <c r="F845">
        <v>2938928</v>
      </c>
      <c r="G845" s="1" t="str">
        <f t="shared" si="13"/>
        <v>Mississippi2022</v>
      </c>
      <c r="H845">
        <f>+INDEX(Sheet1!C:C, MATCH(Hoja1!G845, Sheet1!D:D, 0))</f>
        <v>142762.29999999999</v>
      </c>
      <c r="I845">
        <f>+INDEX(Sheet1!G:G, MATCH(Hoja1!G845, Sheet1!I:I, 0))</f>
        <v>105691</v>
      </c>
      <c r="J845" s="2">
        <f>+INDEX(Sheet1!H:H, MATCH(Hoja1!G845, Sheet1!I:I, 0))</f>
        <v>7.626965135235626E-3</v>
      </c>
      <c r="K845" s="2">
        <f>+INDEX(Sheet1!L:L, MATCH(Hoja1!G845,Sheet1!M:M, 0))</f>
        <v>18.399999999999999</v>
      </c>
    </row>
    <row r="846" spans="1:11" ht="16" x14ac:dyDescent="0.25">
      <c r="A846" t="s">
        <v>706</v>
      </c>
      <c r="B846">
        <v>5</v>
      </c>
      <c r="C846">
        <v>2022</v>
      </c>
      <c r="D846" t="s">
        <v>229</v>
      </c>
      <c r="E846">
        <v>3.7</v>
      </c>
      <c r="F846">
        <v>2938928</v>
      </c>
      <c r="G846" s="1" t="str">
        <f t="shared" si="13"/>
        <v>Mississippi2022</v>
      </c>
      <c r="H846">
        <f>+INDEX(Sheet1!C:C, MATCH(Hoja1!G846, Sheet1!D:D, 0))</f>
        <v>142762.29999999999</v>
      </c>
      <c r="I846">
        <f>+INDEX(Sheet1!G:G, MATCH(Hoja1!G846, Sheet1!I:I, 0))</f>
        <v>105691</v>
      </c>
      <c r="J846" s="2">
        <f>+INDEX(Sheet1!H:H, MATCH(Hoja1!G846, Sheet1!I:I, 0))</f>
        <v>7.626965135235626E-3</v>
      </c>
      <c r="K846" s="2">
        <f>+INDEX(Sheet1!L:L, MATCH(Hoja1!G846,Sheet1!M:M, 0))</f>
        <v>18.399999999999999</v>
      </c>
    </row>
    <row r="847" spans="1:11" ht="16" x14ac:dyDescent="0.25">
      <c r="A847" t="s">
        <v>706</v>
      </c>
      <c r="B847">
        <v>6</v>
      </c>
      <c r="C847">
        <v>2022</v>
      </c>
      <c r="D847" t="s">
        <v>564</v>
      </c>
      <c r="E847">
        <v>3.7</v>
      </c>
      <c r="F847">
        <v>2938928</v>
      </c>
      <c r="G847" s="1" t="str">
        <f t="shared" si="13"/>
        <v>Mississippi2022</v>
      </c>
      <c r="H847">
        <f>+INDEX(Sheet1!C:C, MATCH(Hoja1!G847, Sheet1!D:D, 0))</f>
        <v>142762.29999999999</v>
      </c>
      <c r="I847">
        <f>+INDEX(Sheet1!G:G, MATCH(Hoja1!G847, Sheet1!I:I, 0))</f>
        <v>105691</v>
      </c>
      <c r="J847" s="2">
        <f>+INDEX(Sheet1!H:H, MATCH(Hoja1!G847, Sheet1!I:I, 0))</f>
        <v>7.626965135235626E-3</v>
      </c>
      <c r="K847" s="2">
        <f>+INDEX(Sheet1!L:L, MATCH(Hoja1!G847,Sheet1!M:M, 0))</f>
        <v>18.399999999999999</v>
      </c>
    </row>
    <row r="848" spans="1:11" ht="16" x14ac:dyDescent="0.25">
      <c r="A848" t="s">
        <v>706</v>
      </c>
      <c r="B848">
        <v>7</v>
      </c>
      <c r="C848">
        <v>2022</v>
      </c>
      <c r="D848" t="s">
        <v>716</v>
      </c>
      <c r="E848">
        <v>3.7</v>
      </c>
      <c r="F848">
        <v>2938928</v>
      </c>
      <c r="G848" s="1" t="str">
        <f t="shared" si="13"/>
        <v>Mississippi2022</v>
      </c>
      <c r="H848">
        <f>+INDEX(Sheet1!C:C, MATCH(Hoja1!G848, Sheet1!D:D, 0))</f>
        <v>142762.29999999999</v>
      </c>
      <c r="I848">
        <f>+INDEX(Sheet1!G:G, MATCH(Hoja1!G848, Sheet1!I:I, 0))</f>
        <v>105691</v>
      </c>
      <c r="J848" s="2">
        <f>+INDEX(Sheet1!H:H, MATCH(Hoja1!G848, Sheet1!I:I, 0))</f>
        <v>7.626965135235626E-3</v>
      </c>
      <c r="K848" s="2">
        <f>+INDEX(Sheet1!L:L, MATCH(Hoja1!G848,Sheet1!M:M, 0))</f>
        <v>18.399999999999999</v>
      </c>
    </row>
    <row r="849" spans="1:11" ht="16" x14ac:dyDescent="0.25">
      <c r="A849" t="s">
        <v>706</v>
      </c>
      <c r="B849">
        <v>8</v>
      </c>
      <c r="C849">
        <v>2022</v>
      </c>
      <c r="D849" t="s">
        <v>717</v>
      </c>
      <c r="E849">
        <v>3.8</v>
      </c>
      <c r="F849">
        <v>2938928</v>
      </c>
      <c r="G849" s="1" t="str">
        <f t="shared" si="13"/>
        <v>Mississippi2022</v>
      </c>
      <c r="H849">
        <f>+INDEX(Sheet1!C:C, MATCH(Hoja1!G849, Sheet1!D:D, 0))</f>
        <v>142762.29999999999</v>
      </c>
      <c r="I849">
        <f>+INDEX(Sheet1!G:G, MATCH(Hoja1!G849, Sheet1!I:I, 0))</f>
        <v>105691</v>
      </c>
      <c r="J849" s="2">
        <f>+INDEX(Sheet1!H:H, MATCH(Hoja1!G849, Sheet1!I:I, 0))</f>
        <v>7.626965135235626E-3</v>
      </c>
      <c r="K849" s="2">
        <f>+INDEX(Sheet1!L:L, MATCH(Hoja1!G849,Sheet1!M:M, 0))</f>
        <v>18.399999999999999</v>
      </c>
    </row>
    <row r="850" spans="1:11" ht="16" x14ac:dyDescent="0.25">
      <c r="A850" t="s">
        <v>706</v>
      </c>
      <c r="B850">
        <v>9</v>
      </c>
      <c r="C850">
        <v>2022</v>
      </c>
      <c r="D850" t="s">
        <v>718</v>
      </c>
      <c r="E850">
        <v>3.8</v>
      </c>
      <c r="F850">
        <v>2938928</v>
      </c>
      <c r="G850" s="1" t="str">
        <f t="shared" si="13"/>
        <v>Mississippi2022</v>
      </c>
      <c r="H850">
        <f>+INDEX(Sheet1!C:C, MATCH(Hoja1!G850, Sheet1!D:D, 0))</f>
        <v>142762.29999999999</v>
      </c>
      <c r="I850">
        <f>+INDEX(Sheet1!G:G, MATCH(Hoja1!G850, Sheet1!I:I, 0))</f>
        <v>105691</v>
      </c>
      <c r="J850" s="2">
        <f>+INDEX(Sheet1!H:H, MATCH(Hoja1!G850, Sheet1!I:I, 0))</f>
        <v>7.626965135235626E-3</v>
      </c>
      <c r="K850" s="2">
        <f>+INDEX(Sheet1!L:L, MATCH(Hoja1!G850,Sheet1!M:M, 0))</f>
        <v>18.399999999999999</v>
      </c>
    </row>
    <row r="851" spans="1:11" ht="16" x14ac:dyDescent="0.25">
      <c r="A851" t="s">
        <v>706</v>
      </c>
      <c r="B851">
        <v>10</v>
      </c>
      <c r="C851">
        <v>2022</v>
      </c>
      <c r="D851" t="s">
        <v>719</v>
      </c>
      <c r="E851">
        <v>3.8</v>
      </c>
      <c r="F851">
        <v>2938928</v>
      </c>
      <c r="G851" s="1" t="str">
        <f t="shared" si="13"/>
        <v>Mississippi2022</v>
      </c>
      <c r="H851">
        <f>+INDEX(Sheet1!C:C, MATCH(Hoja1!G851, Sheet1!D:D, 0))</f>
        <v>142762.29999999999</v>
      </c>
      <c r="I851">
        <f>+INDEX(Sheet1!G:G, MATCH(Hoja1!G851, Sheet1!I:I, 0))</f>
        <v>105691</v>
      </c>
      <c r="J851" s="2">
        <f>+INDEX(Sheet1!H:H, MATCH(Hoja1!G851, Sheet1!I:I, 0))</f>
        <v>7.626965135235626E-3</v>
      </c>
      <c r="K851" s="2">
        <f>+INDEX(Sheet1!L:L, MATCH(Hoja1!G851,Sheet1!M:M, 0))</f>
        <v>18.399999999999999</v>
      </c>
    </row>
    <row r="852" spans="1:11" ht="16" x14ac:dyDescent="0.25">
      <c r="A852" t="s">
        <v>706</v>
      </c>
      <c r="B852">
        <v>11</v>
      </c>
      <c r="C852">
        <v>2022</v>
      </c>
      <c r="D852" t="s">
        <v>233</v>
      </c>
      <c r="E852">
        <v>3.8</v>
      </c>
      <c r="F852">
        <v>2938928</v>
      </c>
      <c r="G852" s="1" t="str">
        <f t="shared" si="13"/>
        <v>Mississippi2022</v>
      </c>
      <c r="H852">
        <f>+INDEX(Sheet1!C:C, MATCH(Hoja1!G852, Sheet1!D:D, 0))</f>
        <v>142762.29999999999</v>
      </c>
      <c r="I852">
        <f>+INDEX(Sheet1!G:G, MATCH(Hoja1!G852, Sheet1!I:I, 0))</f>
        <v>105691</v>
      </c>
      <c r="J852" s="2">
        <f>+INDEX(Sheet1!H:H, MATCH(Hoja1!G852, Sheet1!I:I, 0))</f>
        <v>7.626965135235626E-3</v>
      </c>
      <c r="K852" s="2">
        <f>+INDEX(Sheet1!L:L, MATCH(Hoja1!G852,Sheet1!M:M, 0))</f>
        <v>18.399999999999999</v>
      </c>
    </row>
    <row r="853" spans="1:11" ht="16" x14ac:dyDescent="0.25">
      <c r="A853" t="s">
        <v>706</v>
      </c>
      <c r="B853">
        <v>12</v>
      </c>
      <c r="C853">
        <v>2022</v>
      </c>
      <c r="D853" t="s">
        <v>720</v>
      </c>
      <c r="E853">
        <v>3.6</v>
      </c>
      <c r="F853">
        <v>2938928</v>
      </c>
      <c r="G853" s="1" t="str">
        <f t="shared" si="13"/>
        <v>Mississippi2022</v>
      </c>
      <c r="H853">
        <f>+INDEX(Sheet1!C:C, MATCH(Hoja1!G853, Sheet1!D:D, 0))</f>
        <v>142762.29999999999</v>
      </c>
      <c r="I853">
        <f>+INDEX(Sheet1!G:G, MATCH(Hoja1!G853, Sheet1!I:I, 0))</f>
        <v>105691</v>
      </c>
      <c r="J853" s="2">
        <f>+INDEX(Sheet1!H:H, MATCH(Hoja1!G853, Sheet1!I:I, 0))</f>
        <v>7.626965135235626E-3</v>
      </c>
      <c r="K853" s="2">
        <f>+INDEX(Sheet1!L:L, MATCH(Hoja1!G853,Sheet1!M:M, 0))</f>
        <v>18.399999999999999</v>
      </c>
    </row>
    <row r="854" spans="1:11" ht="16" x14ac:dyDescent="0.25">
      <c r="A854" t="s">
        <v>706</v>
      </c>
      <c r="B854">
        <v>1</v>
      </c>
      <c r="C854">
        <v>2023</v>
      </c>
      <c r="D854" t="s">
        <v>721</v>
      </c>
      <c r="E854">
        <v>3.5</v>
      </c>
      <c r="F854">
        <v>2939690</v>
      </c>
      <c r="G854" s="1" t="str">
        <f t="shared" si="13"/>
        <v>Mississippi2023</v>
      </c>
      <c r="H854">
        <f>+INDEX(Sheet1!C:C, MATCH(Hoja1!G854, Sheet1!D:D, 0))</f>
        <v>151146.70000000001</v>
      </c>
      <c r="I854">
        <f>+INDEX(Sheet1!G:G, MATCH(Hoja1!G854, Sheet1!I:I, 0))</f>
        <v>108403</v>
      </c>
      <c r="J854" s="2">
        <f>+INDEX(Sheet1!H:H, MATCH(Hoja1!G854, Sheet1!I:I, 0))</f>
        <v>2.5659706124457143E-2</v>
      </c>
      <c r="K854" s="2">
        <f>+INDEX(Sheet1!L:L, MATCH(Hoja1!G854,Sheet1!M:M, 0))</f>
        <v>16</v>
      </c>
    </row>
    <row r="855" spans="1:11" ht="16" x14ac:dyDescent="0.25">
      <c r="A855" t="s">
        <v>706</v>
      </c>
      <c r="B855">
        <v>2</v>
      </c>
      <c r="C855">
        <v>2023</v>
      </c>
      <c r="D855" t="s">
        <v>722</v>
      </c>
      <c r="E855">
        <v>3.3</v>
      </c>
      <c r="F855">
        <v>2939690</v>
      </c>
      <c r="G855" s="1" t="str">
        <f t="shared" si="13"/>
        <v>Mississippi2023</v>
      </c>
      <c r="H855">
        <f>+INDEX(Sheet1!C:C, MATCH(Hoja1!G855, Sheet1!D:D, 0))</f>
        <v>151146.70000000001</v>
      </c>
      <c r="I855">
        <f>+INDEX(Sheet1!G:G, MATCH(Hoja1!G855, Sheet1!I:I, 0))</f>
        <v>108403</v>
      </c>
      <c r="J855" s="2">
        <f>+INDEX(Sheet1!H:H, MATCH(Hoja1!G855, Sheet1!I:I, 0))</f>
        <v>2.5659706124457143E-2</v>
      </c>
      <c r="K855" s="2">
        <f>+INDEX(Sheet1!L:L, MATCH(Hoja1!G855,Sheet1!M:M, 0))</f>
        <v>16</v>
      </c>
    </row>
    <row r="856" spans="1:11" ht="16" x14ac:dyDescent="0.25">
      <c r="A856" t="s">
        <v>706</v>
      </c>
      <c r="B856">
        <v>3</v>
      </c>
      <c r="C856">
        <v>2023</v>
      </c>
      <c r="D856" t="s">
        <v>723</v>
      </c>
      <c r="E856">
        <v>3.2</v>
      </c>
      <c r="F856">
        <v>2939690</v>
      </c>
      <c r="G856" s="1" t="str">
        <f t="shared" si="13"/>
        <v>Mississippi2023</v>
      </c>
      <c r="H856">
        <f>+INDEX(Sheet1!C:C, MATCH(Hoja1!G856, Sheet1!D:D, 0))</f>
        <v>151146.70000000001</v>
      </c>
      <c r="I856">
        <f>+INDEX(Sheet1!G:G, MATCH(Hoja1!G856, Sheet1!I:I, 0))</f>
        <v>108403</v>
      </c>
      <c r="J856" s="2">
        <f>+INDEX(Sheet1!H:H, MATCH(Hoja1!G856, Sheet1!I:I, 0))</f>
        <v>2.5659706124457143E-2</v>
      </c>
      <c r="K856" s="2">
        <f>+INDEX(Sheet1!L:L, MATCH(Hoja1!G856,Sheet1!M:M, 0))</f>
        <v>16</v>
      </c>
    </row>
    <row r="857" spans="1:11" ht="16" x14ac:dyDescent="0.25">
      <c r="A857" t="s">
        <v>706</v>
      </c>
      <c r="B857">
        <v>4</v>
      </c>
      <c r="C857">
        <v>2023</v>
      </c>
      <c r="D857" t="s">
        <v>724</v>
      </c>
      <c r="E857">
        <v>3.1</v>
      </c>
      <c r="F857">
        <v>2939690</v>
      </c>
      <c r="G857" s="1" t="str">
        <f t="shared" si="13"/>
        <v>Mississippi2023</v>
      </c>
      <c r="H857">
        <f>+INDEX(Sheet1!C:C, MATCH(Hoja1!G857, Sheet1!D:D, 0))</f>
        <v>151146.70000000001</v>
      </c>
      <c r="I857">
        <f>+INDEX(Sheet1!G:G, MATCH(Hoja1!G857, Sheet1!I:I, 0))</f>
        <v>108403</v>
      </c>
      <c r="J857" s="2">
        <f>+INDEX(Sheet1!H:H, MATCH(Hoja1!G857, Sheet1!I:I, 0))</f>
        <v>2.5659706124457143E-2</v>
      </c>
      <c r="K857" s="2">
        <f>+INDEX(Sheet1!L:L, MATCH(Hoja1!G857,Sheet1!M:M, 0))</f>
        <v>16</v>
      </c>
    </row>
    <row r="858" spans="1:11" ht="16" x14ac:dyDescent="0.25">
      <c r="A858" t="s">
        <v>706</v>
      </c>
      <c r="B858">
        <v>5</v>
      </c>
      <c r="C858">
        <v>2023</v>
      </c>
      <c r="D858" t="s">
        <v>725</v>
      </c>
      <c r="E858">
        <v>3.1</v>
      </c>
      <c r="F858">
        <v>2939690</v>
      </c>
      <c r="G858" s="1" t="str">
        <f t="shared" si="13"/>
        <v>Mississippi2023</v>
      </c>
      <c r="H858">
        <f>+INDEX(Sheet1!C:C, MATCH(Hoja1!G858, Sheet1!D:D, 0))</f>
        <v>151146.70000000001</v>
      </c>
      <c r="I858">
        <f>+INDEX(Sheet1!G:G, MATCH(Hoja1!G858, Sheet1!I:I, 0))</f>
        <v>108403</v>
      </c>
      <c r="J858" s="2">
        <f>+INDEX(Sheet1!H:H, MATCH(Hoja1!G858, Sheet1!I:I, 0))</f>
        <v>2.5659706124457143E-2</v>
      </c>
      <c r="K858" s="2">
        <f>+INDEX(Sheet1!L:L, MATCH(Hoja1!G858,Sheet1!M:M, 0))</f>
        <v>16</v>
      </c>
    </row>
    <row r="859" spans="1:11" ht="16" x14ac:dyDescent="0.25">
      <c r="A859" t="s">
        <v>706</v>
      </c>
      <c r="B859">
        <v>6</v>
      </c>
      <c r="C859">
        <v>2023</v>
      </c>
      <c r="D859" t="s">
        <v>726</v>
      </c>
      <c r="E859">
        <v>3.1</v>
      </c>
      <c r="F859">
        <v>2939690</v>
      </c>
      <c r="G859" s="1" t="str">
        <f t="shared" si="13"/>
        <v>Mississippi2023</v>
      </c>
      <c r="H859">
        <f>+INDEX(Sheet1!C:C, MATCH(Hoja1!G859, Sheet1!D:D, 0))</f>
        <v>151146.70000000001</v>
      </c>
      <c r="I859">
        <f>+INDEX(Sheet1!G:G, MATCH(Hoja1!G859, Sheet1!I:I, 0))</f>
        <v>108403</v>
      </c>
      <c r="J859" s="2">
        <f>+INDEX(Sheet1!H:H, MATCH(Hoja1!G859, Sheet1!I:I, 0))</f>
        <v>2.5659706124457143E-2</v>
      </c>
      <c r="K859" s="2">
        <f>+INDEX(Sheet1!L:L, MATCH(Hoja1!G859,Sheet1!M:M, 0))</f>
        <v>16</v>
      </c>
    </row>
    <row r="860" spans="1:11" ht="16" x14ac:dyDescent="0.25">
      <c r="A860" t="s">
        <v>706</v>
      </c>
      <c r="B860">
        <v>7</v>
      </c>
      <c r="C860">
        <v>2023</v>
      </c>
      <c r="D860" t="s">
        <v>727</v>
      </c>
      <c r="E860">
        <v>3.1</v>
      </c>
      <c r="F860">
        <v>2939690</v>
      </c>
      <c r="G860" s="1" t="str">
        <f t="shared" si="13"/>
        <v>Mississippi2023</v>
      </c>
      <c r="H860">
        <f>+INDEX(Sheet1!C:C, MATCH(Hoja1!G860, Sheet1!D:D, 0))</f>
        <v>151146.70000000001</v>
      </c>
      <c r="I860">
        <f>+INDEX(Sheet1!G:G, MATCH(Hoja1!G860, Sheet1!I:I, 0))</f>
        <v>108403</v>
      </c>
      <c r="J860" s="2">
        <f>+INDEX(Sheet1!H:H, MATCH(Hoja1!G860, Sheet1!I:I, 0))</f>
        <v>2.5659706124457143E-2</v>
      </c>
      <c r="K860" s="2">
        <f>+INDEX(Sheet1!L:L, MATCH(Hoja1!G860,Sheet1!M:M, 0))</f>
        <v>16</v>
      </c>
    </row>
    <row r="861" spans="1:11" ht="16" x14ac:dyDescent="0.25">
      <c r="A861" t="s">
        <v>706</v>
      </c>
      <c r="B861">
        <v>8</v>
      </c>
      <c r="C861">
        <v>2023</v>
      </c>
      <c r="D861" t="s">
        <v>491</v>
      </c>
      <c r="E861">
        <v>3.2</v>
      </c>
      <c r="F861">
        <v>2939690</v>
      </c>
      <c r="G861" s="1" t="str">
        <f t="shared" si="13"/>
        <v>Mississippi2023</v>
      </c>
      <c r="H861">
        <f>+INDEX(Sheet1!C:C, MATCH(Hoja1!G861, Sheet1!D:D, 0))</f>
        <v>151146.70000000001</v>
      </c>
      <c r="I861">
        <f>+INDEX(Sheet1!G:G, MATCH(Hoja1!G861, Sheet1!I:I, 0))</f>
        <v>108403</v>
      </c>
      <c r="J861" s="2">
        <f>+INDEX(Sheet1!H:H, MATCH(Hoja1!G861, Sheet1!I:I, 0))</f>
        <v>2.5659706124457143E-2</v>
      </c>
      <c r="K861" s="2">
        <f>+INDEX(Sheet1!L:L, MATCH(Hoja1!G861,Sheet1!M:M, 0))</f>
        <v>16</v>
      </c>
    </row>
    <row r="862" spans="1:11" ht="16" x14ac:dyDescent="0.25">
      <c r="A862" t="s">
        <v>706</v>
      </c>
      <c r="B862">
        <v>9</v>
      </c>
      <c r="C862">
        <v>2023</v>
      </c>
      <c r="D862" t="s">
        <v>728</v>
      </c>
      <c r="E862">
        <v>3.2</v>
      </c>
      <c r="F862">
        <v>2939690</v>
      </c>
      <c r="G862" s="1" t="str">
        <f t="shared" si="13"/>
        <v>Mississippi2023</v>
      </c>
      <c r="H862">
        <f>+INDEX(Sheet1!C:C, MATCH(Hoja1!G862, Sheet1!D:D, 0))</f>
        <v>151146.70000000001</v>
      </c>
      <c r="I862">
        <f>+INDEX(Sheet1!G:G, MATCH(Hoja1!G862, Sheet1!I:I, 0))</f>
        <v>108403</v>
      </c>
      <c r="J862" s="2">
        <f>+INDEX(Sheet1!H:H, MATCH(Hoja1!G862, Sheet1!I:I, 0))</f>
        <v>2.5659706124457143E-2</v>
      </c>
      <c r="K862" s="2">
        <f>+INDEX(Sheet1!L:L, MATCH(Hoja1!G862,Sheet1!M:M, 0))</f>
        <v>16</v>
      </c>
    </row>
    <row r="863" spans="1:11" ht="16" x14ac:dyDescent="0.25">
      <c r="A863" t="s">
        <v>706</v>
      </c>
      <c r="B863">
        <v>10</v>
      </c>
      <c r="C863">
        <v>2023</v>
      </c>
      <c r="D863" t="s">
        <v>568</v>
      </c>
      <c r="E863">
        <v>3.2</v>
      </c>
      <c r="F863">
        <v>2939690</v>
      </c>
      <c r="G863" s="1" t="str">
        <f t="shared" si="13"/>
        <v>Mississippi2023</v>
      </c>
      <c r="H863">
        <f>+INDEX(Sheet1!C:C, MATCH(Hoja1!G863, Sheet1!D:D, 0))</f>
        <v>151146.70000000001</v>
      </c>
      <c r="I863">
        <f>+INDEX(Sheet1!G:G, MATCH(Hoja1!G863, Sheet1!I:I, 0))</f>
        <v>108403</v>
      </c>
      <c r="J863" s="2">
        <f>+INDEX(Sheet1!H:H, MATCH(Hoja1!G863, Sheet1!I:I, 0))</f>
        <v>2.5659706124457143E-2</v>
      </c>
      <c r="K863" s="2">
        <f>+INDEX(Sheet1!L:L, MATCH(Hoja1!G863,Sheet1!M:M, 0))</f>
        <v>16</v>
      </c>
    </row>
    <row r="864" spans="1:11" ht="16" x14ac:dyDescent="0.25">
      <c r="A864" t="s">
        <v>706</v>
      </c>
      <c r="B864">
        <v>11</v>
      </c>
      <c r="C864">
        <v>2023</v>
      </c>
      <c r="D864" t="s">
        <v>729</v>
      </c>
      <c r="E864">
        <v>3.2</v>
      </c>
      <c r="F864">
        <v>2939690</v>
      </c>
      <c r="G864" s="1" t="str">
        <f t="shared" si="13"/>
        <v>Mississippi2023</v>
      </c>
      <c r="H864">
        <f>+INDEX(Sheet1!C:C, MATCH(Hoja1!G864, Sheet1!D:D, 0))</f>
        <v>151146.70000000001</v>
      </c>
      <c r="I864">
        <f>+INDEX(Sheet1!G:G, MATCH(Hoja1!G864, Sheet1!I:I, 0))</f>
        <v>108403</v>
      </c>
      <c r="J864" s="2">
        <f>+INDEX(Sheet1!H:H, MATCH(Hoja1!G864, Sheet1!I:I, 0))</f>
        <v>2.5659706124457143E-2</v>
      </c>
      <c r="K864" s="2">
        <f>+INDEX(Sheet1!L:L, MATCH(Hoja1!G864,Sheet1!M:M, 0))</f>
        <v>16</v>
      </c>
    </row>
    <row r="865" spans="1:11" ht="16" x14ac:dyDescent="0.25">
      <c r="A865" t="s">
        <v>706</v>
      </c>
      <c r="B865">
        <v>12</v>
      </c>
      <c r="C865">
        <v>2023</v>
      </c>
      <c r="D865" t="s">
        <v>730</v>
      </c>
      <c r="E865">
        <v>3.2</v>
      </c>
      <c r="F865">
        <v>2939690</v>
      </c>
      <c r="G865" s="1" t="str">
        <f t="shared" si="13"/>
        <v>Mississippi2023</v>
      </c>
      <c r="H865">
        <f>+INDEX(Sheet1!C:C, MATCH(Hoja1!G865, Sheet1!D:D, 0))</f>
        <v>151146.70000000001</v>
      </c>
      <c r="I865">
        <f>+INDEX(Sheet1!G:G, MATCH(Hoja1!G865, Sheet1!I:I, 0))</f>
        <v>108403</v>
      </c>
      <c r="J865" s="2">
        <f>+INDEX(Sheet1!H:H, MATCH(Hoja1!G865, Sheet1!I:I, 0))</f>
        <v>2.5659706124457143E-2</v>
      </c>
      <c r="K865" s="2">
        <f>+INDEX(Sheet1!L:L, MATCH(Hoja1!G865,Sheet1!M:M, 0))</f>
        <v>16</v>
      </c>
    </row>
    <row r="866" spans="1:11" ht="16" x14ac:dyDescent="0.25">
      <c r="A866" t="s">
        <v>731</v>
      </c>
      <c r="B866">
        <v>1</v>
      </c>
      <c r="C866">
        <v>2021</v>
      </c>
      <c r="D866" t="s">
        <v>732</v>
      </c>
      <c r="E866">
        <v>4.9000000000000004</v>
      </c>
      <c r="F866">
        <v>6170393</v>
      </c>
      <c r="G866" s="1" t="str">
        <f t="shared" si="13"/>
        <v>Missouri2021</v>
      </c>
      <c r="H866">
        <f>+INDEX(Sheet1!C:C, MATCH(Hoja1!G866, Sheet1!D:D, 0))</f>
        <v>366441.5</v>
      </c>
      <c r="I866">
        <f>+INDEX(Sheet1!G:G, MATCH(Hoja1!G866, Sheet1!I:I, 0))</f>
        <v>106524</v>
      </c>
      <c r="J866" s="2">
        <f>+INDEX(Sheet1!H:H, MATCH(Hoja1!G866, Sheet1!I:I, 0))</f>
        <v>5.1528073916133621E-2</v>
      </c>
      <c r="K866" s="2">
        <f>+INDEX(Sheet1!L:L, MATCH(Hoja1!G866,Sheet1!M:M, 0))</f>
        <v>12.3</v>
      </c>
    </row>
    <row r="867" spans="1:11" ht="16" x14ac:dyDescent="0.25">
      <c r="A867" t="s">
        <v>731</v>
      </c>
      <c r="B867">
        <v>2</v>
      </c>
      <c r="C867">
        <v>2021</v>
      </c>
      <c r="D867" t="s">
        <v>733</v>
      </c>
      <c r="E867">
        <v>4.8</v>
      </c>
      <c r="F867">
        <v>6170393</v>
      </c>
      <c r="G867" s="1" t="str">
        <f t="shared" si="13"/>
        <v>Missouri2021</v>
      </c>
      <c r="H867">
        <f>+INDEX(Sheet1!C:C, MATCH(Hoja1!G867, Sheet1!D:D, 0))</f>
        <v>366441.5</v>
      </c>
      <c r="I867">
        <f>+INDEX(Sheet1!G:G, MATCH(Hoja1!G867, Sheet1!I:I, 0))</f>
        <v>106524</v>
      </c>
      <c r="J867" s="2">
        <f>+INDEX(Sheet1!H:H, MATCH(Hoja1!G867, Sheet1!I:I, 0))</f>
        <v>5.1528073916133621E-2</v>
      </c>
      <c r="K867" s="2">
        <f>+INDEX(Sheet1!L:L, MATCH(Hoja1!G867,Sheet1!M:M, 0))</f>
        <v>12.3</v>
      </c>
    </row>
    <row r="868" spans="1:11" ht="16" x14ac:dyDescent="0.25">
      <c r="A868" t="s">
        <v>731</v>
      </c>
      <c r="B868">
        <v>3</v>
      </c>
      <c r="C868">
        <v>2021</v>
      </c>
      <c r="D868" t="s">
        <v>734</v>
      </c>
      <c r="E868">
        <v>4.8</v>
      </c>
      <c r="F868">
        <v>6170393</v>
      </c>
      <c r="G868" s="1" t="str">
        <f t="shared" si="13"/>
        <v>Missouri2021</v>
      </c>
      <c r="H868">
        <f>+INDEX(Sheet1!C:C, MATCH(Hoja1!G868, Sheet1!D:D, 0))</f>
        <v>366441.5</v>
      </c>
      <c r="I868">
        <f>+INDEX(Sheet1!G:G, MATCH(Hoja1!G868, Sheet1!I:I, 0))</f>
        <v>106524</v>
      </c>
      <c r="J868" s="2">
        <f>+INDEX(Sheet1!H:H, MATCH(Hoja1!G868, Sheet1!I:I, 0))</f>
        <v>5.1528073916133621E-2</v>
      </c>
      <c r="K868" s="2">
        <f>+INDEX(Sheet1!L:L, MATCH(Hoja1!G868,Sheet1!M:M, 0))</f>
        <v>12.3</v>
      </c>
    </row>
    <row r="869" spans="1:11" ht="16" x14ac:dyDescent="0.25">
      <c r="A869" t="s">
        <v>731</v>
      </c>
      <c r="B869">
        <v>4</v>
      </c>
      <c r="C869">
        <v>2021</v>
      </c>
      <c r="D869" t="s">
        <v>735</v>
      </c>
      <c r="E869">
        <v>4.7</v>
      </c>
      <c r="F869">
        <v>6170393</v>
      </c>
      <c r="G869" s="1" t="str">
        <f t="shared" si="13"/>
        <v>Missouri2021</v>
      </c>
      <c r="H869">
        <f>+INDEX(Sheet1!C:C, MATCH(Hoja1!G869, Sheet1!D:D, 0))</f>
        <v>366441.5</v>
      </c>
      <c r="I869">
        <f>+INDEX(Sheet1!G:G, MATCH(Hoja1!G869, Sheet1!I:I, 0))</f>
        <v>106524</v>
      </c>
      <c r="J869" s="2">
        <f>+INDEX(Sheet1!H:H, MATCH(Hoja1!G869, Sheet1!I:I, 0))</f>
        <v>5.1528073916133621E-2</v>
      </c>
      <c r="K869" s="2">
        <f>+INDEX(Sheet1!L:L, MATCH(Hoja1!G869,Sheet1!M:M, 0))</f>
        <v>12.3</v>
      </c>
    </row>
    <row r="870" spans="1:11" ht="16" x14ac:dyDescent="0.25">
      <c r="A870" t="s">
        <v>731</v>
      </c>
      <c r="B870">
        <v>5</v>
      </c>
      <c r="C870">
        <v>2021</v>
      </c>
      <c r="D870" t="s">
        <v>186</v>
      </c>
      <c r="E870">
        <v>4.5</v>
      </c>
      <c r="F870">
        <v>6170393</v>
      </c>
      <c r="G870" s="1" t="str">
        <f t="shared" si="13"/>
        <v>Missouri2021</v>
      </c>
      <c r="H870">
        <f>+INDEX(Sheet1!C:C, MATCH(Hoja1!G870, Sheet1!D:D, 0))</f>
        <v>366441.5</v>
      </c>
      <c r="I870">
        <f>+INDEX(Sheet1!G:G, MATCH(Hoja1!G870, Sheet1!I:I, 0))</f>
        <v>106524</v>
      </c>
      <c r="J870" s="2">
        <f>+INDEX(Sheet1!H:H, MATCH(Hoja1!G870, Sheet1!I:I, 0))</f>
        <v>5.1528073916133621E-2</v>
      </c>
      <c r="K870" s="2">
        <f>+INDEX(Sheet1!L:L, MATCH(Hoja1!G870,Sheet1!M:M, 0))</f>
        <v>12.3</v>
      </c>
    </row>
    <row r="871" spans="1:11" ht="16" x14ac:dyDescent="0.25">
      <c r="A871" t="s">
        <v>731</v>
      </c>
      <c r="B871">
        <v>6</v>
      </c>
      <c r="C871">
        <v>2021</v>
      </c>
      <c r="D871" t="s">
        <v>736</v>
      </c>
      <c r="E871">
        <v>4.3</v>
      </c>
      <c r="F871">
        <v>6170393</v>
      </c>
      <c r="G871" s="1" t="str">
        <f t="shared" si="13"/>
        <v>Missouri2021</v>
      </c>
      <c r="H871">
        <f>+INDEX(Sheet1!C:C, MATCH(Hoja1!G871, Sheet1!D:D, 0))</f>
        <v>366441.5</v>
      </c>
      <c r="I871">
        <f>+INDEX(Sheet1!G:G, MATCH(Hoja1!G871, Sheet1!I:I, 0))</f>
        <v>106524</v>
      </c>
      <c r="J871" s="2">
        <f>+INDEX(Sheet1!H:H, MATCH(Hoja1!G871, Sheet1!I:I, 0))</f>
        <v>5.1528073916133621E-2</v>
      </c>
      <c r="K871" s="2">
        <f>+INDEX(Sheet1!L:L, MATCH(Hoja1!G871,Sheet1!M:M, 0))</f>
        <v>12.3</v>
      </c>
    </row>
    <row r="872" spans="1:11" ht="16" x14ac:dyDescent="0.25">
      <c r="A872" t="s">
        <v>731</v>
      </c>
      <c r="B872">
        <v>7</v>
      </c>
      <c r="C872">
        <v>2021</v>
      </c>
      <c r="D872" t="s">
        <v>737</v>
      </c>
      <c r="E872">
        <v>4.0999999999999996</v>
      </c>
      <c r="F872">
        <v>6170393</v>
      </c>
      <c r="G872" s="1" t="str">
        <f t="shared" si="13"/>
        <v>Missouri2021</v>
      </c>
      <c r="H872">
        <f>+INDEX(Sheet1!C:C, MATCH(Hoja1!G872, Sheet1!D:D, 0))</f>
        <v>366441.5</v>
      </c>
      <c r="I872">
        <f>+INDEX(Sheet1!G:G, MATCH(Hoja1!G872, Sheet1!I:I, 0))</f>
        <v>106524</v>
      </c>
      <c r="J872" s="2">
        <f>+INDEX(Sheet1!H:H, MATCH(Hoja1!G872, Sheet1!I:I, 0))</f>
        <v>5.1528073916133621E-2</v>
      </c>
      <c r="K872" s="2">
        <f>+INDEX(Sheet1!L:L, MATCH(Hoja1!G872,Sheet1!M:M, 0))</f>
        <v>12.3</v>
      </c>
    </row>
    <row r="873" spans="1:11" ht="16" x14ac:dyDescent="0.25">
      <c r="A873" t="s">
        <v>731</v>
      </c>
      <c r="B873">
        <v>8</v>
      </c>
      <c r="C873">
        <v>2021</v>
      </c>
      <c r="D873" t="s">
        <v>738</v>
      </c>
      <c r="E873">
        <v>3.9</v>
      </c>
      <c r="F873">
        <v>6170393</v>
      </c>
      <c r="G873" s="1" t="str">
        <f t="shared" si="13"/>
        <v>Missouri2021</v>
      </c>
      <c r="H873">
        <f>+INDEX(Sheet1!C:C, MATCH(Hoja1!G873, Sheet1!D:D, 0))</f>
        <v>366441.5</v>
      </c>
      <c r="I873">
        <f>+INDEX(Sheet1!G:G, MATCH(Hoja1!G873, Sheet1!I:I, 0))</f>
        <v>106524</v>
      </c>
      <c r="J873" s="2">
        <f>+INDEX(Sheet1!H:H, MATCH(Hoja1!G873, Sheet1!I:I, 0))</f>
        <v>5.1528073916133621E-2</v>
      </c>
      <c r="K873" s="2">
        <f>+INDEX(Sheet1!L:L, MATCH(Hoja1!G873,Sheet1!M:M, 0))</f>
        <v>12.3</v>
      </c>
    </row>
    <row r="874" spans="1:11" ht="16" x14ac:dyDescent="0.25">
      <c r="A874" t="s">
        <v>731</v>
      </c>
      <c r="B874">
        <v>9</v>
      </c>
      <c r="C874">
        <v>2021</v>
      </c>
      <c r="D874" t="s">
        <v>739</v>
      </c>
      <c r="E874">
        <v>3.7</v>
      </c>
      <c r="F874">
        <v>6170393</v>
      </c>
      <c r="G874" s="1" t="str">
        <f t="shared" si="13"/>
        <v>Missouri2021</v>
      </c>
      <c r="H874">
        <f>+INDEX(Sheet1!C:C, MATCH(Hoja1!G874, Sheet1!D:D, 0))</f>
        <v>366441.5</v>
      </c>
      <c r="I874">
        <f>+INDEX(Sheet1!G:G, MATCH(Hoja1!G874, Sheet1!I:I, 0))</f>
        <v>106524</v>
      </c>
      <c r="J874" s="2">
        <f>+INDEX(Sheet1!H:H, MATCH(Hoja1!G874, Sheet1!I:I, 0))</f>
        <v>5.1528073916133621E-2</v>
      </c>
      <c r="K874" s="2">
        <f>+INDEX(Sheet1!L:L, MATCH(Hoja1!G874,Sheet1!M:M, 0))</f>
        <v>12.3</v>
      </c>
    </row>
    <row r="875" spans="1:11" ht="16" x14ac:dyDescent="0.25">
      <c r="A875" t="s">
        <v>731</v>
      </c>
      <c r="B875">
        <v>10</v>
      </c>
      <c r="C875">
        <v>2021</v>
      </c>
      <c r="D875" t="s">
        <v>740</v>
      </c>
      <c r="E875">
        <v>3.5</v>
      </c>
      <c r="F875">
        <v>6170393</v>
      </c>
      <c r="G875" s="1" t="str">
        <f t="shared" si="13"/>
        <v>Missouri2021</v>
      </c>
      <c r="H875">
        <f>+INDEX(Sheet1!C:C, MATCH(Hoja1!G875, Sheet1!D:D, 0))</f>
        <v>366441.5</v>
      </c>
      <c r="I875">
        <f>+INDEX(Sheet1!G:G, MATCH(Hoja1!G875, Sheet1!I:I, 0))</f>
        <v>106524</v>
      </c>
      <c r="J875" s="2">
        <f>+INDEX(Sheet1!H:H, MATCH(Hoja1!G875, Sheet1!I:I, 0))</f>
        <v>5.1528073916133621E-2</v>
      </c>
      <c r="K875" s="2">
        <f>+INDEX(Sheet1!L:L, MATCH(Hoja1!G875,Sheet1!M:M, 0))</f>
        <v>12.3</v>
      </c>
    </row>
    <row r="876" spans="1:11" ht="16" x14ac:dyDescent="0.25">
      <c r="A876" t="s">
        <v>731</v>
      </c>
      <c r="B876">
        <v>11</v>
      </c>
      <c r="C876">
        <v>2021</v>
      </c>
      <c r="D876" t="s">
        <v>741</v>
      </c>
      <c r="E876">
        <v>3.3</v>
      </c>
      <c r="F876">
        <v>6170393</v>
      </c>
      <c r="G876" s="1" t="str">
        <f t="shared" si="13"/>
        <v>Missouri2021</v>
      </c>
      <c r="H876">
        <f>+INDEX(Sheet1!C:C, MATCH(Hoja1!G876, Sheet1!D:D, 0))</f>
        <v>366441.5</v>
      </c>
      <c r="I876">
        <f>+INDEX(Sheet1!G:G, MATCH(Hoja1!G876, Sheet1!I:I, 0))</f>
        <v>106524</v>
      </c>
      <c r="J876" s="2">
        <f>+INDEX(Sheet1!H:H, MATCH(Hoja1!G876, Sheet1!I:I, 0))</f>
        <v>5.1528073916133621E-2</v>
      </c>
      <c r="K876" s="2">
        <f>+INDEX(Sheet1!L:L, MATCH(Hoja1!G876,Sheet1!M:M, 0))</f>
        <v>12.3</v>
      </c>
    </row>
    <row r="877" spans="1:11" ht="16" x14ac:dyDescent="0.25">
      <c r="A877" t="s">
        <v>731</v>
      </c>
      <c r="B877">
        <v>12</v>
      </c>
      <c r="C877">
        <v>2021</v>
      </c>
      <c r="D877" t="s">
        <v>201</v>
      </c>
      <c r="E877">
        <v>3.2</v>
      </c>
      <c r="F877">
        <v>6170393</v>
      </c>
      <c r="G877" s="1" t="str">
        <f t="shared" si="13"/>
        <v>Missouri2021</v>
      </c>
      <c r="H877">
        <f>+INDEX(Sheet1!C:C, MATCH(Hoja1!G877, Sheet1!D:D, 0))</f>
        <v>366441.5</v>
      </c>
      <c r="I877">
        <f>+INDEX(Sheet1!G:G, MATCH(Hoja1!G877, Sheet1!I:I, 0))</f>
        <v>106524</v>
      </c>
      <c r="J877" s="2">
        <f>+INDEX(Sheet1!H:H, MATCH(Hoja1!G877, Sheet1!I:I, 0))</f>
        <v>5.1528073916133621E-2</v>
      </c>
      <c r="K877" s="2">
        <f>+INDEX(Sheet1!L:L, MATCH(Hoja1!G877,Sheet1!M:M, 0))</f>
        <v>12.3</v>
      </c>
    </row>
    <row r="878" spans="1:11" ht="16" x14ac:dyDescent="0.25">
      <c r="A878" t="s">
        <v>731</v>
      </c>
      <c r="B878">
        <v>1</v>
      </c>
      <c r="C878">
        <v>2022</v>
      </c>
      <c r="D878" t="s">
        <v>295</v>
      </c>
      <c r="E878">
        <v>3</v>
      </c>
      <c r="F878">
        <v>6177168</v>
      </c>
      <c r="G878" s="1" t="str">
        <f t="shared" si="13"/>
        <v>Missouri2022</v>
      </c>
      <c r="H878">
        <f>+INDEX(Sheet1!C:C, MATCH(Hoja1!G878, Sheet1!D:D, 0))</f>
        <v>400265.1</v>
      </c>
      <c r="I878">
        <f>+INDEX(Sheet1!G:G, MATCH(Hoja1!G878, Sheet1!I:I, 0))</f>
        <v>109117</v>
      </c>
      <c r="J878" s="2">
        <f>+INDEX(Sheet1!H:H, MATCH(Hoja1!G878, Sheet1!I:I, 0))</f>
        <v>2.4341932334497392E-2</v>
      </c>
      <c r="K878" s="2">
        <f>+INDEX(Sheet1!L:L, MATCH(Hoja1!G878,Sheet1!M:M, 0))</f>
        <v>11.4</v>
      </c>
    </row>
    <row r="879" spans="1:11" ht="16" x14ac:dyDescent="0.25">
      <c r="A879" t="s">
        <v>731</v>
      </c>
      <c r="B879">
        <v>2</v>
      </c>
      <c r="C879">
        <v>2022</v>
      </c>
      <c r="D879" t="s">
        <v>742</v>
      </c>
      <c r="E879">
        <v>2.7</v>
      </c>
      <c r="F879">
        <v>6177168</v>
      </c>
      <c r="G879" s="1" t="str">
        <f t="shared" si="13"/>
        <v>Missouri2022</v>
      </c>
      <c r="H879">
        <f>+INDEX(Sheet1!C:C, MATCH(Hoja1!G879, Sheet1!D:D, 0))</f>
        <v>400265.1</v>
      </c>
      <c r="I879">
        <f>+INDEX(Sheet1!G:G, MATCH(Hoja1!G879, Sheet1!I:I, 0))</f>
        <v>109117</v>
      </c>
      <c r="J879" s="2">
        <f>+INDEX(Sheet1!H:H, MATCH(Hoja1!G879, Sheet1!I:I, 0))</f>
        <v>2.4341932334497392E-2</v>
      </c>
      <c r="K879" s="2">
        <f>+INDEX(Sheet1!L:L, MATCH(Hoja1!G879,Sheet1!M:M, 0))</f>
        <v>11.4</v>
      </c>
    </row>
    <row r="880" spans="1:11" ht="16" x14ac:dyDescent="0.25">
      <c r="A880" t="s">
        <v>731</v>
      </c>
      <c r="B880">
        <v>3</v>
      </c>
      <c r="C880">
        <v>2022</v>
      </c>
      <c r="D880" t="s">
        <v>743</v>
      </c>
      <c r="E880">
        <v>2.5</v>
      </c>
      <c r="F880">
        <v>6177168</v>
      </c>
      <c r="G880" s="1" t="str">
        <f t="shared" si="13"/>
        <v>Missouri2022</v>
      </c>
      <c r="H880">
        <f>+INDEX(Sheet1!C:C, MATCH(Hoja1!G880, Sheet1!D:D, 0))</f>
        <v>400265.1</v>
      </c>
      <c r="I880">
        <f>+INDEX(Sheet1!G:G, MATCH(Hoja1!G880, Sheet1!I:I, 0))</f>
        <v>109117</v>
      </c>
      <c r="J880" s="2">
        <f>+INDEX(Sheet1!H:H, MATCH(Hoja1!G880, Sheet1!I:I, 0))</f>
        <v>2.4341932334497392E-2</v>
      </c>
      <c r="K880" s="2">
        <f>+INDEX(Sheet1!L:L, MATCH(Hoja1!G880,Sheet1!M:M, 0))</f>
        <v>11.4</v>
      </c>
    </row>
    <row r="881" spans="1:11" ht="16" x14ac:dyDescent="0.25">
      <c r="A881" t="s">
        <v>731</v>
      </c>
      <c r="B881">
        <v>4</v>
      </c>
      <c r="C881">
        <v>2022</v>
      </c>
      <c r="D881" t="s">
        <v>744</v>
      </c>
      <c r="E881">
        <v>2.4</v>
      </c>
      <c r="F881">
        <v>6177168</v>
      </c>
      <c r="G881" s="1" t="str">
        <f t="shared" si="13"/>
        <v>Missouri2022</v>
      </c>
      <c r="H881">
        <f>+INDEX(Sheet1!C:C, MATCH(Hoja1!G881, Sheet1!D:D, 0))</f>
        <v>400265.1</v>
      </c>
      <c r="I881">
        <f>+INDEX(Sheet1!G:G, MATCH(Hoja1!G881, Sheet1!I:I, 0))</f>
        <v>109117</v>
      </c>
      <c r="J881" s="2">
        <f>+INDEX(Sheet1!H:H, MATCH(Hoja1!G881, Sheet1!I:I, 0))</f>
        <v>2.4341932334497392E-2</v>
      </c>
      <c r="K881" s="2">
        <f>+INDEX(Sheet1!L:L, MATCH(Hoja1!G881,Sheet1!M:M, 0))</f>
        <v>11.4</v>
      </c>
    </row>
    <row r="882" spans="1:11" ht="16" x14ac:dyDescent="0.25">
      <c r="A882" t="s">
        <v>731</v>
      </c>
      <c r="B882">
        <v>5</v>
      </c>
      <c r="C882">
        <v>2022</v>
      </c>
      <c r="D882" t="s">
        <v>745</v>
      </c>
      <c r="E882">
        <v>2.2999999999999998</v>
      </c>
      <c r="F882">
        <v>6177168</v>
      </c>
      <c r="G882" s="1" t="str">
        <f t="shared" si="13"/>
        <v>Missouri2022</v>
      </c>
      <c r="H882">
        <f>+INDEX(Sheet1!C:C, MATCH(Hoja1!G882, Sheet1!D:D, 0))</f>
        <v>400265.1</v>
      </c>
      <c r="I882">
        <f>+INDEX(Sheet1!G:G, MATCH(Hoja1!G882, Sheet1!I:I, 0))</f>
        <v>109117</v>
      </c>
      <c r="J882" s="2">
        <f>+INDEX(Sheet1!H:H, MATCH(Hoja1!G882, Sheet1!I:I, 0))</f>
        <v>2.4341932334497392E-2</v>
      </c>
      <c r="K882" s="2">
        <f>+INDEX(Sheet1!L:L, MATCH(Hoja1!G882,Sheet1!M:M, 0))</f>
        <v>11.4</v>
      </c>
    </row>
    <row r="883" spans="1:11" ht="16" x14ac:dyDescent="0.25">
      <c r="A883" t="s">
        <v>731</v>
      </c>
      <c r="B883">
        <v>6</v>
      </c>
      <c r="C883">
        <v>2022</v>
      </c>
      <c r="D883" t="s">
        <v>216</v>
      </c>
      <c r="E883">
        <v>2.2999999999999998</v>
      </c>
      <c r="F883">
        <v>6177168</v>
      </c>
      <c r="G883" s="1" t="str">
        <f t="shared" si="13"/>
        <v>Missouri2022</v>
      </c>
      <c r="H883">
        <f>+INDEX(Sheet1!C:C, MATCH(Hoja1!G883, Sheet1!D:D, 0))</f>
        <v>400265.1</v>
      </c>
      <c r="I883">
        <f>+INDEX(Sheet1!G:G, MATCH(Hoja1!G883, Sheet1!I:I, 0))</f>
        <v>109117</v>
      </c>
      <c r="J883" s="2">
        <f>+INDEX(Sheet1!H:H, MATCH(Hoja1!G883, Sheet1!I:I, 0))</f>
        <v>2.4341932334497392E-2</v>
      </c>
      <c r="K883" s="2">
        <f>+INDEX(Sheet1!L:L, MATCH(Hoja1!G883,Sheet1!M:M, 0))</f>
        <v>11.4</v>
      </c>
    </row>
    <row r="884" spans="1:11" ht="16" x14ac:dyDescent="0.25">
      <c r="A884" t="s">
        <v>731</v>
      </c>
      <c r="B884">
        <v>7</v>
      </c>
      <c r="C884">
        <v>2022</v>
      </c>
      <c r="D884" t="s">
        <v>746</v>
      </c>
      <c r="E884">
        <v>2.4</v>
      </c>
      <c r="F884">
        <v>6177168</v>
      </c>
      <c r="G884" s="1" t="str">
        <f t="shared" si="13"/>
        <v>Missouri2022</v>
      </c>
      <c r="H884">
        <f>+INDEX(Sheet1!C:C, MATCH(Hoja1!G884, Sheet1!D:D, 0))</f>
        <v>400265.1</v>
      </c>
      <c r="I884">
        <f>+INDEX(Sheet1!G:G, MATCH(Hoja1!G884, Sheet1!I:I, 0))</f>
        <v>109117</v>
      </c>
      <c r="J884" s="2">
        <f>+INDEX(Sheet1!H:H, MATCH(Hoja1!G884, Sheet1!I:I, 0))</f>
        <v>2.4341932334497392E-2</v>
      </c>
      <c r="K884" s="2">
        <f>+INDEX(Sheet1!L:L, MATCH(Hoja1!G884,Sheet1!M:M, 0))</f>
        <v>11.4</v>
      </c>
    </row>
    <row r="885" spans="1:11" ht="16" x14ac:dyDescent="0.25">
      <c r="A885" t="s">
        <v>731</v>
      </c>
      <c r="B885">
        <v>8</v>
      </c>
      <c r="C885">
        <v>2022</v>
      </c>
      <c r="D885" t="s">
        <v>747</v>
      </c>
      <c r="E885">
        <v>2.5</v>
      </c>
      <c r="F885">
        <v>6177168</v>
      </c>
      <c r="G885" s="1" t="str">
        <f t="shared" si="13"/>
        <v>Missouri2022</v>
      </c>
      <c r="H885">
        <f>+INDEX(Sheet1!C:C, MATCH(Hoja1!G885, Sheet1!D:D, 0))</f>
        <v>400265.1</v>
      </c>
      <c r="I885">
        <f>+INDEX(Sheet1!G:G, MATCH(Hoja1!G885, Sheet1!I:I, 0))</f>
        <v>109117</v>
      </c>
      <c r="J885" s="2">
        <f>+INDEX(Sheet1!H:H, MATCH(Hoja1!G885, Sheet1!I:I, 0))</f>
        <v>2.4341932334497392E-2</v>
      </c>
      <c r="K885" s="2">
        <f>+INDEX(Sheet1!L:L, MATCH(Hoja1!G885,Sheet1!M:M, 0))</f>
        <v>11.4</v>
      </c>
    </row>
    <row r="886" spans="1:11" ht="16" x14ac:dyDescent="0.25">
      <c r="A886" t="s">
        <v>731</v>
      </c>
      <c r="B886">
        <v>9</v>
      </c>
      <c r="C886">
        <v>2022</v>
      </c>
      <c r="D886" t="s">
        <v>748</v>
      </c>
      <c r="E886">
        <v>2.7</v>
      </c>
      <c r="F886">
        <v>6177168</v>
      </c>
      <c r="G886" s="1" t="str">
        <f t="shared" si="13"/>
        <v>Missouri2022</v>
      </c>
      <c r="H886">
        <f>+INDEX(Sheet1!C:C, MATCH(Hoja1!G886, Sheet1!D:D, 0))</f>
        <v>400265.1</v>
      </c>
      <c r="I886">
        <f>+INDEX(Sheet1!G:G, MATCH(Hoja1!G886, Sheet1!I:I, 0))</f>
        <v>109117</v>
      </c>
      <c r="J886" s="2">
        <f>+INDEX(Sheet1!H:H, MATCH(Hoja1!G886, Sheet1!I:I, 0))</f>
        <v>2.4341932334497392E-2</v>
      </c>
      <c r="K886" s="2">
        <f>+INDEX(Sheet1!L:L, MATCH(Hoja1!G886,Sheet1!M:M, 0))</f>
        <v>11.4</v>
      </c>
    </row>
    <row r="887" spans="1:11" ht="16" x14ac:dyDescent="0.25">
      <c r="A887" t="s">
        <v>731</v>
      </c>
      <c r="B887">
        <v>10</v>
      </c>
      <c r="C887">
        <v>2022</v>
      </c>
      <c r="D887" t="s">
        <v>749</v>
      </c>
      <c r="E887">
        <v>2.8</v>
      </c>
      <c r="F887">
        <v>6177168</v>
      </c>
      <c r="G887" s="1" t="str">
        <f t="shared" si="13"/>
        <v>Missouri2022</v>
      </c>
      <c r="H887">
        <f>+INDEX(Sheet1!C:C, MATCH(Hoja1!G887, Sheet1!D:D, 0))</f>
        <v>400265.1</v>
      </c>
      <c r="I887">
        <f>+INDEX(Sheet1!G:G, MATCH(Hoja1!G887, Sheet1!I:I, 0))</f>
        <v>109117</v>
      </c>
      <c r="J887" s="2">
        <f>+INDEX(Sheet1!H:H, MATCH(Hoja1!G887, Sheet1!I:I, 0))</f>
        <v>2.4341932334497392E-2</v>
      </c>
      <c r="K887" s="2">
        <f>+INDEX(Sheet1!L:L, MATCH(Hoja1!G887,Sheet1!M:M, 0))</f>
        <v>11.4</v>
      </c>
    </row>
    <row r="888" spans="1:11" ht="16" x14ac:dyDescent="0.25">
      <c r="A888" t="s">
        <v>731</v>
      </c>
      <c r="B888">
        <v>11</v>
      </c>
      <c r="C888">
        <v>2022</v>
      </c>
      <c r="D888" t="s">
        <v>750</v>
      </c>
      <c r="E888">
        <v>2.8</v>
      </c>
      <c r="F888">
        <v>6177168</v>
      </c>
      <c r="G888" s="1" t="str">
        <f t="shared" si="13"/>
        <v>Missouri2022</v>
      </c>
      <c r="H888">
        <f>+INDEX(Sheet1!C:C, MATCH(Hoja1!G888, Sheet1!D:D, 0))</f>
        <v>400265.1</v>
      </c>
      <c r="I888">
        <f>+INDEX(Sheet1!G:G, MATCH(Hoja1!G888, Sheet1!I:I, 0))</f>
        <v>109117</v>
      </c>
      <c r="J888" s="2">
        <f>+INDEX(Sheet1!H:H, MATCH(Hoja1!G888, Sheet1!I:I, 0))</f>
        <v>2.4341932334497392E-2</v>
      </c>
      <c r="K888" s="2">
        <f>+INDEX(Sheet1!L:L, MATCH(Hoja1!G888,Sheet1!M:M, 0))</f>
        <v>11.4</v>
      </c>
    </row>
    <row r="889" spans="1:11" ht="16" x14ac:dyDescent="0.25">
      <c r="A889" t="s">
        <v>731</v>
      </c>
      <c r="B889">
        <v>12</v>
      </c>
      <c r="C889">
        <v>2022</v>
      </c>
      <c r="D889" t="s">
        <v>714</v>
      </c>
      <c r="E889">
        <v>2.8</v>
      </c>
      <c r="F889">
        <v>6177168</v>
      </c>
      <c r="G889" s="1" t="str">
        <f t="shared" si="13"/>
        <v>Missouri2022</v>
      </c>
      <c r="H889">
        <f>+INDEX(Sheet1!C:C, MATCH(Hoja1!G889, Sheet1!D:D, 0))</f>
        <v>400265.1</v>
      </c>
      <c r="I889">
        <f>+INDEX(Sheet1!G:G, MATCH(Hoja1!G889, Sheet1!I:I, 0))</f>
        <v>109117</v>
      </c>
      <c r="J889" s="2">
        <f>+INDEX(Sheet1!H:H, MATCH(Hoja1!G889, Sheet1!I:I, 0))</f>
        <v>2.4341932334497392E-2</v>
      </c>
      <c r="K889" s="2">
        <f>+INDEX(Sheet1!L:L, MATCH(Hoja1!G889,Sheet1!M:M, 0))</f>
        <v>11.4</v>
      </c>
    </row>
    <row r="890" spans="1:11" ht="16" x14ac:dyDescent="0.25">
      <c r="A890" t="s">
        <v>731</v>
      </c>
      <c r="B890">
        <v>1</v>
      </c>
      <c r="C890">
        <v>2023</v>
      </c>
      <c r="D890" t="s">
        <v>751</v>
      </c>
      <c r="E890">
        <v>2.8</v>
      </c>
      <c r="F890">
        <v>6196156</v>
      </c>
      <c r="G890" s="1" t="str">
        <f t="shared" si="13"/>
        <v>Missouri2023</v>
      </c>
      <c r="H890">
        <f>+INDEX(Sheet1!C:C, MATCH(Hoja1!G890, Sheet1!D:D, 0))</f>
        <v>430114.4</v>
      </c>
      <c r="I890">
        <f>+INDEX(Sheet1!G:G, MATCH(Hoja1!G890, Sheet1!I:I, 0))</f>
        <v>111955</v>
      </c>
      <c r="J890" s="2">
        <f>+INDEX(Sheet1!H:H, MATCH(Hoja1!G890, Sheet1!I:I, 0))</f>
        <v>2.6008779566886919E-2</v>
      </c>
      <c r="K890" s="2">
        <f>+INDEX(Sheet1!L:L, MATCH(Hoja1!G890,Sheet1!M:M, 0))</f>
        <v>9.6999999999999993</v>
      </c>
    </row>
    <row r="891" spans="1:11" ht="16" x14ac:dyDescent="0.25">
      <c r="A891" t="s">
        <v>731</v>
      </c>
      <c r="B891">
        <v>2</v>
      </c>
      <c r="C891">
        <v>2023</v>
      </c>
      <c r="D891" t="s">
        <v>752</v>
      </c>
      <c r="E891">
        <v>2.8</v>
      </c>
      <c r="F891">
        <v>6196156</v>
      </c>
      <c r="G891" s="1" t="str">
        <f t="shared" si="13"/>
        <v>Missouri2023</v>
      </c>
      <c r="H891">
        <f>+INDEX(Sheet1!C:C, MATCH(Hoja1!G891, Sheet1!D:D, 0))</f>
        <v>430114.4</v>
      </c>
      <c r="I891">
        <f>+INDEX(Sheet1!G:G, MATCH(Hoja1!G891, Sheet1!I:I, 0))</f>
        <v>111955</v>
      </c>
      <c r="J891" s="2">
        <f>+INDEX(Sheet1!H:H, MATCH(Hoja1!G891, Sheet1!I:I, 0))</f>
        <v>2.6008779566886919E-2</v>
      </c>
      <c r="K891" s="2">
        <f>+INDEX(Sheet1!L:L, MATCH(Hoja1!G891,Sheet1!M:M, 0))</f>
        <v>9.6999999999999993</v>
      </c>
    </row>
    <row r="892" spans="1:11" ht="16" x14ac:dyDescent="0.25">
      <c r="A892" t="s">
        <v>731</v>
      </c>
      <c r="B892">
        <v>3</v>
      </c>
      <c r="C892">
        <v>2023</v>
      </c>
      <c r="D892" t="s">
        <v>753</v>
      </c>
      <c r="E892">
        <v>2.8</v>
      </c>
      <c r="F892">
        <v>6196156</v>
      </c>
      <c r="G892" s="1" t="str">
        <f t="shared" si="13"/>
        <v>Missouri2023</v>
      </c>
      <c r="H892">
        <f>+INDEX(Sheet1!C:C, MATCH(Hoja1!G892, Sheet1!D:D, 0))</f>
        <v>430114.4</v>
      </c>
      <c r="I892">
        <f>+INDEX(Sheet1!G:G, MATCH(Hoja1!G892, Sheet1!I:I, 0))</f>
        <v>111955</v>
      </c>
      <c r="J892" s="2">
        <f>+INDEX(Sheet1!H:H, MATCH(Hoja1!G892, Sheet1!I:I, 0))</f>
        <v>2.6008779566886919E-2</v>
      </c>
      <c r="K892" s="2">
        <f>+INDEX(Sheet1!L:L, MATCH(Hoja1!G892,Sheet1!M:M, 0))</f>
        <v>9.6999999999999993</v>
      </c>
    </row>
    <row r="893" spans="1:11" ht="16" x14ac:dyDescent="0.25">
      <c r="A893" t="s">
        <v>731</v>
      </c>
      <c r="B893">
        <v>4</v>
      </c>
      <c r="C893">
        <v>2023</v>
      </c>
      <c r="D893" t="s">
        <v>674</v>
      </c>
      <c r="E893">
        <v>2.9</v>
      </c>
      <c r="F893">
        <v>6196156</v>
      </c>
      <c r="G893" s="1" t="str">
        <f t="shared" si="13"/>
        <v>Missouri2023</v>
      </c>
      <c r="H893">
        <f>+INDEX(Sheet1!C:C, MATCH(Hoja1!G893, Sheet1!D:D, 0))</f>
        <v>430114.4</v>
      </c>
      <c r="I893">
        <f>+INDEX(Sheet1!G:G, MATCH(Hoja1!G893, Sheet1!I:I, 0))</f>
        <v>111955</v>
      </c>
      <c r="J893" s="2">
        <f>+INDEX(Sheet1!H:H, MATCH(Hoja1!G893, Sheet1!I:I, 0))</f>
        <v>2.6008779566886919E-2</v>
      </c>
      <c r="K893" s="2">
        <f>+INDEX(Sheet1!L:L, MATCH(Hoja1!G893,Sheet1!M:M, 0))</f>
        <v>9.6999999999999993</v>
      </c>
    </row>
    <row r="894" spans="1:11" ht="16" x14ac:dyDescent="0.25">
      <c r="A894" t="s">
        <v>731</v>
      </c>
      <c r="B894">
        <v>5</v>
      </c>
      <c r="C894">
        <v>2023</v>
      </c>
      <c r="D894" t="s">
        <v>688</v>
      </c>
      <c r="E894">
        <v>2.9</v>
      </c>
      <c r="F894">
        <v>6196156</v>
      </c>
      <c r="G894" s="1" t="str">
        <f t="shared" si="13"/>
        <v>Missouri2023</v>
      </c>
      <c r="H894">
        <f>+INDEX(Sheet1!C:C, MATCH(Hoja1!G894, Sheet1!D:D, 0))</f>
        <v>430114.4</v>
      </c>
      <c r="I894">
        <f>+INDEX(Sheet1!G:G, MATCH(Hoja1!G894, Sheet1!I:I, 0))</f>
        <v>111955</v>
      </c>
      <c r="J894" s="2">
        <f>+INDEX(Sheet1!H:H, MATCH(Hoja1!G894, Sheet1!I:I, 0))</f>
        <v>2.6008779566886919E-2</v>
      </c>
      <c r="K894" s="2">
        <f>+INDEX(Sheet1!L:L, MATCH(Hoja1!G894,Sheet1!M:M, 0))</f>
        <v>9.6999999999999993</v>
      </c>
    </row>
    <row r="895" spans="1:11" ht="16" x14ac:dyDescent="0.25">
      <c r="A895" t="s">
        <v>731</v>
      </c>
      <c r="B895">
        <v>6</v>
      </c>
      <c r="C895">
        <v>2023</v>
      </c>
      <c r="D895" t="s">
        <v>754</v>
      </c>
      <c r="E895">
        <v>3</v>
      </c>
      <c r="F895">
        <v>6196156</v>
      </c>
      <c r="G895" s="1" t="str">
        <f t="shared" si="13"/>
        <v>Missouri2023</v>
      </c>
      <c r="H895">
        <f>+INDEX(Sheet1!C:C, MATCH(Hoja1!G895, Sheet1!D:D, 0))</f>
        <v>430114.4</v>
      </c>
      <c r="I895">
        <f>+INDEX(Sheet1!G:G, MATCH(Hoja1!G895, Sheet1!I:I, 0))</f>
        <v>111955</v>
      </c>
      <c r="J895" s="2">
        <f>+INDEX(Sheet1!H:H, MATCH(Hoja1!G895, Sheet1!I:I, 0))</f>
        <v>2.6008779566886919E-2</v>
      </c>
      <c r="K895" s="2">
        <f>+INDEX(Sheet1!L:L, MATCH(Hoja1!G895,Sheet1!M:M, 0))</f>
        <v>9.6999999999999993</v>
      </c>
    </row>
    <row r="896" spans="1:11" ht="16" x14ac:dyDescent="0.25">
      <c r="A896" t="s">
        <v>731</v>
      </c>
      <c r="B896">
        <v>7</v>
      </c>
      <c r="C896">
        <v>2023</v>
      </c>
      <c r="D896" t="s">
        <v>29</v>
      </c>
      <c r="E896">
        <v>3.1</v>
      </c>
      <c r="F896">
        <v>6196156</v>
      </c>
      <c r="G896" s="1" t="str">
        <f t="shared" si="13"/>
        <v>Missouri2023</v>
      </c>
      <c r="H896">
        <f>+INDEX(Sheet1!C:C, MATCH(Hoja1!G896, Sheet1!D:D, 0))</f>
        <v>430114.4</v>
      </c>
      <c r="I896">
        <f>+INDEX(Sheet1!G:G, MATCH(Hoja1!G896, Sheet1!I:I, 0))</f>
        <v>111955</v>
      </c>
      <c r="J896" s="2">
        <f>+INDEX(Sheet1!H:H, MATCH(Hoja1!G896, Sheet1!I:I, 0))</f>
        <v>2.6008779566886919E-2</v>
      </c>
      <c r="K896" s="2">
        <f>+INDEX(Sheet1!L:L, MATCH(Hoja1!G896,Sheet1!M:M, 0))</f>
        <v>9.6999999999999993</v>
      </c>
    </row>
    <row r="897" spans="1:11" ht="16" x14ac:dyDescent="0.25">
      <c r="A897" t="s">
        <v>731</v>
      </c>
      <c r="B897">
        <v>8</v>
      </c>
      <c r="C897">
        <v>2023</v>
      </c>
      <c r="D897" t="s">
        <v>755</v>
      </c>
      <c r="E897">
        <v>3.2</v>
      </c>
      <c r="F897">
        <v>6196156</v>
      </c>
      <c r="G897" s="1" t="str">
        <f t="shared" si="13"/>
        <v>Missouri2023</v>
      </c>
      <c r="H897">
        <f>+INDEX(Sheet1!C:C, MATCH(Hoja1!G897, Sheet1!D:D, 0))</f>
        <v>430114.4</v>
      </c>
      <c r="I897">
        <f>+INDEX(Sheet1!G:G, MATCH(Hoja1!G897, Sheet1!I:I, 0))</f>
        <v>111955</v>
      </c>
      <c r="J897" s="2">
        <f>+INDEX(Sheet1!H:H, MATCH(Hoja1!G897, Sheet1!I:I, 0))</f>
        <v>2.6008779566886919E-2</v>
      </c>
      <c r="K897" s="2">
        <f>+INDEX(Sheet1!L:L, MATCH(Hoja1!G897,Sheet1!M:M, 0))</f>
        <v>9.6999999999999993</v>
      </c>
    </row>
    <row r="898" spans="1:11" ht="16" x14ac:dyDescent="0.25">
      <c r="A898" t="s">
        <v>731</v>
      </c>
      <c r="B898">
        <v>9</v>
      </c>
      <c r="C898">
        <v>2023</v>
      </c>
      <c r="D898" t="s">
        <v>718</v>
      </c>
      <c r="E898">
        <v>3.3</v>
      </c>
      <c r="F898">
        <v>6196156</v>
      </c>
      <c r="G898" s="1" t="str">
        <f t="shared" si="13"/>
        <v>Missouri2023</v>
      </c>
      <c r="H898">
        <f>+INDEX(Sheet1!C:C, MATCH(Hoja1!G898, Sheet1!D:D, 0))</f>
        <v>430114.4</v>
      </c>
      <c r="I898">
        <f>+INDEX(Sheet1!G:G, MATCH(Hoja1!G898, Sheet1!I:I, 0))</f>
        <v>111955</v>
      </c>
      <c r="J898" s="2">
        <f>+INDEX(Sheet1!H:H, MATCH(Hoja1!G898, Sheet1!I:I, 0))</f>
        <v>2.6008779566886919E-2</v>
      </c>
      <c r="K898" s="2">
        <f>+INDEX(Sheet1!L:L, MATCH(Hoja1!G898,Sheet1!M:M, 0))</f>
        <v>9.6999999999999993</v>
      </c>
    </row>
    <row r="899" spans="1:11" ht="16" x14ac:dyDescent="0.25">
      <c r="A899" t="s">
        <v>731</v>
      </c>
      <c r="B899">
        <v>10</v>
      </c>
      <c r="C899">
        <v>2023</v>
      </c>
      <c r="D899" t="s">
        <v>687</v>
      </c>
      <c r="E899">
        <v>3.3</v>
      </c>
      <c r="F899">
        <v>6196156</v>
      </c>
      <c r="G899" s="1" t="str">
        <f t="shared" ref="G899:G962" si="14">+A899&amp;C899</f>
        <v>Missouri2023</v>
      </c>
      <c r="H899">
        <f>+INDEX(Sheet1!C:C, MATCH(Hoja1!G899, Sheet1!D:D, 0))</f>
        <v>430114.4</v>
      </c>
      <c r="I899">
        <f>+INDEX(Sheet1!G:G, MATCH(Hoja1!G899, Sheet1!I:I, 0))</f>
        <v>111955</v>
      </c>
      <c r="J899" s="2">
        <f>+INDEX(Sheet1!H:H, MATCH(Hoja1!G899, Sheet1!I:I, 0))</f>
        <v>2.6008779566886919E-2</v>
      </c>
      <c r="K899" s="2">
        <f>+INDEX(Sheet1!L:L, MATCH(Hoja1!G899,Sheet1!M:M, 0))</f>
        <v>9.6999999999999993</v>
      </c>
    </row>
    <row r="900" spans="1:11" ht="16" x14ac:dyDescent="0.25">
      <c r="A900" t="s">
        <v>731</v>
      </c>
      <c r="B900">
        <v>11</v>
      </c>
      <c r="C900">
        <v>2023</v>
      </c>
      <c r="D900" t="s">
        <v>756</v>
      </c>
      <c r="E900">
        <v>3.3</v>
      </c>
      <c r="F900">
        <v>6196156</v>
      </c>
      <c r="G900" s="1" t="str">
        <f t="shared" si="14"/>
        <v>Missouri2023</v>
      </c>
      <c r="H900">
        <f>+INDEX(Sheet1!C:C, MATCH(Hoja1!G900, Sheet1!D:D, 0))</f>
        <v>430114.4</v>
      </c>
      <c r="I900">
        <f>+INDEX(Sheet1!G:G, MATCH(Hoja1!G900, Sheet1!I:I, 0))</f>
        <v>111955</v>
      </c>
      <c r="J900" s="2">
        <f>+INDEX(Sheet1!H:H, MATCH(Hoja1!G900, Sheet1!I:I, 0))</f>
        <v>2.6008779566886919E-2</v>
      </c>
      <c r="K900" s="2">
        <f>+INDEX(Sheet1!L:L, MATCH(Hoja1!G900,Sheet1!M:M, 0))</f>
        <v>9.6999999999999993</v>
      </c>
    </row>
    <row r="901" spans="1:11" ht="16" x14ac:dyDescent="0.25">
      <c r="A901" t="s">
        <v>731</v>
      </c>
      <c r="B901">
        <v>12</v>
      </c>
      <c r="C901">
        <v>2023</v>
      </c>
      <c r="D901" t="s">
        <v>757</v>
      </c>
      <c r="E901">
        <v>3.3</v>
      </c>
      <c r="F901">
        <v>6196156</v>
      </c>
      <c r="G901" s="1" t="str">
        <f t="shared" si="14"/>
        <v>Missouri2023</v>
      </c>
      <c r="H901">
        <f>+INDEX(Sheet1!C:C, MATCH(Hoja1!G901, Sheet1!D:D, 0))</f>
        <v>430114.4</v>
      </c>
      <c r="I901">
        <f>+INDEX(Sheet1!G:G, MATCH(Hoja1!G901, Sheet1!I:I, 0))</f>
        <v>111955</v>
      </c>
      <c r="J901" s="2">
        <f>+INDEX(Sheet1!H:H, MATCH(Hoja1!G901, Sheet1!I:I, 0))</f>
        <v>2.6008779566886919E-2</v>
      </c>
      <c r="K901" s="2">
        <f>+INDEX(Sheet1!L:L, MATCH(Hoja1!G901,Sheet1!M:M, 0))</f>
        <v>9.6999999999999993</v>
      </c>
    </row>
    <row r="902" spans="1:11" ht="16" x14ac:dyDescent="0.25">
      <c r="A902" t="s">
        <v>758</v>
      </c>
      <c r="B902">
        <v>1</v>
      </c>
      <c r="C902">
        <v>2021</v>
      </c>
      <c r="D902" t="s">
        <v>759</v>
      </c>
      <c r="E902">
        <v>4</v>
      </c>
      <c r="F902">
        <v>1106366</v>
      </c>
      <c r="G902" s="1" t="str">
        <f t="shared" si="14"/>
        <v>Montana2021</v>
      </c>
      <c r="H902">
        <f>+INDEX(Sheet1!C:C, MATCH(Hoja1!G902, Sheet1!D:D, 0))</f>
        <v>60399.7</v>
      </c>
      <c r="I902">
        <f>+INDEX(Sheet1!G:G, MATCH(Hoja1!G902, Sheet1!I:I, 0))</f>
        <v>109971</v>
      </c>
      <c r="J902" s="2">
        <f>+INDEX(Sheet1!H:H, MATCH(Hoja1!G902, Sheet1!I:I, 0))</f>
        <v>6.6468186622962264E-2</v>
      </c>
      <c r="K902" s="2">
        <f>+INDEX(Sheet1!L:L, MATCH(Hoja1!G902,Sheet1!M:M, 0))</f>
        <v>10.7</v>
      </c>
    </row>
    <row r="903" spans="1:11" ht="16" x14ac:dyDescent="0.25">
      <c r="A903" t="s">
        <v>758</v>
      </c>
      <c r="B903">
        <v>2</v>
      </c>
      <c r="C903">
        <v>2021</v>
      </c>
      <c r="D903" t="s">
        <v>760</v>
      </c>
      <c r="E903">
        <v>3.9</v>
      </c>
      <c r="F903">
        <v>1106366</v>
      </c>
      <c r="G903" s="1" t="str">
        <f t="shared" si="14"/>
        <v>Montana2021</v>
      </c>
      <c r="H903">
        <f>+INDEX(Sheet1!C:C, MATCH(Hoja1!G903, Sheet1!D:D, 0))</f>
        <v>60399.7</v>
      </c>
      <c r="I903">
        <f>+INDEX(Sheet1!G:G, MATCH(Hoja1!G903, Sheet1!I:I, 0))</f>
        <v>109971</v>
      </c>
      <c r="J903" s="2">
        <f>+INDEX(Sheet1!H:H, MATCH(Hoja1!G903, Sheet1!I:I, 0))</f>
        <v>6.6468186622962264E-2</v>
      </c>
      <c r="K903" s="2">
        <f>+INDEX(Sheet1!L:L, MATCH(Hoja1!G903,Sheet1!M:M, 0))</f>
        <v>10.7</v>
      </c>
    </row>
    <row r="904" spans="1:11" ht="16" x14ac:dyDescent="0.25">
      <c r="A904" t="s">
        <v>758</v>
      </c>
      <c r="B904">
        <v>3</v>
      </c>
      <c r="C904">
        <v>2021</v>
      </c>
      <c r="D904" t="s">
        <v>698</v>
      </c>
      <c r="E904">
        <v>3.8</v>
      </c>
      <c r="F904">
        <v>1106366</v>
      </c>
      <c r="G904" s="1" t="str">
        <f t="shared" si="14"/>
        <v>Montana2021</v>
      </c>
      <c r="H904">
        <f>+INDEX(Sheet1!C:C, MATCH(Hoja1!G904, Sheet1!D:D, 0))</f>
        <v>60399.7</v>
      </c>
      <c r="I904">
        <f>+INDEX(Sheet1!G:G, MATCH(Hoja1!G904, Sheet1!I:I, 0))</f>
        <v>109971</v>
      </c>
      <c r="J904" s="2">
        <f>+INDEX(Sheet1!H:H, MATCH(Hoja1!G904, Sheet1!I:I, 0))</f>
        <v>6.6468186622962264E-2</v>
      </c>
      <c r="K904" s="2">
        <f>+INDEX(Sheet1!L:L, MATCH(Hoja1!G904,Sheet1!M:M, 0))</f>
        <v>10.7</v>
      </c>
    </row>
    <row r="905" spans="1:11" ht="16" x14ac:dyDescent="0.25">
      <c r="A905" t="s">
        <v>758</v>
      </c>
      <c r="B905">
        <v>4</v>
      </c>
      <c r="C905">
        <v>2021</v>
      </c>
      <c r="D905" t="s">
        <v>761</v>
      </c>
      <c r="E905">
        <v>3.7</v>
      </c>
      <c r="F905">
        <v>1106366</v>
      </c>
      <c r="G905" s="1" t="str">
        <f t="shared" si="14"/>
        <v>Montana2021</v>
      </c>
      <c r="H905">
        <f>+INDEX(Sheet1!C:C, MATCH(Hoja1!G905, Sheet1!D:D, 0))</f>
        <v>60399.7</v>
      </c>
      <c r="I905">
        <f>+INDEX(Sheet1!G:G, MATCH(Hoja1!G905, Sheet1!I:I, 0))</f>
        <v>109971</v>
      </c>
      <c r="J905" s="2">
        <f>+INDEX(Sheet1!H:H, MATCH(Hoja1!G905, Sheet1!I:I, 0))</f>
        <v>6.6468186622962264E-2</v>
      </c>
      <c r="K905" s="2">
        <f>+INDEX(Sheet1!L:L, MATCH(Hoja1!G905,Sheet1!M:M, 0))</f>
        <v>10.7</v>
      </c>
    </row>
    <row r="906" spans="1:11" ht="16" x14ac:dyDescent="0.25">
      <c r="A906" t="s">
        <v>758</v>
      </c>
      <c r="B906">
        <v>5</v>
      </c>
      <c r="C906">
        <v>2021</v>
      </c>
      <c r="D906" t="s">
        <v>762</v>
      </c>
      <c r="E906">
        <v>3.6</v>
      </c>
      <c r="F906">
        <v>1106366</v>
      </c>
      <c r="G906" s="1" t="str">
        <f t="shared" si="14"/>
        <v>Montana2021</v>
      </c>
      <c r="H906">
        <f>+INDEX(Sheet1!C:C, MATCH(Hoja1!G906, Sheet1!D:D, 0))</f>
        <v>60399.7</v>
      </c>
      <c r="I906">
        <f>+INDEX(Sheet1!G:G, MATCH(Hoja1!G906, Sheet1!I:I, 0))</f>
        <v>109971</v>
      </c>
      <c r="J906" s="2">
        <f>+INDEX(Sheet1!H:H, MATCH(Hoja1!G906, Sheet1!I:I, 0))</f>
        <v>6.6468186622962264E-2</v>
      </c>
      <c r="K906" s="2">
        <f>+INDEX(Sheet1!L:L, MATCH(Hoja1!G906,Sheet1!M:M, 0))</f>
        <v>10.7</v>
      </c>
    </row>
    <row r="907" spans="1:11" ht="16" x14ac:dyDescent="0.25">
      <c r="A907" t="s">
        <v>758</v>
      </c>
      <c r="B907">
        <v>6</v>
      </c>
      <c r="C907">
        <v>2021</v>
      </c>
      <c r="D907" t="s">
        <v>686</v>
      </c>
      <c r="E907">
        <v>3.5</v>
      </c>
      <c r="F907">
        <v>1106366</v>
      </c>
      <c r="G907" s="1" t="str">
        <f t="shared" si="14"/>
        <v>Montana2021</v>
      </c>
      <c r="H907">
        <f>+INDEX(Sheet1!C:C, MATCH(Hoja1!G907, Sheet1!D:D, 0))</f>
        <v>60399.7</v>
      </c>
      <c r="I907">
        <f>+INDEX(Sheet1!G:G, MATCH(Hoja1!G907, Sheet1!I:I, 0))</f>
        <v>109971</v>
      </c>
      <c r="J907" s="2">
        <f>+INDEX(Sheet1!H:H, MATCH(Hoja1!G907, Sheet1!I:I, 0))</f>
        <v>6.6468186622962264E-2</v>
      </c>
      <c r="K907" s="2">
        <f>+INDEX(Sheet1!L:L, MATCH(Hoja1!G907,Sheet1!M:M, 0))</f>
        <v>10.7</v>
      </c>
    </row>
    <row r="908" spans="1:11" ht="16" x14ac:dyDescent="0.25">
      <c r="A908" t="s">
        <v>758</v>
      </c>
      <c r="B908">
        <v>7</v>
      </c>
      <c r="C908">
        <v>2021</v>
      </c>
      <c r="D908" t="s">
        <v>763</v>
      </c>
      <c r="E908">
        <v>3.4</v>
      </c>
      <c r="F908">
        <v>1106366</v>
      </c>
      <c r="G908" s="1" t="str">
        <f t="shared" si="14"/>
        <v>Montana2021</v>
      </c>
      <c r="H908">
        <f>+INDEX(Sheet1!C:C, MATCH(Hoja1!G908, Sheet1!D:D, 0))</f>
        <v>60399.7</v>
      </c>
      <c r="I908">
        <f>+INDEX(Sheet1!G:G, MATCH(Hoja1!G908, Sheet1!I:I, 0))</f>
        <v>109971</v>
      </c>
      <c r="J908" s="2">
        <f>+INDEX(Sheet1!H:H, MATCH(Hoja1!G908, Sheet1!I:I, 0))</f>
        <v>6.6468186622962264E-2</v>
      </c>
      <c r="K908" s="2">
        <f>+INDEX(Sheet1!L:L, MATCH(Hoja1!G908,Sheet1!M:M, 0))</f>
        <v>10.7</v>
      </c>
    </row>
    <row r="909" spans="1:11" ht="16" x14ac:dyDescent="0.25">
      <c r="A909" t="s">
        <v>758</v>
      </c>
      <c r="B909">
        <v>8</v>
      </c>
      <c r="C909">
        <v>2021</v>
      </c>
      <c r="D909" t="s">
        <v>764</v>
      </c>
      <c r="E909">
        <v>3.3</v>
      </c>
      <c r="F909">
        <v>1106366</v>
      </c>
      <c r="G909" s="1" t="str">
        <f t="shared" si="14"/>
        <v>Montana2021</v>
      </c>
      <c r="H909">
        <f>+INDEX(Sheet1!C:C, MATCH(Hoja1!G909, Sheet1!D:D, 0))</f>
        <v>60399.7</v>
      </c>
      <c r="I909">
        <f>+INDEX(Sheet1!G:G, MATCH(Hoja1!G909, Sheet1!I:I, 0))</f>
        <v>109971</v>
      </c>
      <c r="J909" s="2">
        <f>+INDEX(Sheet1!H:H, MATCH(Hoja1!G909, Sheet1!I:I, 0))</f>
        <v>6.6468186622962264E-2</v>
      </c>
      <c r="K909" s="2">
        <f>+INDEX(Sheet1!L:L, MATCH(Hoja1!G909,Sheet1!M:M, 0))</f>
        <v>10.7</v>
      </c>
    </row>
    <row r="910" spans="1:11" ht="16" x14ac:dyDescent="0.25">
      <c r="A910" t="s">
        <v>758</v>
      </c>
      <c r="B910">
        <v>9</v>
      </c>
      <c r="C910">
        <v>2021</v>
      </c>
      <c r="D910" t="s">
        <v>765</v>
      </c>
      <c r="E910">
        <v>3.1</v>
      </c>
      <c r="F910">
        <v>1106366</v>
      </c>
      <c r="G910" s="1" t="str">
        <f t="shared" si="14"/>
        <v>Montana2021</v>
      </c>
      <c r="H910">
        <f>+INDEX(Sheet1!C:C, MATCH(Hoja1!G910, Sheet1!D:D, 0))</f>
        <v>60399.7</v>
      </c>
      <c r="I910">
        <f>+INDEX(Sheet1!G:G, MATCH(Hoja1!G910, Sheet1!I:I, 0))</f>
        <v>109971</v>
      </c>
      <c r="J910" s="2">
        <f>+INDEX(Sheet1!H:H, MATCH(Hoja1!G910, Sheet1!I:I, 0))</f>
        <v>6.6468186622962264E-2</v>
      </c>
      <c r="K910" s="2">
        <f>+INDEX(Sheet1!L:L, MATCH(Hoja1!G910,Sheet1!M:M, 0))</f>
        <v>10.7</v>
      </c>
    </row>
    <row r="911" spans="1:11" ht="16" x14ac:dyDescent="0.25">
      <c r="A911" t="s">
        <v>758</v>
      </c>
      <c r="B911">
        <v>10</v>
      </c>
      <c r="C911">
        <v>2021</v>
      </c>
      <c r="D911" t="s">
        <v>766</v>
      </c>
      <c r="E911">
        <v>3</v>
      </c>
      <c r="F911">
        <v>1106366</v>
      </c>
      <c r="G911" s="1" t="str">
        <f t="shared" si="14"/>
        <v>Montana2021</v>
      </c>
      <c r="H911">
        <f>+INDEX(Sheet1!C:C, MATCH(Hoja1!G911, Sheet1!D:D, 0))</f>
        <v>60399.7</v>
      </c>
      <c r="I911">
        <f>+INDEX(Sheet1!G:G, MATCH(Hoja1!G911, Sheet1!I:I, 0))</f>
        <v>109971</v>
      </c>
      <c r="J911" s="2">
        <f>+INDEX(Sheet1!H:H, MATCH(Hoja1!G911, Sheet1!I:I, 0))</f>
        <v>6.6468186622962264E-2</v>
      </c>
      <c r="K911" s="2">
        <f>+INDEX(Sheet1!L:L, MATCH(Hoja1!G911,Sheet1!M:M, 0))</f>
        <v>10.7</v>
      </c>
    </row>
    <row r="912" spans="1:11" ht="16" x14ac:dyDescent="0.25">
      <c r="A912" t="s">
        <v>758</v>
      </c>
      <c r="B912">
        <v>11</v>
      </c>
      <c r="C912">
        <v>2021</v>
      </c>
      <c r="D912" t="s">
        <v>767</v>
      </c>
      <c r="E912">
        <v>2.8</v>
      </c>
      <c r="F912">
        <v>1106366</v>
      </c>
      <c r="G912" s="1" t="str">
        <f t="shared" si="14"/>
        <v>Montana2021</v>
      </c>
      <c r="H912">
        <f>+INDEX(Sheet1!C:C, MATCH(Hoja1!G912, Sheet1!D:D, 0))</f>
        <v>60399.7</v>
      </c>
      <c r="I912">
        <f>+INDEX(Sheet1!G:G, MATCH(Hoja1!G912, Sheet1!I:I, 0))</f>
        <v>109971</v>
      </c>
      <c r="J912" s="2">
        <f>+INDEX(Sheet1!H:H, MATCH(Hoja1!G912, Sheet1!I:I, 0))</f>
        <v>6.6468186622962264E-2</v>
      </c>
      <c r="K912" s="2">
        <f>+INDEX(Sheet1!L:L, MATCH(Hoja1!G912,Sheet1!M:M, 0))</f>
        <v>10.7</v>
      </c>
    </row>
    <row r="913" spans="1:11" ht="16" x14ac:dyDescent="0.25">
      <c r="A913" t="s">
        <v>758</v>
      </c>
      <c r="B913">
        <v>12</v>
      </c>
      <c r="C913">
        <v>2021</v>
      </c>
      <c r="D913" t="s">
        <v>768</v>
      </c>
      <c r="E913">
        <v>2.7</v>
      </c>
      <c r="F913">
        <v>1106366</v>
      </c>
      <c r="G913" s="1" t="str">
        <f t="shared" si="14"/>
        <v>Montana2021</v>
      </c>
      <c r="H913">
        <f>+INDEX(Sheet1!C:C, MATCH(Hoja1!G913, Sheet1!D:D, 0))</f>
        <v>60399.7</v>
      </c>
      <c r="I913">
        <f>+INDEX(Sheet1!G:G, MATCH(Hoja1!G913, Sheet1!I:I, 0))</f>
        <v>109971</v>
      </c>
      <c r="J913" s="2">
        <f>+INDEX(Sheet1!H:H, MATCH(Hoja1!G913, Sheet1!I:I, 0))</f>
        <v>6.6468186622962264E-2</v>
      </c>
      <c r="K913" s="2">
        <f>+INDEX(Sheet1!L:L, MATCH(Hoja1!G913,Sheet1!M:M, 0))</f>
        <v>10.7</v>
      </c>
    </row>
    <row r="914" spans="1:11" ht="16" x14ac:dyDescent="0.25">
      <c r="A914" t="s">
        <v>758</v>
      </c>
      <c r="B914">
        <v>1</v>
      </c>
      <c r="C914">
        <v>2022</v>
      </c>
      <c r="D914">
        <v>31</v>
      </c>
      <c r="E914">
        <v>2.7</v>
      </c>
      <c r="F914">
        <v>1122878</v>
      </c>
      <c r="G914" s="1" t="str">
        <f t="shared" si="14"/>
        <v>Montana2022</v>
      </c>
      <c r="H914">
        <f>+INDEX(Sheet1!C:C, MATCH(Hoja1!G914, Sheet1!D:D, 0))</f>
        <v>68702</v>
      </c>
      <c r="I914">
        <f>+INDEX(Sheet1!G:G, MATCH(Hoja1!G914, Sheet1!I:I, 0))</f>
        <v>113871</v>
      </c>
      <c r="J914" s="2">
        <f>+INDEX(Sheet1!H:H, MATCH(Hoja1!G914, Sheet1!I:I, 0))</f>
        <v>3.5463895026870723E-2</v>
      </c>
      <c r="K914" s="2">
        <f>+INDEX(Sheet1!L:L, MATCH(Hoja1!G914,Sheet1!M:M, 0))</f>
        <v>10.4</v>
      </c>
    </row>
    <row r="915" spans="1:11" ht="16" x14ac:dyDescent="0.25">
      <c r="A915" t="s">
        <v>758</v>
      </c>
      <c r="B915">
        <v>2</v>
      </c>
      <c r="C915">
        <v>2022</v>
      </c>
      <c r="D915" t="s">
        <v>769</v>
      </c>
      <c r="E915">
        <v>2.6</v>
      </c>
      <c r="F915">
        <v>1122878</v>
      </c>
      <c r="G915" s="1" t="str">
        <f t="shared" si="14"/>
        <v>Montana2022</v>
      </c>
      <c r="H915">
        <f>+INDEX(Sheet1!C:C, MATCH(Hoja1!G915, Sheet1!D:D, 0))</f>
        <v>68702</v>
      </c>
      <c r="I915">
        <f>+INDEX(Sheet1!G:G, MATCH(Hoja1!G915, Sheet1!I:I, 0))</f>
        <v>113871</v>
      </c>
      <c r="J915" s="2">
        <f>+INDEX(Sheet1!H:H, MATCH(Hoja1!G915, Sheet1!I:I, 0))</f>
        <v>3.5463895026870723E-2</v>
      </c>
      <c r="K915" s="2">
        <f>+INDEX(Sheet1!L:L, MATCH(Hoja1!G915,Sheet1!M:M, 0))</f>
        <v>10.4</v>
      </c>
    </row>
    <row r="916" spans="1:11" ht="16" x14ac:dyDescent="0.25">
      <c r="A916" t="s">
        <v>758</v>
      </c>
      <c r="B916">
        <v>3</v>
      </c>
      <c r="C916">
        <v>2022</v>
      </c>
      <c r="D916" t="s">
        <v>770</v>
      </c>
      <c r="E916">
        <v>2.6</v>
      </c>
      <c r="F916">
        <v>1122878</v>
      </c>
      <c r="G916" s="1" t="str">
        <f t="shared" si="14"/>
        <v>Montana2022</v>
      </c>
      <c r="H916">
        <f>+INDEX(Sheet1!C:C, MATCH(Hoja1!G916, Sheet1!D:D, 0))</f>
        <v>68702</v>
      </c>
      <c r="I916">
        <f>+INDEX(Sheet1!G:G, MATCH(Hoja1!G916, Sheet1!I:I, 0))</f>
        <v>113871</v>
      </c>
      <c r="J916" s="2">
        <f>+INDEX(Sheet1!H:H, MATCH(Hoja1!G916, Sheet1!I:I, 0))</f>
        <v>3.5463895026870723E-2</v>
      </c>
      <c r="K916" s="2">
        <f>+INDEX(Sheet1!L:L, MATCH(Hoja1!G916,Sheet1!M:M, 0))</f>
        <v>10.4</v>
      </c>
    </row>
    <row r="917" spans="1:11" ht="16" x14ac:dyDescent="0.25">
      <c r="A917" t="s">
        <v>758</v>
      </c>
      <c r="B917">
        <v>4</v>
      </c>
      <c r="C917">
        <v>2022</v>
      </c>
      <c r="D917" t="s">
        <v>771</v>
      </c>
      <c r="E917">
        <v>2.7</v>
      </c>
      <c r="F917">
        <v>1122878</v>
      </c>
      <c r="G917" s="1" t="str">
        <f t="shared" si="14"/>
        <v>Montana2022</v>
      </c>
      <c r="H917">
        <f>+INDEX(Sheet1!C:C, MATCH(Hoja1!G917, Sheet1!D:D, 0))</f>
        <v>68702</v>
      </c>
      <c r="I917">
        <f>+INDEX(Sheet1!G:G, MATCH(Hoja1!G917, Sheet1!I:I, 0))</f>
        <v>113871</v>
      </c>
      <c r="J917" s="2">
        <f>+INDEX(Sheet1!H:H, MATCH(Hoja1!G917, Sheet1!I:I, 0))</f>
        <v>3.5463895026870723E-2</v>
      </c>
      <c r="K917" s="2">
        <f>+INDEX(Sheet1!L:L, MATCH(Hoja1!G917,Sheet1!M:M, 0))</f>
        <v>10.4</v>
      </c>
    </row>
    <row r="918" spans="1:11" ht="16" x14ac:dyDescent="0.25">
      <c r="A918" t="s">
        <v>758</v>
      </c>
      <c r="B918">
        <v>5</v>
      </c>
      <c r="C918">
        <v>2022</v>
      </c>
      <c r="D918" t="s">
        <v>772</v>
      </c>
      <c r="E918">
        <v>2.7</v>
      </c>
      <c r="F918">
        <v>1122878</v>
      </c>
      <c r="G918" s="1" t="str">
        <f t="shared" si="14"/>
        <v>Montana2022</v>
      </c>
      <c r="H918">
        <f>+INDEX(Sheet1!C:C, MATCH(Hoja1!G918, Sheet1!D:D, 0))</f>
        <v>68702</v>
      </c>
      <c r="I918">
        <f>+INDEX(Sheet1!G:G, MATCH(Hoja1!G918, Sheet1!I:I, 0))</f>
        <v>113871</v>
      </c>
      <c r="J918" s="2">
        <f>+INDEX(Sheet1!H:H, MATCH(Hoja1!G918, Sheet1!I:I, 0))</f>
        <v>3.5463895026870723E-2</v>
      </c>
      <c r="K918" s="2">
        <f>+INDEX(Sheet1!L:L, MATCH(Hoja1!G918,Sheet1!M:M, 0))</f>
        <v>10.4</v>
      </c>
    </row>
    <row r="919" spans="1:11" ht="16" x14ac:dyDescent="0.25">
      <c r="A919" t="s">
        <v>758</v>
      </c>
      <c r="B919">
        <v>6</v>
      </c>
      <c r="C919">
        <v>2022</v>
      </c>
      <c r="D919" t="s">
        <v>773</v>
      </c>
      <c r="E919">
        <v>2.7</v>
      </c>
      <c r="F919">
        <v>1122878</v>
      </c>
      <c r="G919" s="1" t="str">
        <f t="shared" si="14"/>
        <v>Montana2022</v>
      </c>
      <c r="H919">
        <f>+INDEX(Sheet1!C:C, MATCH(Hoja1!G919, Sheet1!D:D, 0))</f>
        <v>68702</v>
      </c>
      <c r="I919">
        <f>+INDEX(Sheet1!G:G, MATCH(Hoja1!G919, Sheet1!I:I, 0))</f>
        <v>113871</v>
      </c>
      <c r="J919" s="2">
        <f>+INDEX(Sheet1!H:H, MATCH(Hoja1!G919, Sheet1!I:I, 0))</f>
        <v>3.5463895026870723E-2</v>
      </c>
      <c r="K919" s="2">
        <f>+INDEX(Sheet1!L:L, MATCH(Hoja1!G919,Sheet1!M:M, 0))</f>
        <v>10.4</v>
      </c>
    </row>
    <row r="920" spans="1:11" ht="16" x14ac:dyDescent="0.25">
      <c r="A920" t="s">
        <v>758</v>
      </c>
      <c r="B920">
        <v>7</v>
      </c>
      <c r="C920">
        <v>2022</v>
      </c>
      <c r="D920" t="s">
        <v>774</v>
      </c>
      <c r="E920">
        <v>2.8</v>
      </c>
      <c r="F920">
        <v>1122878</v>
      </c>
      <c r="G920" s="1" t="str">
        <f t="shared" si="14"/>
        <v>Montana2022</v>
      </c>
      <c r="H920">
        <f>+INDEX(Sheet1!C:C, MATCH(Hoja1!G920, Sheet1!D:D, 0))</f>
        <v>68702</v>
      </c>
      <c r="I920">
        <f>+INDEX(Sheet1!G:G, MATCH(Hoja1!G920, Sheet1!I:I, 0))</f>
        <v>113871</v>
      </c>
      <c r="J920" s="2">
        <f>+INDEX(Sheet1!H:H, MATCH(Hoja1!G920, Sheet1!I:I, 0))</f>
        <v>3.5463895026870723E-2</v>
      </c>
      <c r="K920" s="2">
        <f>+INDEX(Sheet1!L:L, MATCH(Hoja1!G920,Sheet1!M:M, 0))</f>
        <v>10.4</v>
      </c>
    </row>
    <row r="921" spans="1:11" ht="16" x14ac:dyDescent="0.25">
      <c r="A921" t="s">
        <v>758</v>
      </c>
      <c r="B921">
        <v>8</v>
      </c>
      <c r="C921">
        <v>2022</v>
      </c>
      <c r="D921" t="s">
        <v>775</v>
      </c>
      <c r="E921">
        <v>2.8</v>
      </c>
      <c r="F921">
        <v>1122878</v>
      </c>
      <c r="G921" s="1" t="str">
        <f t="shared" si="14"/>
        <v>Montana2022</v>
      </c>
      <c r="H921">
        <f>+INDEX(Sheet1!C:C, MATCH(Hoja1!G921, Sheet1!D:D, 0))</f>
        <v>68702</v>
      </c>
      <c r="I921">
        <f>+INDEX(Sheet1!G:G, MATCH(Hoja1!G921, Sheet1!I:I, 0))</f>
        <v>113871</v>
      </c>
      <c r="J921" s="2">
        <f>+INDEX(Sheet1!H:H, MATCH(Hoja1!G921, Sheet1!I:I, 0))</f>
        <v>3.5463895026870723E-2</v>
      </c>
      <c r="K921" s="2">
        <f>+INDEX(Sheet1!L:L, MATCH(Hoja1!G921,Sheet1!M:M, 0))</f>
        <v>10.4</v>
      </c>
    </row>
    <row r="922" spans="1:11" ht="16" x14ac:dyDescent="0.25">
      <c r="A922" t="s">
        <v>758</v>
      </c>
      <c r="B922">
        <v>9</v>
      </c>
      <c r="C922">
        <v>2022</v>
      </c>
      <c r="D922" t="s">
        <v>776</v>
      </c>
      <c r="E922">
        <v>2.7</v>
      </c>
      <c r="F922">
        <v>1122878</v>
      </c>
      <c r="G922" s="1" t="str">
        <f t="shared" si="14"/>
        <v>Montana2022</v>
      </c>
      <c r="H922">
        <f>+INDEX(Sheet1!C:C, MATCH(Hoja1!G922, Sheet1!D:D, 0))</f>
        <v>68702</v>
      </c>
      <c r="I922">
        <f>+INDEX(Sheet1!G:G, MATCH(Hoja1!G922, Sheet1!I:I, 0))</f>
        <v>113871</v>
      </c>
      <c r="J922" s="2">
        <f>+INDEX(Sheet1!H:H, MATCH(Hoja1!G922, Sheet1!I:I, 0))</f>
        <v>3.5463895026870723E-2</v>
      </c>
      <c r="K922" s="2">
        <f>+INDEX(Sheet1!L:L, MATCH(Hoja1!G922,Sheet1!M:M, 0))</f>
        <v>10.4</v>
      </c>
    </row>
    <row r="923" spans="1:11" ht="16" x14ac:dyDescent="0.25">
      <c r="A923" t="s">
        <v>758</v>
      </c>
      <c r="B923">
        <v>10</v>
      </c>
      <c r="C923">
        <v>2022</v>
      </c>
      <c r="D923" t="s">
        <v>777</v>
      </c>
      <c r="E923">
        <v>2.7</v>
      </c>
      <c r="F923">
        <v>1122878</v>
      </c>
      <c r="G923" s="1" t="str">
        <f t="shared" si="14"/>
        <v>Montana2022</v>
      </c>
      <c r="H923">
        <f>+INDEX(Sheet1!C:C, MATCH(Hoja1!G923, Sheet1!D:D, 0))</f>
        <v>68702</v>
      </c>
      <c r="I923">
        <f>+INDEX(Sheet1!G:G, MATCH(Hoja1!G923, Sheet1!I:I, 0))</f>
        <v>113871</v>
      </c>
      <c r="J923" s="2">
        <f>+INDEX(Sheet1!H:H, MATCH(Hoja1!G923, Sheet1!I:I, 0))</f>
        <v>3.5463895026870723E-2</v>
      </c>
      <c r="K923" s="2">
        <f>+INDEX(Sheet1!L:L, MATCH(Hoja1!G923,Sheet1!M:M, 0))</f>
        <v>10.4</v>
      </c>
    </row>
    <row r="924" spans="1:11" ht="16" x14ac:dyDescent="0.25">
      <c r="A924" t="s">
        <v>758</v>
      </c>
      <c r="B924">
        <v>11</v>
      </c>
      <c r="C924">
        <v>2022</v>
      </c>
      <c r="D924" t="s">
        <v>778</v>
      </c>
      <c r="E924">
        <v>2.6</v>
      </c>
      <c r="F924">
        <v>1122878</v>
      </c>
      <c r="G924" s="1" t="str">
        <f t="shared" si="14"/>
        <v>Montana2022</v>
      </c>
      <c r="H924">
        <f>+INDEX(Sheet1!C:C, MATCH(Hoja1!G924, Sheet1!D:D, 0))</f>
        <v>68702</v>
      </c>
      <c r="I924">
        <f>+INDEX(Sheet1!G:G, MATCH(Hoja1!G924, Sheet1!I:I, 0))</f>
        <v>113871</v>
      </c>
      <c r="J924" s="2">
        <f>+INDEX(Sheet1!H:H, MATCH(Hoja1!G924, Sheet1!I:I, 0))</f>
        <v>3.5463895026870723E-2</v>
      </c>
      <c r="K924" s="2">
        <f>+INDEX(Sheet1!L:L, MATCH(Hoja1!G924,Sheet1!M:M, 0))</f>
        <v>10.4</v>
      </c>
    </row>
    <row r="925" spans="1:11" ht="16" x14ac:dyDescent="0.25">
      <c r="A925" t="s">
        <v>758</v>
      </c>
      <c r="B925">
        <v>12</v>
      </c>
      <c r="C925">
        <v>2022</v>
      </c>
      <c r="D925" t="s">
        <v>568</v>
      </c>
      <c r="E925">
        <v>2.6</v>
      </c>
      <c r="F925">
        <v>1122878</v>
      </c>
      <c r="G925" s="1" t="str">
        <f t="shared" si="14"/>
        <v>Montana2022</v>
      </c>
      <c r="H925">
        <f>+INDEX(Sheet1!C:C, MATCH(Hoja1!G925, Sheet1!D:D, 0))</f>
        <v>68702</v>
      </c>
      <c r="I925">
        <f>+INDEX(Sheet1!G:G, MATCH(Hoja1!G925, Sheet1!I:I, 0))</f>
        <v>113871</v>
      </c>
      <c r="J925" s="2">
        <f>+INDEX(Sheet1!H:H, MATCH(Hoja1!G925, Sheet1!I:I, 0))</f>
        <v>3.5463895026870723E-2</v>
      </c>
      <c r="K925" s="2">
        <f>+INDEX(Sheet1!L:L, MATCH(Hoja1!G925,Sheet1!M:M, 0))</f>
        <v>10.4</v>
      </c>
    </row>
    <row r="926" spans="1:11" ht="16" x14ac:dyDescent="0.25">
      <c r="A926" t="s">
        <v>758</v>
      </c>
      <c r="B926">
        <v>1</v>
      </c>
      <c r="C926">
        <v>2023</v>
      </c>
      <c r="D926" t="s">
        <v>779</v>
      </c>
      <c r="E926">
        <v>2.5</v>
      </c>
      <c r="F926">
        <v>1132812</v>
      </c>
      <c r="G926" s="1" t="str">
        <f t="shared" si="14"/>
        <v>Montana2023</v>
      </c>
      <c r="H926">
        <f>+INDEX(Sheet1!C:C, MATCH(Hoja1!G926, Sheet1!D:D, 0))</f>
        <v>73254.5</v>
      </c>
      <c r="I926">
        <f>+INDEX(Sheet1!G:G, MATCH(Hoja1!G926, Sheet1!I:I, 0))</f>
        <v>118367</v>
      </c>
      <c r="J926" s="2">
        <f>+INDEX(Sheet1!H:H, MATCH(Hoja1!G926, Sheet1!I:I, 0))</f>
        <v>3.948327493391645E-2</v>
      </c>
      <c r="K926" s="2">
        <f>+INDEX(Sheet1!L:L, MATCH(Hoja1!G926,Sheet1!M:M, 0))</f>
        <v>8.1</v>
      </c>
    </row>
    <row r="927" spans="1:11" ht="16" x14ac:dyDescent="0.25">
      <c r="A927" t="s">
        <v>758</v>
      </c>
      <c r="B927">
        <v>2</v>
      </c>
      <c r="C927">
        <v>2023</v>
      </c>
      <c r="D927" t="s">
        <v>428</v>
      </c>
      <c r="E927">
        <v>2.5</v>
      </c>
      <c r="F927">
        <v>1132812</v>
      </c>
      <c r="G927" s="1" t="str">
        <f t="shared" si="14"/>
        <v>Montana2023</v>
      </c>
      <c r="H927">
        <f>+INDEX(Sheet1!C:C, MATCH(Hoja1!G927, Sheet1!D:D, 0))</f>
        <v>73254.5</v>
      </c>
      <c r="I927">
        <f>+INDEX(Sheet1!G:G, MATCH(Hoja1!G927, Sheet1!I:I, 0))</f>
        <v>118367</v>
      </c>
      <c r="J927" s="2">
        <f>+INDEX(Sheet1!H:H, MATCH(Hoja1!G927, Sheet1!I:I, 0))</f>
        <v>3.948327493391645E-2</v>
      </c>
      <c r="K927" s="2">
        <f>+INDEX(Sheet1!L:L, MATCH(Hoja1!G927,Sheet1!M:M, 0))</f>
        <v>8.1</v>
      </c>
    </row>
    <row r="928" spans="1:11" ht="16" x14ac:dyDescent="0.25">
      <c r="A928" t="s">
        <v>758</v>
      </c>
      <c r="B928">
        <v>3</v>
      </c>
      <c r="C928">
        <v>2023</v>
      </c>
      <c r="D928" t="s">
        <v>780</v>
      </c>
      <c r="E928">
        <v>2.5</v>
      </c>
      <c r="F928">
        <v>1132812</v>
      </c>
      <c r="G928" s="1" t="str">
        <f t="shared" si="14"/>
        <v>Montana2023</v>
      </c>
      <c r="H928">
        <f>+INDEX(Sheet1!C:C, MATCH(Hoja1!G928, Sheet1!D:D, 0))</f>
        <v>73254.5</v>
      </c>
      <c r="I928">
        <f>+INDEX(Sheet1!G:G, MATCH(Hoja1!G928, Sheet1!I:I, 0))</f>
        <v>118367</v>
      </c>
      <c r="J928" s="2">
        <f>+INDEX(Sheet1!H:H, MATCH(Hoja1!G928, Sheet1!I:I, 0))</f>
        <v>3.948327493391645E-2</v>
      </c>
      <c r="K928" s="2">
        <f>+INDEX(Sheet1!L:L, MATCH(Hoja1!G928,Sheet1!M:M, 0))</f>
        <v>8.1</v>
      </c>
    </row>
    <row r="929" spans="1:11" ht="16" x14ac:dyDescent="0.25">
      <c r="A929" t="s">
        <v>758</v>
      </c>
      <c r="B929">
        <v>4</v>
      </c>
      <c r="C929">
        <v>2023</v>
      </c>
      <c r="D929" t="s">
        <v>781</v>
      </c>
      <c r="E929">
        <v>2.6</v>
      </c>
      <c r="F929">
        <v>1132812</v>
      </c>
      <c r="G929" s="1" t="str">
        <f t="shared" si="14"/>
        <v>Montana2023</v>
      </c>
      <c r="H929">
        <f>+INDEX(Sheet1!C:C, MATCH(Hoja1!G929, Sheet1!D:D, 0))</f>
        <v>73254.5</v>
      </c>
      <c r="I929">
        <f>+INDEX(Sheet1!G:G, MATCH(Hoja1!G929, Sheet1!I:I, 0))</f>
        <v>118367</v>
      </c>
      <c r="J929" s="2">
        <f>+INDEX(Sheet1!H:H, MATCH(Hoja1!G929, Sheet1!I:I, 0))</f>
        <v>3.948327493391645E-2</v>
      </c>
      <c r="K929" s="2">
        <f>+INDEX(Sheet1!L:L, MATCH(Hoja1!G929,Sheet1!M:M, 0))</f>
        <v>8.1</v>
      </c>
    </row>
    <row r="930" spans="1:11" ht="16" x14ac:dyDescent="0.25">
      <c r="A930" t="s">
        <v>758</v>
      </c>
      <c r="B930">
        <v>5</v>
      </c>
      <c r="C930">
        <v>2023</v>
      </c>
      <c r="D930" t="s">
        <v>621</v>
      </c>
      <c r="E930">
        <v>2.6</v>
      </c>
      <c r="F930">
        <v>1132812</v>
      </c>
      <c r="G930" s="1" t="str">
        <f t="shared" si="14"/>
        <v>Montana2023</v>
      </c>
      <c r="H930">
        <f>+INDEX(Sheet1!C:C, MATCH(Hoja1!G930, Sheet1!D:D, 0))</f>
        <v>73254.5</v>
      </c>
      <c r="I930">
        <f>+INDEX(Sheet1!G:G, MATCH(Hoja1!G930, Sheet1!I:I, 0))</f>
        <v>118367</v>
      </c>
      <c r="J930" s="2">
        <f>+INDEX(Sheet1!H:H, MATCH(Hoja1!G930, Sheet1!I:I, 0))</f>
        <v>3.948327493391645E-2</v>
      </c>
      <c r="K930" s="2">
        <f>+INDEX(Sheet1!L:L, MATCH(Hoja1!G930,Sheet1!M:M, 0))</f>
        <v>8.1</v>
      </c>
    </row>
    <row r="931" spans="1:11" ht="16" x14ac:dyDescent="0.25">
      <c r="A931" t="s">
        <v>758</v>
      </c>
      <c r="B931">
        <v>6</v>
      </c>
      <c r="C931">
        <v>2023</v>
      </c>
      <c r="D931" t="s">
        <v>782</v>
      </c>
      <c r="E931">
        <v>2.7</v>
      </c>
      <c r="F931">
        <v>1132812</v>
      </c>
      <c r="G931" s="1" t="str">
        <f t="shared" si="14"/>
        <v>Montana2023</v>
      </c>
      <c r="H931">
        <f>+INDEX(Sheet1!C:C, MATCH(Hoja1!G931, Sheet1!D:D, 0))</f>
        <v>73254.5</v>
      </c>
      <c r="I931">
        <f>+INDEX(Sheet1!G:G, MATCH(Hoja1!G931, Sheet1!I:I, 0))</f>
        <v>118367</v>
      </c>
      <c r="J931" s="2">
        <f>+INDEX(Sheet1!H:H, MATCH(Hoja1!G931, Sheet1!I:I, 0))</f>
        <v>3.948327493391645E-2</v>
      </c>
      <c r="K931" s="2">
        <f>+INDEX(Sheet1!L:L, MATCH(Hoja1!G931,Sheet1!M:M, 0))</f>
        <v>8.1</v>
      </c>
    </row>
    <row r="932" spans="1:11" ht="16" x14ac:dyDescent="0.25">
      <c r="A932" t="s">
        <v>758</v>
      </c>
      <c r="B932">
        <v>7</v>
      </c>
      <c r="C932">
        <v>2023</v>
      </c>
      <c r="D932" t="s">
        <v>783</v>
      </c>
      <c r="E932">
        <v>2.8</v>
      </c>
      <c r="F932">
        <v>1132812</v>
      </c>
      <c r="G932" s="1" t="str">
        <f t="shared" si="14"/>
        <v>Montana2023</v>
      </c>
      <c r="H932">
        <f>+INDEX(Sheet1!C:C, MATCH(Hoja1!G932, Sheet1!D:D, 0))</f>
        <v>73254.5</v>
      </c>
      <c r="I932">
        <f>+INDEX(Sheet1!G:G, MATCH(Hoja1!G932, Sheet1!I:I, 0))</f>
        <v>118367</v>
      </c>
      <c r="J932" s="2">
        <f>+INDEX(Sheet1!H:H, MATCH(Hoja1!G932, Sheet1!I:I, 0))</f>
        <v>3.948327493391645E-2</v>
      </c>
      <c r="K932" s="2">
        <f>+INDEX(Sheet1!L:L, MATCH(Hoja1!G932,Sheet1!M:M, 0))</f>
        <v>8.1</v>
      </c>
    </row>
    <row r="933" spans="1:11" ht="16" x14ac:dyDescent="0.25">
      <c r="A933" t="s">
        <v>758</v>
      </c>
      <c r="B933">
        <v>8</v>
      </c>
      <c r="C933">
        <v>2023</v>
      </c>
      <c r="D933" t="s">
        <v>784</v>
      </c>
      <c r="E933">
        <v>3</v>
      </c>
      <c r="F933">
        <v>1132812</v>
      </c>
      <c r="G933" s="1" t="str">
        <f t="shared" si="14"/>
        <v>Montana2023</v>
      </c>
      <c r="H933">
        <f>+INDEX(Sheet1!C:C, MATCH(Hoja1!G933, Sheet1!D:D, 0))</f>
        <v>73254.5</v>
      </c>
      <c r="I933">
        <f>+INDEX(Sheet1!G:G, MATCH(Hoja1!G933, Sheet1!I:I, 0))</f>
        <v>118367</v>
      </c>
      <c r="J933" s="2">
        <f>+INDEX(Sheet1!H:H, MATCH(Hoja1!G933, Sheet1!I:I, 0))</f>
        <v>3.948327493391645E-2</v>
      </c>
      <c r="K933" s="2">
        <f>+INDEX(Sheet1!L:L, MATCH(Hoja1!G933,Sheet1!M:M, 0))</f>
        <v>8.1</v>
      </c>
    </row>
    <row r="934" spans="1:11" ht="16" x14ac:dyDescent="0.25">
      <c r="A934" t="s">
        <v>758</v>
      </c>
      <c r="B934">
        <v>9</v>
      </c>
      <c r="C934">
        <v>2023</v>
      </c>
      <c r="D934" t="s">
        <v>577</v>
      </c>
      <c r="E934">
        <v>3.2</v>
      </c>
      <c r="F934">
        <v>1132812</v>
      </c>
      <c r="G934" s="1" t="str">
        <f t="shared" si="14"/>
        <v>Montana2023</v>
      </c>
      <c r="H934">
        <f>+INDEX(Sheet1!C:C, MATCH(Hoja1!G934, Sheet1!D:D, 0))</f>
        <v>73254.5</v>
      </c>
      <c r="I934">
        <f>+INDEX(Sheet1!G:G, MATCH(Hoja1!G934, Sheet1!I:I, 0))</f>
        <v>118367</v>
      </c>
      <c r="J934" s="2">
        <f>+INDEX(Sheet1!H:H, MATCH(Hoja1!G934, Sheet1!I:I, 0))</f>
        <v>3.948327493391645E-2</v>
      </c>
      <c r="K934" s="2">
        <f>+INDEX(Sheet1!L:L, MATCH(Hoja1!G934,Sheet1!M:M, 0))</f>
        <v>8.1</v>
      </c>
    </row>
    <row r="935" spans="1:11" ht="16" x14ac:dyDescent="0.25">
      <c r="A935" t="s">
        <v>758</v>
      </c>
      <c r="B935">
        <v>10</v>
      </c>
      <c r="C935">
        <v>2023</v>
      </c>
      <c r="D935" t="s">
        <v>785</v>
      </c>
      <c r="E935">
        <v>3.3</v>
      </c>
      <c r="F935">
        <v>1132812</v>
      </c>
      <c r="G935" s="1" t="str">
        <f t="shared" si="14"/>
        <v>Montana2023</v>
      </c>
      <c r="H935">
        <f>+INDEX(Sheet1!C:C, MATCH(Hoja1!G935, Sheet1!D:D, 0))</f>
        <v>73254.5</v>
      </c>
      <c r="I935">
        <f>+INDEX(Sheet1!G:G, MATCH(Hoja1!G935, Sheet1!I:I, 0))</f>
        <v>118367</v>
      </c>
      <c r="J935" s="2">
        <f>+INDEX(Sheet1!H:H, MATCH(Hoja1!G935, Sheet1!I:I, 0))</f>
        <v>3.948327493391645E-2</v>
      </c>
      <c r="K935" s="2">
        <f>+INDEX(Sheet1!L:L, MATCH(Hoja1!G935,Sheet1!M:M, 0))</f>
        <v>8.1</v>
      </c>
    </row>
    <row r="936" spans="1:11" ht="16" x14ac:dyDescent="0.25">
      <c r="A936" t="s">
        <v>758</v>
      </c>
      <c r="B936">
        <v>11</v>
      </c>
      <c r="C936">
        <v>2023</v>
      </c>
      <c r="D936" t="s">
        <v>786</v>
      </c>
      <c r="E936">
        <v>3.3</v>
      </c>
      <c r="F936">
        <v>1132812</v>
      </c>
      <c r="G936" s="1" t="str">
        <f t="shared" si="14"/>
        <v>Montana2023</v>
      </c>
      <c r="H936">
        <f>+INDEX(Sheet1!C:C, MATCH(Hoja1!G936, Sheet1!D:D, 0))</f>
        <v>73254.5</v>
      </c>
      <c r="I936">
        <f>+INDEX(Sheet1!G:G, MATCH(Hoja1!G936, Sheet1!I:I, 0))</f>
        <v>118367</v>
      </c>
      <c r="J936" s="2">
        <f>+INDEX(Sheet1!H:H, MATCH(Hoja1!G936, Sheet1!I:I, 0))</f>
        <v>3.948327493391645E-2</v>
      </c>
      <c r="K936" s="2">
        <f>+INDEX(Sheet1!L:L, MATCH(Hoja1!G936,Sheet1!M:M, 0))</f>
        <v>8.1</v>
      </c>
    </row>
    <row r="937" spans="1:11" ht="16" x14ac:dyDescent="0.25">
      <c r="A937" t="s">
        <v>758</v>
      </c>
      <c r="B937">
        <v>12</v>
      </c>
      <c r="C937">
        <v>2023</v>
      </c>
      <c r="D937" t="s">
        <v>773</v>
      </c>
      <c r="E937">
        <v>3.3</v>
      </c>
      <c r="F937">
        <v>1132812</v>
      </c>
      <c r="G937" s="1" t="str">
        <f t="shared" si="14"/>
        <v>Montana2023</v>
      </c>
      <c r="H937">
        <f>+INDEX(Sheet1!C:C, MATCH(Hoja1!G937, Sheet1!D:D, 0))</f>
        <v>73254.5</v>
      </c>
      <c r="I937">
        <f>+INDEX(Sheet1!G:G, MATCH(Hoja1!G937, Sheet1!I:I, 0))</f>
        <v>118367</v>
      </c>
      <c r="J937" s="2">
        <f>+INDEX(Sheet1!H:H, MATCH(Hoja1!G937, Sheet1!I:I, 0))</f>
        <v>3.948327493391645E-2</v>
      </c>
      <c r="K937" s="2">
        <f>+INDEX(Sheet1!L:L, MATCH(Hoja1!G937,Sheet1!M:M, 0))</f>
        <v>8.1</v>
      </c>
    </row>
    <row r="938" spans="1:11" ht="16" x14ac:dyDescent="0.25">
      <c r="A938" t="s">
        <v>787</v>
      </c>
      <c r="B938">
        <v>1</v>
      </c>
      <c r="C938">
        <v>2021</v>
      </c>
      <c r="D938" t="s">
        <v>788</v>
      </c>
      <c r="E938">
        <v>3.4</v>
      </c>
      <c r="F938">
        <v>1964253</v>
      </c>
      <c r="G938" s="1" t="str">
        <f t="shared" si="14"/>
        <v>Nebraska2021</v>
      </c>
      <c r="H938">
        <f>+INDEX(Sheet1!C:C, MATCH(Hoja1!G938, Sheet1!D:D, 0))</f>
        <v>150836.1</v>
      </c>
      <c r="I938">
        <f>+INDEX(Sheet1!G:G, MATCH(Hoja1!G938, Sheet1!I:I, 0))</f>
        <v>109511</v>
      </c>
      <c r="J938" s="2">
        <f>+INDEX(Sheet1!H:H, MATCH(Hoja1!G938, Sheet1!I:I, 0))</f>
        <v>6.4733162863504223E-2</v>
      </c>
      <c r="K938" s="2">
        <f>+INDEX(Sheet1!L:L, MATCH(Hoja1!G938,Sheet1!M:M, 0))</f>
        <v>8.1</v>
      </c>
    </row>
    <row r="939" spans="1:11" ht="16" x14ac:dyDescent="0.25">
      <c r="A939" t="s">
        <v>787</v>
      </c>
      <c r="B939">
        <v>2</v>
      </c>
      <c r="C939">
        <v>2021</v>
      </c>
      <c r="D939" t="s">
        <v>789</v>
      </c>
      <c r="E939">
        <v>3.4</v>
      </c>
      <c r="F939">
        <v>1964253</v>
      </c>
      <c r="G939" s="1" t="str">
        <f t="shared" si="14"/>
        <v>Nebraska2021</v>
      </c>
      <c r="H939">
        <f>+INDEX(Sheet1!C:C, MATCH(Hoja1!G939, Sheet1!D:D, 0))</f>
        <v>150836.1</v>
      </c>
      <c r="I939">
        <f>+INDEX(Sheet1!G:G, MATCH(Hoja1!G939, Sheet1!I:I, 0))</f>
        <v>109511</v>
      </c>
      <c r="J939" s="2">
        <f>+INDEX(Sheet1!H:H, MATCH(Hoja1!G939, Sheet1!I:I, 0))</f>
        <v>6.4733162863504223E-2</v>
      </c>
      <c r="K939" s="2">
        <f>+INDEX(Sheet1!L:L, MATCH(Hoja1!G939,Sheet1!M:M, 0))</f>
        <v>8.1</v>
      </c>
    </row>
    <row r="940" spans="1:11" ht="16" x14ac:dyDescent="0.25">
      <c r="A940" t="s">
        <v>787</v>
      </c>
      <c r="B940">
        <v>3</v>
      </c>
      <c r="C940">
        <v>2021</v>
      </c>
      <c r="D940" t="s">
        <v>285</v>
      </c>
      <c r="E940">
        <v>3.1</v>
      </c>
      <c r="F940">
        <v>1964253</v>
      </c>
      <c r="G940" s="1" t="str">
        <f t="shared" si="14"/>
        <v>Nebraska2021</v>
      </c>
      <c r="H940">
        <f>+INDEX(Sheet1!C:C, MATCH(Hoja1!G940, Sheet1!D:D, 0))</f>
        <v>150836.1</v>
      </c>
      <c r="I940">
        <f>+INDEX(Sheet1!G:G, MATCH(Hoja1!G940, Sheet1!I:I, 0))</f>
        <v>109511</v>
      </c>
      <c r="J940" s="2">
        <f>+INDEX(Sheet1!H:H, MATCH(Hoja1!G940, Sheet1!I:I, 0))</f>
        <v>6.4733162863504223E-2</v>
      </c>
      <c r="K940" s="2">
        <f>+INDEX(Sheet1!L:L, MATCH(Hoja1!G940,Sheet1!M:M, 0))</f>
        <v>8.1</v>
      </c>
    </row>
    <row r="941" spans="1:11" ht="16" x14ac:dyDescent="0.25">
      <c r="A941" t="s">
        <v>787</v>
      </c>
      <c r="B941">
        <v>4</v>
      </c>
      <c r="C941">
        <v>2021</v>
      </c>
      <c r="D941" t="s">
        <v>790</v>
      </c>
      <c r="E941">
        <v>2.7</v>
      </c>
      <c r="F941">
        <v>1964253</v>
      </c>
      <c r="G941" s="1" t="str">
        <f t="shared" si="14"/>
        <v>Nebraska2021</v>
      </c>
      <c r="H941">
        <f>+INDEX(Sheet1!C:C, MATCH(Hoja1!G941, Sheet1!D:D, 0))</f>
        <v>150836.1</v>
      </c>
      <c r="I941">
        <f>+INDEX(Sheet1!G:G, MATCH(Hoja1!G941, Sheet1!I:I, 0))</f>
        <v>109511</v>
      </c>
      <c r="J941" s="2">
        <f>+INDEX(Sheet1!H:H, MATCH(Hoja1!G941, Sheet1!I:I, 0))</f>
        <v>6.4733162863504223E-2</v>
      </c>
      <c r="K941" s="2">
        <f>+INDEX(Sheet1!L:L, MATCH(Hoja1!G941,Sheet1!M:M, 0))</f>
        <v>8.1</v>
      </c>
    </row>
    <row r="942" spans="1:11" ht="16" x14ac:dyDescent="0.25">
      <c r="A942" t="s">
        <v>787</v>
      </c>
      <c r="B942">
        <v>5</v>
      </c>
      <c r="C942">
        <v>2021</v>
      </c>
      <c r="D942" t="s">
        <v>791</v>
      </c>
      <c r="E942">
        <v>2.6</v>
      </c>
      <c r="F942">
        <v>1964253</v>
      </c>
      <c r="G942" s="1" t="str">
        <f t="shared" si="14"/>
        <v>Nebraska2021</v>
      </c>
      <c r="H942">
        <f>+INDEX(Sheet1!C:C, MATCH(Hoja1!G942, Sheet1!D:D, 0))</f>
        <v>150836.1</v>
      </c>
      <c r="I942">
        <f>+INDEX(Sheet1!G:G, MATCH(Hoja1!G942, Sheet1!I:I, 0))</f>
        <v>109511</v>
      </c>
      <c r="J942" s="2">
        <f>+INDEX(Sheet1!H:H, MATCH(Hoja1!G942, Sheet1!I:I, 0))</f>
        <v>6.4733162863504223E-2</v>
      </c>
      <c r="K942" s="2">
        <f>+INDEX(Sheet1!L:L, MATCH(Hoja1!G942,Sheet1!M:M, 0))</f>
        <v>8.1</v>
      </c>
    </row>
    <row r="943" spans="1:11" ht="16" x14ac:dyDescent="0.25">
      <c r="A943" t="s">
        <v>787</v>
      </c>
      <c r="B943">
        <v>6</v>
      </c>
      <c r="C943">
        <v>2021</v>
      </c>
      <c r="D943" t="s">
        <v>792</v>
      </c>
      <c r="E943">
        <v>3.1</v>
      </c>
      <c r="F943">
        <v>1964253</v>
      </c>
      <c r="G943" s="1" t="str">
        <f t="shared" si="14"/>
        <v>Nebraska2021</v>
      </c>
      <c r="H943">
        <f>+INDEX(Sheet1!C:C, MATCH(Hoja1!G943, Sheet1!D:D, 0))</f>
        <v>150836.1</v>
      </c>
      <c r="I943">
        <f>+INDEX(Sheet1!G:G, MATCH(Hoja1!G943, Sheet1!I:I, 0))</f>
        <v>109511</v>
      </c>
      <c r="J943" s="2">
        <f>+INDEX(Sheet1!H:H, MATCH(Hoja1!G943, Sheet1!I:I, 0))</f>
        <v>6.4733162863504223E-2</v>
      </c>
      <c r="K943" s="2">
        <f>+INDEX(Sheet1!L:L, MATCH(Hoja1!G943,Sheet1!M:M, 0))</f>
        <v>8.1</v>
      </c>
    </row>
    <row r="944" spans="1:11" ht="16" x14ac:dyDescent="0.25">
      <c r="A944" t="s">
        <v>787</v>
      </c>
      <c r="B944">
        <v>7</v>
      </c>
      <c r="C944">
        <v>2021</v>
      </c>
      <c r="D944" t="s">
        <v>793</v>
      </c>
      <c r="E944">
        <v>2.8</v>
      </c>
      <c r="F944">
        <v>1964253</v>
      </c>
      <c r="G944" s="1" t="str">
        <f t="shared" si="14"/>
        <v>Nebraska2021</v>
      </c>
      <c r="H944">
        <f>+INDEX(Sheet1!C:C, MATCH(Hoja1!G944, Sheet1!D:D, 0))</f>
        <v>150836.1</v>
      </c>
      <c r="I944">
        <f>+INDEX(Sheet1!G:G, MATCH(Hoja1!G944, Sheet1!I:I, 0))</f>
        <v>109511</v>
      </c>
      <c r="J944" s="2">
        <f>+INDEX(Sheet1!H:H, MATCH(Hoja1!G944, Sheet1!I:I, 0))</f>
        <v>6.4733162863504223E-2</v>
      </c>
      <c r="K944" s="2">
        <f>+INDEX(Sheet1!L:L, MATCH(Hoja1!G944,Sheet1!M:M, 0))</f>
        <v>8.1</v>
      </c>
    </row>
    <row r="945" spans="1:11" ht="16" x14ac:dyDescent="0.25">
      <c r="A945" t="s">
        <v>787</v>
      </c>
      <c r="B945">
        <v>8</v>
      </c>
      <c r="C945">
        <v>2021</v>
      </c>
      <c r="D945" t="s">
        <v>794</v>
      </c>
      <c r="E945">
        <v>2.5</v>
      </c>
      <c r="F945">
        <v>1964253</v>
      </c>
      <c r="G945" s="1" t="str">
        <f t="shared" si="14"/>
        <v>Nebraska2021</v>
      </c>
      <c r="H945">
        <f>+INDEX(Sheet1!C:C, MATCH(Hoja1!G945, Sheet1!D:D, 0))</f>
        <v>150836.1</v>
      </c>
      <c r="I945">
        <f>+INDEX(Sheet1!G:G, MATCH(Hoja1!G945, Sheet1!I:I, 0))</f>
        <v>109511</v>
      </c>
      <c r="J945" s="2">
        <f>+INDEX(Sheet1!H:H, MATCH(Hoja1!G945, Sheet1!I:I, 0))</f>
        <v>6.4733162863504223E-2</v>
      </c>
      <c r="K945" s="2">
        <f>+INDEX(Sheet1!L:L, MATCH(Hoja1!G945,Sheet1!M:M, 0))</f>
        <v>8.1</v>
      </c>
    </row>
    <row r="946" spans="1:11" ht="16" x14ac:dyDescent="0.25">
      <c r="A946" t="s">
        <v>787</v>
      </c>
      <c r="B946">
        <v>9</v>
      </c>
      <c r="C946">
        <v>2021</v>
      </c>
      <c r="D946" t="s">
        <v>795</v>
      </c>
      <c r="E946">
        <v>2.1</v>
      </c>
      <c r="F946">
        <v>1964253</v>
      </c>
      <c r="G946" s="1" t="str">
        <f t="shared" si="14"/>
        <v>Nebraska2021</v>
      </c>
      <c r="H946">
        <f>+INDEX(Sheet1!C:C, MATCH(Hoja1!G946, Sheet1!D:D, 0))</f>
        <v>150836.1</v>
      </c>
      <c r="I946">
        <f>+INDEX(Sheet1!G:G, MATCH(Hoja1!G946, Sheet1!I:I, 0))</f>
        <v>109511</v>
      </c>
      <c r="J946" s="2">
        <f>+INDEX(Sheet1!H:H, MATCH(Hoja1!G946, Sheet1!I:I, 0))</f>
        <v>6.4733162863504223E-2</v>
      </c>
      <c r="K946" s="2">
        <f>+INDEX(Sheet1!L:L, MATCH(Hoja1!G946,Sheet1!M:M, 0))</f>
        <v>8.1</v>
      </c>
    </row>
    <row r="947" spans="1:11" ht="16" x14ac:dyDescent="0.25">
      <c r="A947" t="s">
        <v>787</v>
      </c>
      <c r="B947">
        <v>10</v>
      </c>
      <c r="C947">
        <v>2021</v>
      </c>
      <c r="D947" t="s">
        <v>531</v>
      </c>
      <c r="E947">
        <v>2.1</v>
      </c>
      <c r="F947">
        <v>1964253</v>
      </c>
      <c r="G947" s="1" t="str">
        <f t="shared" si="14"/>
        <v>Nebraska2021</v>
      </c>
      <c r="H947">
        <f>+INDEX(Sheet1!C:C, MATCH(Hoja1!G947, Sheet1!D:D, 0))</f>
        <v>150836.1</v>
      </c>
      <c r="I947">
        <f>+INDEX(Sheet1!G:G, MATCH(Hoja1!G947, Sheet1!I:I, 0))</f>
        <v>109511</v>
      </c>
      <c r="J947" s="2">
        <f>+INDEX(Sheet1!H:H, MATCH(Hoja1!G947, Sheet1!I:I, 0))</f>
        <v>6.4733162863504223E-2</v>
      </c>
      <c r="K947" s="2">
        <f>+INDEX(Sheet1!L:L, MATCH(Hoja1!G947,Sheet1!M:M, 0))</f>
        <v>8.1</v>
      </c>
    </row>
    <row r="948" spans="1:11" ht="16" x14ac:dyDescent="0.25">
      <c r="A948" t="s">
        <v>787</v>
      </c>
      <c r="B948">
        <v>11</v>
      </c>
      <c r="C948">
        <v>2021</v>
      </c>
      <c r="D948" t="s">
        <v>796</v>
      </c>
      <c r="E948">
        <v>1.8</v>
      </c>
      <c r="F948">
        <v>1964253</v>
      </c>
      <c r="G948" s="1" t="str">
        <f t="shared" si="14"/>
        <v>Nebraska2021</v>
      </c>
      <c r="H948">
        <f>+INDEX(Sheet1!C:C, MATCH(Hoja1!G948, Sheet1!D:D, 0))</f>
        <v>150836.1</v>
      </c>
      <c r="I948">
        <f>+INDEX(Sheet1!G:G, MATCH(Hoja1!G948, Sheet1!I:I, 0))</f>
        <v>109511</v>
      </c>
      <c r="J948" s="2">
        <f>+INDEX(Sheet1!H:H, MATCH(Hoja1!G948, Sheet1!I:I, 0))</f>
        <v>6.4733162863504223E-2</v>
      </c>
      <c r="K948" s="2">
        <f>+INDEX(Sheet1!L:L, MATCH(Hoja1!G948,Sheet1!M:M, 0))</f>
        <v>8.1</v>
      </c>
    </row>
    <row r="949" spans="1:11" ht="16" x14ac:dyDescent="0.25">
      <c r="A949" t="s">
        <v>787</v>
      </c>
      <c r="B949">
        <v>12</v>
      </c>
      <c r="C949">
        <v>2021</v>
      </c>
      <c r="D949" t="s">
        <v>117</v>
      </c>
      <c r="E949">
        <v>1.8</v>
      </c>
      <c r="F949">
        <v>1964253</v>
      </c>
      <c r="G949" s="1" t="str">
        <f t="shared" si="14"/>
        <v>Nebraska2021</v>
      </c>
      <c r="H949">
        <f>+INDEX(Sheet1!C:C, MATCH(Hoja1!G949, Sheet1!D:D, 0))</f>
        <v>150836.1</v>
      </c>
      <c r="I949">
        <f>+INDEX(Sheet1!G:G, MATCH(Hoja1!G949, Sheet1!I:I, 0))</f>
        <v>109511</v>
      </c>
      <c r="J949" s="2">
        <f>+INDEX(Sheet1!H:H, MATCH(Hoja1!G949, Sheet1!I:I, 0))</f>
        <v>6.4733162863504223E-2</v>
      </c>
      <c r="K949" s="2">
        <f>+INDEX(Sheet1!L:L, MATCH(Hoja1!G949,Sheet1!M:M, 0))</f>
        <v>8.1</v>
      </c>
    </row>
    <row r="950" spans="1:11" ht="16" x14ac:dyDescent="0.25">
      <c r="A950" t="s">
        <v>787</v>
      </c>
      <c r="B950">
        <v>1</v>
      </c>
      <c r="C950">
        <v>2022</v>
      </c>
      <c r="D950" t="s">
        <v>797</v>
      </c>
      <c r="E950">
        <v>2.4</v>
      </c>
      <c r="F950">
        <v>1968060</v>
      </c>
      <c r="G950" s="1" t="str">
        <f t="shared" si="14"/>
        <v>Nebraska2022</v>
      </c>
      <c r="H950">
        <f>+INDEX(Sheet1!C:C, MATCH(Hoja1!G950, Sheet1!D:D, 0))</f>
        <v>167480.20000000001</v>
      </c>
      <c r="I950">
        <f>+INDEX(Sheet1!G:G, MATCH(Hoja1!G950, Sheet1!I:I, 0))</f>
        <v>113164</v>
      </c>
      <c r="J950" s="2">
        <f>+INDEX(Sheet1!H:H, MATCH(Hoja1!G950, Sheet1!I:I, 0))</f>
        <v>3.3357379623964713E-2</v>
      </c>
      <c r="K950" s="2">
        <f>+INDEX(Sheet1!L:L, MATCH(Hoja1!G950,Sheet1!M:M, 0))</f>
        <v>7.9</v>
      </c>
    </row>
    <row r="951" spans="1:11" ht="16" x14ac:dyDescent="0.25">
      <c r="A951" t="s">
        <v>787</v>
      </c>
      <c r="B951">
        <v>2</v>
      </c>
      <c r="C951">
        <v>2022</v>
      </c>
      <c r="D951" t="s">
        <v>14</v>
      </c>
      <c r="E951">
        <v>2.2999999999999998</v>
      </c>
      <c r="F951">
        <v>1968060</v>
      </c>
      <c r="G951" s="1" t="str">
        <f t="shared" si="14"/>
        <v>Nebraska2022</v>
      </c>
      <c r="H951">
        <f>+INDEX(Sheet1!C:C, MATCH(Hoja1!G951, Sheet1!D:D, 0))</f>
        <v>167480.20000000001</v>
      </c>
      <c r="I951">
        <f>+INDEX(Sheet1!G:G, MATCH(Hoja1!G951, Sheet1!I:I, 0))</f>
        <v>113164</v>
      </c>
      <c r="J951" s="2">
        <f>+INDEX(Sheet1!H:H, MATCH(Hoja1!G951, Sheet1!I:I, 0))</f>
        <v>3.3357379623964713E-2</v>
      </c>
      <c r="K951" s="2">
        <f>+INDEX(Sheet1!L:L, MATCH(Hoja1!G951,Sheet1!M:M, 0))</f>
        <v>7.9</v>
      </c>
    </row>
    <row r="952" spans="1:11" ht="16" x14ac:dyDescent="0.25">
      <c r="A952" t="s">
        <v>787</v>
      </c>
      <c r="B952">
        <v>3</v>
      </c>
      <c r="C952">
        <v>2022</v>
      </c>
      <c r="D952" t="s">
        <v>798</v>
      </c>
      <c r="E952">
        <v>2.2000000000000002</v>
      </c>
      <c r="F952">
        <v>1968060</v>
      </c>
      <c r="G952" s="1" t="str">
        <f t="shared" si="14"/>
        <v>Nebraska2022</v>
      </c>
      <c r="H952">
        <f>+INDEX(Sheet1!C:C, MATCH(Hoja1!G952, Sheet1!D:D, 0))</f>
        <v>167480.20000000001</v>
      </c>
      <c r="I952">
        <f>+INDEX(Sheet1!G:G, MATCH(Hoja1!G952, Sheet1!I:I, 0))</f>
        <v>113164</v>
      </c>
      <c r="J952" s="2">
        <f>+INDEX(Sheet1!H:H, MATCH(Hoja1!G952, Sheet1!I:I, 0))</f>
        <v>3.3357379623964713E-2</v>
      </c>
      <c r="K952" s="2">
        <f>+INDEX(Sheet1!L:L, MATCH(Hoja1!G952,Sheet1!M:M, 0))</f>
        <v>7.9</v>
      </c>
    </row>
    <row r="953" spans="1:11" ht="16" x14ac:dyDescent="0.25">
      <c r="A953" t="s">
        <v>787</v>
      </c>
      <c r="B953">
        <v>4</v>
      </c>
      <c r="C953">
        <v>2022</v>
      </c>
      <c r="D953" t="s">
        <v>22</v>
      </c>
      <c r="E953">
        <v>1.9</v>
      </c>
      <c r="F953">
        <v>1968060</v>
      </c>
      <c r="G953" s="1" t="str">
        <f t="shared" si="14"/>
        <v>Nebraska2022</v>
      </c>
      <c r="H953">
        <f>+INDEX(Sheet1!C:C, MATCH(Hoja1!G953, Sheet1!D:D, 0))</f>
        <v>167480.20000000001</v>
      </c>
      <c r="I953">
        <f>+INDEX(Sheet1!G:G, MATCH(Hoja1!G953, Sheet1!I:I, 0))</f>
        <v>113164</v>
      </c>
      <c r="J953" s="2">
        <f>+INDEX(Sheet1!H:H, MATCH(Hoja1!G953, Sheet1!I:I, 0))</f>
        <v>3.3357379623964713E-2</v>
      </c>
      <c r="K953" s="2">
        <f>+INDEX(Sheet1!L:L, MATCH(Hoja1!G953,Sheet1!M:M, 0))</f>
        <v>7.9</v>
      </c>
    </row>
    <row r="954" spans="1:11" ht="16" x14ac:dyDescent="0.25">
      <c r="A954" t="s">
        <v>787</v>
      </c>
      <c r="B954">
        <v>5</v>
      </c>
      <c r="C954">
        <v>2022</v>
      </c>
      <c r="D954" t="s">
        <v>799</v>
      </c>
      <c r="E954">
        <v>1.9</v>
      </c>
      <c r="F954">
        <v>1968060</v>
      </c>
      <c r="G954" s="1" t="str">
        <f t="shared" si="14"/>
        <v>Nebraska2022</v>
      </c>
      <c r="H954">
        <f>+INDEX(Sheet1!C:C, MATCH(Hoja1!G954, Sheet1!D:D, 0))</f>
        <v>167480.20000000001</v>
      </c>
      <c r="I954">
        <f>+INDEX(Sheet1!G:G, MATCH(Hoja1!G954, Sheet1!I:I, 0))</f>
        <v>113164</v>
      </c>
      <c r="J954" s="2">
        <f>+INDEX(Sheet1!H:H, MATCH(Hoja1!G954, Sheet1!I:I, 0))</f>
        <v>3.3357379623964713E-2</v>
      </c>
      <c r="K954" s="2">
        <f>+INDEX(Sheet1!L:L, MATCH(Hoja1!G954,Sheet1!M:M, 0))</f>
        <v>7.9</v>
      </c>
    </row>
    <row r="955" spans="1:11" ht="16" x14ac:dyDescent="0.25">
      <c r="A955" t="s">
        <v>787</v>
      </c>
      <c r="B955">
        <v>6</v>
      </c>
      <c r="C955">
        <v>2022</v>
      </c>
      <c r="D955" t="s">
        <v>800</v>
      </c>
      <c r="E955">
        <v>2.5</v>
      </c>
      <c r="F955">
        <v>1968060</v>
      </c>
      <c r="G955" s="1" t="str">
        <f t="shared" si="14"/>
        <v>Nebraska2022</v>
      </c>
      <c r="H955">
        <f>+INDEX(Sheet1!C:C, MATCH(Hoja1!G955, Sheet1!D:D, 0))</f>
        <v>167480.20000000001</v>
      </c>
      <c r="I955">
        <f>+INDEX(Sheet1!G:G, MATCH(Hoja1!G955, Sheet1!I:I, 0))</f>
        <v>113164</v>
      </c>
      <c r="J955" s="2">
        <f>+INDEX(Sheet1!H:H, MATCH(Hoja1!G955, Sheet1!I:I, 0))</f>
        <v>3.3357379623964713E-2</v>
      </c>
      <c r="K955" s="2">
        <f>+INDEX(Sheet1!L:L, MATCH(Hoja1!G955,Sheet1!M:M, 0))</f>
        <v>7.9</v>
      </c>
    </row>
    <row r="956" spans="1:11" ht="16" x14ac:dyDescent="0.25">
      <c r="A956" t="s">
        <v>787</v>
      </c>
      <c r="B956">
        <v>7</v>
      </c>
      <c r="C956">
        <v>2022</v>
      </c>
      <c r="D956" t="s">
        <v>801</v>
      </c>
      <c r="E956">
        <v>2.4</v>
      </c>
      <c r="F956">
        <v>1968060</v>
      </c>
      <c r="G956" s="1" t="str">
        <f t="shared" si="14"/>
        <v>Nebraska2022</v>
      </c>
      <c r="H956">
        <f>+INDEX(Sheet1!C:C, MATCH(Hoja1!G956, Sheet1!D:D, 0))</f>
        <v>167480.20000000001</v>
      </c>
      <c r="I956">
        <f>+INDEX(Sheet1!G:G, MATCH(Hoja1!G956, Sheet1!I:I, 0))</f>
        <v>113164</v>
      </c>
      <c r="J956" s="2">
        <f>+INDEX(Sheet1!H:H, MATCH(Hoja1!G956, Sheet1!I:I, 0))</f>
        <v>3.3357379623964713E-2</v>
      </c>
      <c r="K956" s="2">
        <f>+INDEX(Sheet1!L:L, MATCH(Hoja1!G956,Sheet1!M:M, 0))</f>
        <v>7.9</v>
      </c>
    </row>
    <row r="957" spans="1:11" ht="16" x14ac:dyDescent="0.25">
      <c r="A957" t="s">
        <v>787</v>
      </c>
      <c r="B957">
        <v>8</v>
      </c>
      <c r="C957">
        <v>2022</v>
      </c>
      <c r="D957" t="s">
        <v>169</v>
      </c>
      <c r="E957">
        <v>2.2000000000000002</v>
      </c>
      <c r="F957">
        <v>1968060</v>
      </c>
      <c r="G957" s="1" t="str">
        <f t="shared" si="14"/>
        <v>Nebraska2022</v>
      </c>
      <c r="H957">
        <f>+INDEX(Sheet1!C:C, MATCH(Hoja1!G957, Sheet1!D:D, 0))</f>
        <v>167480.20000000001</v>
      </c>
      <c r="I957">
        <f>+INDEX(Sheet1!G:G, MATCH(Hoja1!G957, Sheet1!I:I, 0))</f>
        <v>113164</v>
      </c>
      <c r="J957" s="2">
        <f>+INDEX(Sheet1!H:H, MATCH(Hoja1!G957, Sheet1!I:I, 0))</f>
        <v>3.3357379623964713E-2</v>
      </c>
      <c r="K957" s="2">
        <f>+INDEX(Sheet1!L:L, MATCH(Hoja1!G957,Sheet1!M:M, 0))</f>
        <v>7.9</v>
      </c>
    </row>
    <row r="958" spans="1:11" ht="16" x14ac:dyDescent="0.25">
      <c r="A958" t="s">
        <v>787</v>
      </c>
      <c r="B958">
        <v>9</v>
      </c>
      <c r="C958">
        <v>2022</v>
      </c>
      <c r="D958" t="s">
        <v>802</v>
      </c>
      <c r="E958">
        <v>2</v>
      </c>
      <c r="F958">
        <v>1968060</v>
      </c>
      <c r="G958" s="1" t="str">
        <f t="shared" si="14"/>
        <v>Nebraska2022</v>
      </c>
      <c r="H958">
        <f>+INDEX(Sheet1!C:C, MATCH(Hoja1!G958, Sheet1!D:D, 0))</f>
        <v>167480.20000000001</v>
      </c>
      <c r="I958">
        <f>+INDEX(Sheet1!G:G, MATCH(Hoja1!G958, Sheet1!I:I, 0))</f>
        <v>113164</v>
      </c>
      <c r="J958" s="2">
        <f>+INDEX(Sheet1!H:H, MATCH(Hoja1!G958, Sheet1!I:I, 0))</f>
        <v>3.3357379623964713E-2</v>
      </c>
      <c r="K958" s="2">
        <f>+INDEX(Sheet1!L:L, MATCH(Hoja1!G958,Sheet1!M:M, 0))</f>
        <v>7.9</v>
      </c>
    </row>
    <row r="959" spans="1:11" ht="16" x14ac:dyDescent="0.25">
      <c r="A959" t="s">
        <v>787</v>
      </c>
      <c r="B959">
        <v>10</v>
      </c>
      <c r="C959">
        <v>2022</v>
      </c>
      <c r="D959" t="s">
        <v>803</v>
      </c>
      <c r="E959">
        <v>2.1</v>
      </c>
      <c r="F959">
        <v>1968060</v>
      </c>
      <c r="G959" s="1" t="str">
        <f t="shared" si="14"/>
        <v>Nebraska2022</v>
      </c>
      <c r="H959">
        <f>+INDEX(Sheet1!C:C, MATCH(Hoja1!G959, Sheet1!D:D, 0))</f>
        <v>167480.20000000001</v>
      </c>
      <c r="I959">
        <f>+INDEX(Sheet1!G:G, MATCH(Hoja1!G959, Sheet1!I:I, 0))</f>
        <v>113164</v>
      </c>
      <c r="J959" s="2">
        <f>+INDEX(Sheet1!H:H, MATCH(Hoja1!G959, Sheet1!I:I, 0))</f>
        <v>3.3357379623964713E-2</v>
      </c>
      <c r="K959" s="2">
        <f>+INDEX(Sheet1!L:L, MATCH(Hoja1!G959,Sheet1!M:M, 0))</f>
        <v>7.9</v>
      </c>
    </row>
    <row r="960" spans="1:11" ht="16" x14ac:dyDescent="0.25">
      <c r="A960" t="s">
        <v>787</v>
      </c>
      <c r="B960">
        <v>11</v>
      </c>
      <c r="C960">
        <v>2022</v>
      </c>
      <c r="D960" t="s">
        <v>804</v>
      </c>
      <c r="E960">
        <v>2</v>
      </c>
      <c r="F960">
        <v>1968060</v>
      </c>
      <c r="G960" s="1" t="str">
        <f t="shared" si="14"/>
        <v>Nebraska2022</v>
      </c>
      <c r="H960">
        <f>+INDEX(Sheet1!C:C, MATCH(Hoja1!G960, Sheet1!D:D, 0))</f>
        <v>167480.20000000001</v>
      </c>
      <c r="I960">
        <f>+INDEX(Sheet1!G:G, MATCH(Hoja1!G960, Sheet1!I:I, 0))</f>
        <v>113164</v>
      </c>
      <c r="J960" s="2">
        <f>+INDEX(Sheet1!H:H, MATCH(Hoja1!G960, Sheet1!I:I, 0))</f>
        <v>3.3357379623964713E-2</v>
      </c>
      <c r="K960" s="2">
        <f>+INDEX(Sheet1!L:L, MATCH(Hoja1!G960,Sheet1!M:M, 0))</f>
        <v>7.9</v>
      </c>
    </row>
    <row r="961" spans="1:11" ht="16" x14ac:dyDescent="0.25">
      <c r="A961" t="s">
        <v>787</v>
      </c>
      <c r="B961">
        <v>12</v>
      </c>
      <c r="C961">
        <v>2022</v>
      </c>
      <c r="D961" t="s">
        <v>805</v>
      </c>
      <c r="E961">
        <v>2</v>
      </c>
      <c r="F961">
        <v>1968060</v>
      </c>
      <c r="G961" s="1" t="str">
        <f t="shared" si="14"/>
        <v>Nebraska2022</v>
      </c>
      <c r="H961">
        <f>+INDEX(Sheet1!C:C, MATCH(Hoja1!G961, Sheet1!D:D, 0))</f>
        <v>167480.20000000001</v>
      </c>
      <c r="I961">
        <f>+INDEX(Sheet1!G:G, MATCH(Hoja1!G961, Sheet1!I:I, 0))</f>
        <v>113164</v>
      </c>
      <c r="J961" s="2">
        <f>+INDEX(Sheet1!H:H, MATCH(Hoja1!G961, Sheet1!I:I, 0))</f>
        <v>3.3357379623964713E-2</v>
      </c>
      <c r="K961" s="2">
        <f>+INDEX(Sheet1!L:L, MATCH(Hoja1!G961,Sheet1!M:M, 0))</f>
        <v>7.9</v>
      </c>
    </row>
    <row r="962" spans="1:11" ht="16" x14ac:dyDescent="0.25">
      <c r="A962" t="s">
        <v>787</v>
      </c>
      <c r="B962">
        <v>1</v>
      </c>
      <c r="C962">
        <v>2023</v>
      </c>
      <c r="D962" t="s">
        <v>806</v>
      </c>
      <c r="E962">
        <v>2.2999999999999998</v>
      </c>
      <c r="F962">
        <v>1978379</v>
      </c>
      <c r="G962" s="1" t="str">
        <f t="shared" si="14"/>
        <v>Nebraska2023</v>
      </c>
      <c r="H962">
        <f>+INDEX(Sheet1!C:C, MATCH(Hoja1!G962, Sheet1!D:D, 0))</f>
        <v>181285</v>
      </c>
      <c r="I962">
        <f>+INDEX(Sheet1!G:G, MATCH(Hoja1!G962, Sheet1!I:I, 0))</f>
        <v>117692</v>
      </c>
      <c r="J962" s="2">
        <f>+INDEX(Sheet1!H:H, MATCH(Hoja1!G962, Sheet1!I:I, 0))</f>
        <v>4.001272489484288E-2</v>
      </c>
      <c r="K962" s="2">
        <f>+INDEX(Sheet1!L:L, MATCH(Hoja1!G962,Sheet1!M:M, 0))</f>
        <v>9.1999999999999993</v>
      </c>
    </row>
    <row r="963" spans="1:11" ht="16" x14ac:dyDescent="0.25">
      <c r="A963" t="s">
        <v>787</v>
      </c>
      <c r="B963">
        <v>2</v>
      </c>
      <c r="C963">
        <v>2023</v>
      </c>
      <c r="D963" t="s">
        <v>807</v>
      </c>
      <c r="E963">
        <v>2.2999999999999998</v>
      </c>
      <c r="F963">
        <v>1978379</v>
      </c>
      <c r="G963" s="1" t="str">
        <f t="shared" ref="G963:G1026" si="15">+A963&amp;C963</f>
        <v>Nebraska2023</v>
      </c>
      <c r="H963">
        <f>+INDEX(Sheet1!C:C, MATCH(Hoja1!G963, Sheet1!D:D, 0))</f>
        <v>181285</v>
      </c>
      <c r="I963">
        <f>+INDEX(Sheet1!G:G, MATCH(Hoja1!G963, Sheet1!I:I, 0))</f>
        <v>117692</v>
      </c>
      <c r="J963" s="2">
        <f>+INDEX(Sheet1!H:H, MATCH(Hoja1!G963, Sheet1!I:I, 0))</f>
        <v>4.001272489484288E-2</v>
      </c>
      <c r="K963" s="2">
        <f>+INDEX(Sheet1!L:L, MATCH(Hoja1!G963,Sheet1!M:M, 0))</f>
        <v>9.1999999999999993</v>
      </c>
    </row>
    <row r="964" spans="1:11" ht="16" x14ac:dyDescent="0.25">
      <c r="A964" t="s">
        <v>787</v>
      </c>
      <c r="B964">
        <v>3</v>
      </c>
      <c r="C964">
        <v>2023</v>
      </c>
      <c r="D964" t="s">
        <v>808</v>
      </c>
      <c r="E964">
        <v>2.2000000000000002</v>
      </c>
      <c r="F964">
        <v>1978379</v>
      </c>
      <c r="G964" s="1" t="str">
        <f t="shared" si="15"/>
        <v>Nebraska2023</v>
      </c>
      <c r="H964">
        <f>+INDEX(Sheet1!C:C, MATCH(Hoja1!G964, Sheet1!D:D, 0))</f>
        <v>181285</v>
      </c>
      <c r="I964">
        <f>+INDEX(Sheet1!G:G, MATCH(Hoja1!G964, Sheet1!I:I, 0))</f>
        <v>117692</v>
      </c>
      <c r="J964" s="2">
        <f>+INDEX(Sheet1!H:H, MATCH(Hoja1!G964, Sheet1!I:I, 0))</f>
        <v>4.001272489484288E-2</v>
      </c>
      <c r="K964" s="2">
        <f>+INDEX(Sheet1!L:L, MATCH(Hoja1!G964,Sheet1!M:M, 0))</f>
        <v>9.1999999999999993</v>
      </c>
    </row>
    <row r="965" spans="1:11" ht="16" x14ac:dyDescent="0.25">
      <c r="A965" t="s">
        <v>787</v>
      </c>
      <c r="B965">
        <v>4</v>
      </c>
      <c r="C965">
        <v>2023</v>
      </c>
      <c r="D965" t="s">
        <v>596</v>
      </c>
      <c r="E965">
        <v>2</v>
      </c>
      <c r="F965">
        <v>1978379</v>
      </c>
      <c r="G965" s="1" t="str">
        <f t="shared" si="15"/>
        <v>Nebraska2023</v>
      </c>
      <c r="H965">
        <f>+INDEX(Sheet1!C:C, MATCH(Hoja1!G965, Sheet1!D:D, 0))</f>
        <v>181285</v>
      </c>
      <c r="I965">
        <f>+INDEX(Sheet1!G:G, MATCH(Hoja1!G965, Sheet1!I:I, 0))</f>
        <v>117692</v>
      </c>
      <c r="J965" s="2">
        <f>+INDEX(Sheet1!H:H, MATCH(Hoja1!G965, Sheet1!I:I, 0))</f>
        <v>4.001272489484288E-2</v>
      </c>
      <c r="K965" s="2">
        <f>+INDEX(Sheet1!L:L, MATCH(Hoja1!G965,Sheet1!M:M, 0))</f>
        <v>9.1999999999999993</v>
      </c>
    </row>
    <row r="966" spans="1:11" ht="16" x14ac:dyDescent="0.25">
      <c r="A966" t="s">
        <v>787</v>
      </c>
      <c r="B966">
        <v>5</v>
      </c>
      <c r="C966">
        <v>2023</v>
      </c>
      <c r="D966" t="s">
        <v>498</v>
      </c>
      <c r="E966">
        <v>2.2000000000000002</v>
      </c>
      <c r="F966">
        <v>1978379</v>
      </c>
      <c r="G966" s="1" t="str">
        <f t="shared" si="15"/>
        <v>Nebraska2023</v>
      </c>
      <c r="H966">
        <f>+INDEX(Sheet1!C:C, MATCH(Hoja1!G966, Sheet1!D:D, 0))</f>
        <v>181285</v>
      </c>
      <c r="I966">
        <f>+INDEX(Sheet1!G:G, MATCH(Hoja1!G966, Sheet1!I:I, 0))</f>
        <v>117692</v>
      </c>
      <c r="J966" s="2">
        <f>+INDEX(Sheet1!H:H, MATCH(Hoja1!G966, Sheet1!I:I, 0))</f>
        <v>4.001272489484288E-2</v>
      </c>
      <c r="K966" s="2">
        <f>+INDEX(Sheet1!L:L, MATCH(Hoja1!G966,Sheet1!M:M, 0))</f>
        <v>9.1999999999999993</v>
      </c>
    </row>
    <row r="967" spans="1:11" ht="16" x14ac:dyDescent="0.25">
      <c r="A967" t="s">
        <v>787</v>
      </c>
      <c r="B967">
        <v>6</v>
      </c>
      <c r="C967">
        <v>2023</v>
      </c>
      <c r="D967" t="s">
        <v>809</v>
      </c>
      <c r="E967">
        <v>2.5</v>
      </c>
      <c r="F967">
        <v>1978379</v>
      </c>
      <c r="G967" s="1" t="str">
        <f t="shared" si="15"/>
        <v>Nebraska2023</v>
      </c>
      <c r="H967">
        <f>+INDEX(Sheet1!C:C, MATCH(Hoja1!G967, Sheet1!D:D, 0))</f>
        <v>181285</v>
      </c>
      <c r="I967">
        <f>+INDEX(Sheet1!G:G, MATCH(Hoja1!G967, Sheet1!I:I, 0))</f>
        <v>117692</v>
      </c>
      <c r="J967" s="2">
        <f>+INDEX(Sheet1!H:H, MATCH(Hoja1!G967, Sheet1!I:I, 0))</f>
        <v>4.001272489484288E-2</v>
      </c>
      <c r="K967" s="2">
        <f>+INDEX(Sheet1!L:L, MATCH(Hoja1!G967,Sheet1!M:M, 0))</f>
        <v>9.1999999999999993</v>
      </c>
    </row>
    <row r="968" spans="1:11" ht="16" x14ac:dyDescent="0.25">
      <c r="A968" t="s">
        <v>787</v>
      </c>
      <c r="B968">
        <v>7</v>
      </c>
      <c r="C968">
        <v>2023</v>
      </c>
      <c r="D968" t="s">
        <v>810</v>
      </c>
      <c r="E968">
        <v>2.4</v>
      </c>
      <c r="F968">
        <v>1978379</v>
      </c>
      <c r="G968" s="1" t="str">
        <f t="shared" si="15"/>
        <v>Nebraska2023</v>
      </c>
      <c r="H968">
        <f>+INDEX(Sheet1!C:C, MATCH(Hoja1!G968, Sheet1!D:D, 0))</f>
        <v>181285</v>
      </c>
      <c r="I968">
        <f>+INDEX(Sheet1!G:G, MATCH(Hoja1!G968, Sheet1!I:I, 0))</f>
        <v>117692</v>
      </c>
      <c r="J968" s="2">
        <f>+INDEX(Sheet1!H:H, MATCH(Hoja1!G968, Sheet1!I:I, 0))</f>
        <v>4.001272489484288E-2</v>
      </c>
      <c r="K968" s="2">
        <f>+INDEX(Sheet1!L:L, MATCH(Hoja1!G968,Sheet1!M:M, 0))</f>
        <v>9.1999999999999993</v>
      </c>
    </row>
    <row r="969" spans="1:11" ht="16" x14ac:dyDescent="0.25">
      <c r="A969" t="s">
        <v>787</v>
      </c>
      <c r="B969">
        <v>8</v>
      </c>
      <c r="C969">
        <v>2023</v>
      </c>
      <c r="D969" t="s">
        <v>811</v>
      </c>
      <c r="E969">
        <v>2.2000000000000002</v>
      </c>
      <c r="F969">
        <v>1978379</v>
      </c>
      <c r="G969" s="1" t="str">
        <f t="shared" si="15"/>
        <v>Nebraska2023</v>
      </c>
      <c r="H969">
        <f>+INDEX(Sheet1!C:C, MATCH(Hoja1!G969, Sheet1!D:D, 0))</f>
        <v>181285</v>
      </c>
      <c r="I969">
        <f>+INDEX(Sheet1!G:G, MATCH(Hoja1!G969, Sheet1!I:I, 0))</f>
        <v>117692</v>
      </c>
      <c r="J969" s="2">
        <f>+INDEX(Sheet1!H:H, MATCH(Hoja1!G969, Sheet1!I:I, 0))</f>
        <v>4.001272489484288E-2</v>
      </c>
      <c r="K969" s="2">
        <f>+INDEX(Sheet1!L:L, MATCH(Hoja1!G969,Sheet1!M:M, 0))</f>
        <v>9.1999999999999993</v>
      </c>
    </row>
    <row r="970" spans="1:11" ht="16" x14ac:dyDescent="0.25">
      <c r="A970" t="s">
        <v>787</v>
      </c>
      <c r="B970">
        <v>9</v>
      </c>
      <c r="C970">
        <v>2023</v>
      </c>
      <c r="D970" t="s">
        <v>812</v>
      </c>
      <c r="E970">
        <v>2.2000000000000002</v>
      </c>
      <c r="F970">
        <v>1978379</v>
      </c>
      <c r="G970" s="1" t="str">
        <f t="shared" si="15"/>
        <v>Nebraska2023</v>
      </c>
      <c r="H970">
        <f>+INDEX(Sheet1!C:C, MATCH(Hoja1!G970, Sheet1!D:D, 0))</f>
        <v>181285</v>
      </c>
      <c r="I970">
        <f>+INDEX(Sheet1!G:G, MATCH(Hoja1!G970, Sheet1!I:I, 0))</f>
        <v>117692</v>
      </c>
      <c r="J970" s="2">
        <f>+INDEX(Sheet1!H:H, MATCH(Hoja1!G970, Sheet1!I:I, 0))</f>
        <v>4.001272489484288E-2</v>
      </c>
      <c r="K970" s="2">
        <f>+INDEX(Sheet1!L:L, MATCH(Hoja1!G970,Sheet1!M:M, 0))</f>
        <v>9.1999999999999993</v>
      </c>
    </row>
    <row r="971" spans="1:11" ht="16" x14ac:dyDescent="0.25">
      <c r="A971" t="s">
        <v>787</v>
      </c>
      <c r="B971">
        <v>10</v>
      </c>
      <c r="C971">
        <v>2023</v>
      </c>
      <c r="D971" t="s">
        <v>813</v>
      </c>
      <c r="E971">
        <v>2.5</v>
      </c>
      <c r="F971">
        <v>1978379</v>
      </c>
      <c r="G971" s="1" t="str">
        <f t="shared" si="15"/>
        <v>Nebraska2023</v>
      </c>
      <c r="H971">
        <f>+INDEX(Sheet1!C:C, MATCH(Hoja1!G971, Sheet1!D:D, 0))</f>
        <v>181285</v>
      </c>
      <c r="I971">
        <f>+INDEX(Sheet1!G:G, MATCH(Hoja1!G971, Sheet1!I:I, 0))</f>
        <v>117692</v>
      </c>
      <c r="J971" s="2">
        <f>+INDEX(Sheet1!H:H, MATCH(Hoja1!G971, Sheet1!I:I, 0))</f>
        <v>4.001272489484288E-2</v>
      </c>
      <c r="K971" s="2">
        <f>+INDEX(Sheet1!L:L, MATCH(Hoja1!G971,Sheet1!M:M, 0))</f>
        <v>9.1999999999999993</v>
      </c>
    </row>
    <row r="972" spans="1:11" ht="16" x14ac:dyDescent="0.25">
      <c r="A972" t="s">
        <v>787</v>
      </c>
      <c r="B972">
        <v>11</v>
      </c>
      <c r="C972">
        <v>2023</v>
      </c>
      <c r="D972" t="s">
        <v>814</v>
      </c>
      <c r="E972">
        <v>2.1</v>
      </c>
      <c r="F972">
        <v>1978379</v>
      </c>
      <c r="G972" s="1" t="str">
        <f t="shared" si="15"/>
        <v>Nebraska2023</v>
      </c>
      <c r="H972">
        <f>+INDEX(Sheet1!C:C, MATCH(Hoja1!G972, Sheet1!D:D, 0))</f>
        <v>181285</v>
      </c>
      <c r="I972">
        <f>+INDEX(Sheet1!G:G, MATCH(Hoja1!G972, Sheet1!I:I, 0))</f>
        <v>117692</v>
      </c>
      <c r="J972" s="2">
        <f>+INDEX(Sheet1!H:H, MATCH(Hoja1!G972, Sheet1!I:I, 0))</f>
        <v>4.001272489484288E-2</v>
      </c>
      <c r="K972" s="2">
        <f>+INDEX(Sheet1!L:L, MATCH(Hoja1!G972,Sheet1!M:M, 0))</f>
        <v>9.1999999999999993</v>
      </c>
    </row>
    <row r="973" spans="1:11" ht="16" x14ac:dyDescent="0.25">
      <c r="A973" t="s">
        <v>787</v>
      </c>
      <c r="B973">
        <v>12</v>
      </c>
      <c r="C973">
        <v>2023</v>
      </c>
      <c r="D973" t="s">
        <v>815</v>
      </c>
      <c r="E973">
        <v>2.2000000000000002</v>
      </c>
      <c r="F973">
        <v>1978379</v>
      </c>
      <c r="G973" s="1" t="str">
        <f t="shared" si="15"/>
        <v>Nebraska2023</v>
      </c>
      <c r="H973">
        <f>+INDEX(Sheet1!C:C, MATCH(Hoja1!G973, Sheet1!D:D, 0))</f>
        <v>181285</v>
      </c>
      <c r="I973">
        <f>+INDEX(Sheet1!G:G, MATCH(Hoja1!G973, Sheet1!I:I, 0))</f>
        <v>117692</v>
      </c>
      <c r="J973" s="2">
        <f>+INDEX(Sheet1!H:H, MATCH(Hoja1!G973, Sheet1!I:I, 0))</f>
        <v>4.001272489484288E-2</v>
      </c>
      <c r="K973" s="2">
        <f>+INDEX(Sheet1!L:L, MATCH(Hoja1!G973,Sheet1!M:M, 0))</f>
        <v>9.1999999999999993</v>
      </c>
    </row>
    <row r="974" spans="1:11" ht="16" x14ac:dyDescent="0.25">
      <c r="A974" t="s">
        <v>816</v>
      </c>
      <c r="B974">
        <v>1</v>
      </c>
      <c r="C974">
        <v>2021</v>
      </c>
      <c r="D974" t="s">
        <v>163</v>
      </c>
      <c r="E974">
        <v>8.9</v>
      </c>
      <c r="F974">
        <v>3146632</v>
      </c>
      <c r="G974" s="1" t="str">
        <f t="shared" si="15"/>
        <v>Nevada2021</v>
      </c>
      <c r="H974">
        <f>+INDEX(Sheet1!C:C, MATCH(Hoja1!G974, Sheet1!D:D, 0))</f>
        <v>201705.7</v>
      </c>
      <c r="I974">
        <f>+INDEX(Sheet1!G:G, MATCH(Hoja1!G974, Sheet1!I:I, 0))</f>
        <v>111811</v>
      </c>
      <c r="J974" s="2">
        <f>+INDEX(Sheet1!H:H, MATCH(Hoja1!G974, Sheet1!I:I, 0))</f>
        <v>9.8739227420575254E-2</v>
      </c>
      <c r="K974" s="2">
        <f>+INDEX(Sheet1!L:L, MATCH(Hoja1!G974,Sheet1!M:M, 0))</f>
        <v>12.8</v>
      </c>
    </row>
    <row r="975" spans="1:11" ht="16" x14ac:dyDescent="0.25">
      <c r="A975" t="s">
        <v>816</v>
      </c>
      <c r="B975">
        <v>2</v>
      </c>
      <c r="C975">
        <v>2021</v>
      </c>
      <c r="D975" t="s">
        <v>817</v>
      </c>
      <c r="E975">
        <v>8.5</v>
      </c>
      <c r="F975">
        <v>3146632</v>
      </c>
      <c r="G975" s="1" t="str">
        <f t="shared" si="15"/>
        <v>Nevada2021</v>
      </c>
      <c r="H975">
        <f>+INDEX(Sheet1!C:C, MATCH(Hoja1!G975, Sheet1!D:D, 0))</f>
        <v>201705.7</v>
      </c>
      <c r="I975">
        <f>+INDEX(Sheet1!G:G, MATCH(Hoja1!G975, Sheet1!I:I, 0))</f>
        <v>111811</v>
      </c>
      <c r="J975" s="2">
        <f>+INDEX(Sheet1!H:H, MATCH(Hoja1!G975, Sheet1!I:I, 0))</f>
        <v>9.8739227420575254E-2</v>
      </c>
      <c r="K975" s="2">
        <f>+INDEX(Sheet1!L:L, MATCH(Hoja1!G975,Sheet1!M:M, 0))</f>
        <v>12.8</v>
      </c>
    </row>
    <row r="976" spans="1:11" ht="16" x14ac:dyDescent="0.25">
      <c r="A976" t="s">
        <v>816</v>
      </c>
      <c r="B976">
        <v>3</v>
      </c>
      <c r="C976">
        <v>2021</v>
      </c>
      <c r="D976" t="s">
        <v>818</v>
      </c>
      <c r="E976">
        <v>8</v>
      </c>
      <c r="F976">
        <v>3146632</v>
      </c>
      <c r="G976" s="1" t="str">
        <f t="shared" si="15"/>
        <v>Nevada2021</v>
      </c>
      <c r="H976">
        <f>+INDEX(Sheet1!C:C, MATCH(Hoja1!G976, Sheet1!D:D, 0))</f>
        <v>201705.7</v>
      </c>
      <c r="I976">
        <f>+INDEX(Sheet1!G:G, MATCH(Hoja1!G976, Sheet1!I:I, 0))</f>
        <v>111811</v>
      </c>
      <c r="J976" s="2">
        <f>+INDEX(Sheet1!H:H, MATCH(Hoja1!G976, Sheet1!I:I, 0))</f>
        <v>9.8739227420575254E-2</v>
      </c>
      <c r="K976" s="2">
        <f>+INDEX(Sheet1!L:L, MATCH(Hoja1!G976,Sheet1!M:M, 0))</f>
        <v>12.8</v>
      </c>
    </row>
    <row r="977" spans="1:11" ht="16" x14ac:dyDescent="0.25">
      <c r="A977" t="s">
        <v>816</v>
      </c>
      <c r="B977">
        <v>4</v>
      </c>
      <c r="C977">
        <v>2021</v>
      </c>
      <c r="D977" t="s">
        <v>819</v>
      </c>
      <c r="E977">
        <v>7.6</v>
      </c>
      <c r="F977">
        <v>3146632</v>
      </c>
      <c r="G977" s="1" t="str">
        <f t="shared" si="15"/>
        <v>Nevada2021</v>
      </c>
      <c r="H977">
        <f>+INDEX(Sheet1!C:C, MATCH(Hoja1!G977, Sheet1!D:D, 0))</f>
        <v>201705.7</v>
      </c>
      <c r="I977">
        <f>+INDEX(Sheet1!G:G, MATCH(Hoja1!G977, Sheet1!I:I, 0))</f>
        <v>111811</v>
      </c>
      <c r="J977" s="2">
        <f>+INDEX(Sheet1!H:H, MATCH(Hoja1!G977, Sheet1!I:I, 0))</f>
        <v>9.8739227420575254E-2</v>
      </c>
      <c r="K977" s="2">
        <f>+INDEX(Sheet1!L:L, MATCH(Hoja1!G977,Sheet1!M:M, 0))</f>
        <v>12.8</v>
      </c>
    </row>
    <row r="978" spans="1:11" ht="16" x14ac:dyDescent="0.25">
      <c r="A978" t="s">
        <v>816</v>
      </c>
      <c r="B978">
        <v>5</v>
      </c>
      <c r="C978">
        <v>2021</v>
      </c>
      <c r="D978" t="s">
        <v>820</v>
      </c>
      <c r="E978">
        <v>7.2</v>
      </c>
      <c r="F978">
        <v>3146632</v>
      </c>
      <c r="G978" s="1" t="str">
        <f t="shared" si="15"/>
        <v>Nevada2021</v>
      </c>
      <c r="H978">
        <f>+INDEX(Sheet1!C:C, MATCH(Hoja1!G978, Sheet1!D:D, 0))</f>
        <v>201705.7</v>
      </c>
      <c r="I978">
        <f>+INDEX(Sheet1!G:G, MATCH(Hoja1!G978, Sheet1!I:I, 0))</f>
        <v>111811</v>
      </c>
      <c r="J978" s="2">
        <f>+INDEX(Sheet1!H:H, MATCH(Hoja1!G978, Sheet1!I:I, 0))</f>
        <v>9.8739227420575254E-2</v>
      </c>
      <c r="K978" s="2">
        <f>+INDEX(Sheet1!L:L, MATCH(Hoja1!G978,Sheet1!M:M, 0))</f>
        <v>12.8</v>
      </c>
    </row>
    <row r="979" spans="1:11" ht="16" x14ac:dyDescent="0.25">
      <c r="A979" t="s">
        <v>816</v>
      </c>
      <c r="B979">
        <v>6</v>
      </c>
      <c r="C979">
        <v>2021</v>
      </c>
      <c r="D979" t="s">
        <v>648</v>
      </c>
      <c r="E979">
        <v>6.9</v>
      </c>
      <c r="F979">
        <v>3146632</v>
      </c>
      <c r="G979" s="1" t="str">
        <f t="shared" si="15"/>
        <v>Nevada2021</v>
      </c>
      <c r="H979">
        <f>+INDEX(Sheet1!C:C, MATCH(Hoja1!G979, Sheet1!D:D, 0))</f>
        <v>201705.7</v>
      </c>
      <c r="I979">
        <f>+INDEX(Sheet1!G:G, MATCH(Hoja1!G979, Sheet1!I:I, 0))</f>
        <v>111811</v>
      </c>
      <c r="J979" s="2">
        <f>+INDEX(Sheet1!H:H, MATCH(Hoja1!G979, Sheet1!I:I, 0))</f>
        <v>9.8739227420575254E-2</v>
      </c>
      <c r="K979" s="2">
        <f>+INDEX(Sheet1!L:L, MATCH(Hoja1!G979,Sheet1!M:M, 0))</f>
        <v>12.8</v>
      </c>
    </row>
    <row r="980" spans="1:11" ht="16" x14ac:dyDescent="0.25">
      <c r="A980" t="s">
        <v>816</v>
      </c>
      <c r="B980">
        <v>7</v>
      </c>
      <c r="C980">
        <v>2021</v>
      </c>
      <c r="D980" t="s">
        <v>821</v>
      </c>
      <c r="E980">
        <v>6.5</v>
      </c>
      <c r="F980">
        <v>3146632</v>
      </c>
      <c r="G980" s="1" t="str">
        <f t="shared" si="15"/>
        <v>Nevada2021</v>
      </c>
      <c r="H980">
        <f>+INDEX(Sheet1!C:C, MATCH(Hoja1!G980, Sheet1!D:D, 0))</f>
        <v>201705.7</v>
      </c>
      <c r="I980">
        <f>+INDEX(Sheet1!G:G, MATCH(Hoja1!G980, Sheet1!I:I, 0))</f>
        <v>111811</v>
      </c>
      <c r="J980" s="2">
        <f>+INDEX(Sheet1!H:H, MATCH(Hoja1!G980, Sheet1!I:I, 0))</f>
        <v>9.8739227420575254E-2</v>
      </c>
      <c r="K980" s="2">
        <f>+INDEX(Sheet1!L:L, MATCH(Hoja1!G980,Sheet1!M:M, 0))</f>
        <v>12.8</v>
      </c>
    </row>
    <row r="981" spans="1:11" ht="16" x14ac:dyDescent="0.25">
      <c r="A981" t="s">
        <v>816</v>
      </c>
      <c r="B981">
        <v>8</v>
      </c>
      <c r="C981">
        <v>2021</v>
      </c>
      <c r="D981" t="s">
        <v>156</v>
      </c>
      <c r="E981">
        <v>6.2</v>
      </c>
      <c r="F981">
        <v>3146632</v>
      </c>
      <c r="G981" s="1" t="str">
        <f t="shared" si="15"/>
        <v>Nevada2021</v>
      </c>
      <c r="H981">
        <f>+INDEX(Sheet1!C:C, MATCH(Hoja1!G981, Sheet1!D:D, 0))</f>
        <v>201705.7</v>
      </c>
      <c r="I981">
        <f>+INDEX(Sheet1!G:G, MATCH(Hoja1!G981, Sheet1!I:I, 0))</f>
        <v>111811</v>
      </c>
      <c r="J981" s="2">
        <f>+INDEX(Sheet1!H:H, MATCH(Hoja1!G981, Sheet1!I:I, 0))</f>
        <v>9.8739227420575254E-2</v>
      </c>
      <c r="K981" s="2">
        <f>+INDEX(Sheet1!L:L, MATCH(Hoja1!G981,Sheet1!M:M, 0))</f>
        <v>12.8</v>
      </c>
    </row>
    <row r="982" spans="1:11" ht="16" x14ac:dyDescent="0.25">
      <c r="A982" t="s">
        <v>816</v>
      </c>
      <c r="B982">
        <v>9</v>
      </c>
      <c r="C982">
        <v>2021</v>
      </c>
      <c r="D982" t="s">
        <v>822</v>
      </c>
      <c r="E982">
        <v>5.9</v>
      </c>
      <c r="F982">
        <v>3146632</v>
      </c>
      <c r="G982" s="1" t="str">
        <f t="shared" si="15"/>
        <v>Nevada2021</v>
      </c>
      <c r="H982">
        <f>+INDEX(Sheet1!C:C, MATCH(Hoja1!G982, Sheet1!D:D, 0))</f>
        <v>201705.7</v>
      </c>
      <c r="I982">
        <f>+INDEX(Sheet1!G:G, MATCH(Hoja1!G982, Sheet1!I:I, 0))</f>
        <v>111811</v>
      </c>
      <c r="J982" s="2">
        <f>+INDEX(Sheet1!H:H, MATCH(Hoja1!G982, Sheet1!I:I, 0))</f>
        <v>9.8739227420575254E-2</v>
      </c>
      <c r="K982" s="2">
        <f>+INDEX(Sheet1!L:L, MATCH(Hoja1!G982,Sheet1!M:M, 0))</f>
        <v>12.8</v>
      </c>
    </row>
    <row r="983" spans="1:11" ht="16" x14ac:dyDescent="0.25">
      <c r="A983" t="s">
        <v>816</v>
      </c>
      <c r="B983">
        <v>10</v>
      </c>
      <c r="C983">
        <v>2021</v>
      </c>
      <c r="D983" t="s">
        <v>591</v>
      </c>
      <c r="E983">
        <v>5.6</v>
      </c>
      <c r="F983">
        <v>3146632</v>
      </c>
      <c r="G983" s="1" t="str">
        <f t="shared" si="15"/>
        <v>Nevada2021</v>
      </c>
      <c r="H983">
        <f>+INDEX(Sheet1!C:C, MATCH(Hoja1!G983, Sheet1!D:D, 0))</f>
        <v>201705.7</v>
      </c>
      <c r="I983">
        <f>+INDEX(Sheet1!G:G, MATCH(Hoja1!G983, Sheet1!I:I, 0))</f>
        <v>111811</v>
      </c>
      <c r="J983" s="2">
        <f>+INDEX(Sheet1!H:H, MATCH(Hoja1!G983, Sheet1!I:I, 0))</f>
        <v>9.8739227420575254E-2</v>
      </c>
      <c r="K983" s="2">
        <f>+INDEX(Sheet1!L:L, MATCH(Hoja1!G983,Sheet1!M:M, 0))</f>
        <v>12.8</v>
      </c>
    </row>
    <row r="984" spans="1:11" ht="16" x14ac:dyDescent="0.25">
      <c r="A984" t="s">
        <v>816</v>
      </c>
      <c r="B984">
        <v>11</v>
      </c>
      <c r="C984">
        <v>2021</v>
      </c>
      <c r="D984" t="s">
        <v>823</v>
      </c>
      <c r="E984">
        <v>5.4</v>
      </c>
      <c r="F984">
        <v>3146632</v>
      </c>
      <c r="G984" s="1" t="str">
        <f t="shared" si="15"/>
        <v>Nevada2021</v>
      </c>
      <c r="H984">
        <f>+INDEX(Sheet1!C:C, MATCH(Hoja1!G984, Sheet1!D:D, 0))</f>
        <v>201705.7</v>
      </c>
      <c r="I984">
        <f>+INDEX(Sheet1!G:G, MATCH(Hoja1!G984, Sheet1!I:I, 0))</f>
        <v>111811</v>
      </c>
      <c r="J984" s="2">
        <f>+INDEX(Sheet1!H:H, MATCH(Hoja1!G984, Sheet1!I:I, 0))</f>
        <v>9.8739227420575254E-2</v>
      </c>
      <c r="K984" s="2">
        <f>+INDEX(Sheet1!L:L, MATCH(Hoja1!G984,Sheet1!M:M, 0))</f>
        <v>12.8</v>
      </c>
    </row>
    <row r="985" spans="1:11" ht="16" x14ac:dyDescent="0.25">
      <c r="A985" t="s">
        <v>816</v>
      </c>
      <c r="B985">
        <v>12</v>
      </c>
      <c r="C985">
        <v>2021</v>
      </c>
      <c r="D985" t="s">
        <v>824</v>
      </c>
      <c r="E985">
        <v>5.3</v>
      </c>
      <c r="F985">
        <v>3146632</v>
      </c>
      <c r="G985" s="1" t="str">
        <f t="shared" si="15"/>
        <v>Nevada2021</v>
      </c>
      <c r="H985">
        <f>+INDEX(Sheet1!C:C, MATCH(Hoja1!G985, Sheet1!D:D, 0))</f>
        <v>201705.7</v>
      </c>
      <c r="I985">
        <f>+INDEX(Sheet1!G:G, MATCH(Hoja1!G985, Sheet1!I:I, 0))</f>
        <v>111811</v>
      </c>
      <c r="J985" s="2">
        <f>+INDEX(Sheet1!H:H, MATCH(Hoja1!G985, Sheet1!I:I, 0))</f>
        <v>9.8739227420575254E-2</v>
      </c>
      <c r="K985" s="2">
        <f>+INDEX(Sheet1!L:L, MATCH(Hoja1!G985,Sheet1!M:M, 0))</f>
        <v>12.8</v>
      </c>
    </row>
    <row r="986" spans="1:11" ht="16" x14ac:dyDescent="0.25">
      <c r="A986" t="s">
        <v>816</v>
      </c>
      <c r="B986">
        <v>1</v>
      </c>
      <c r="C986">
        <v>2022</v>
      </c>
      <c r="D986" t="s">
        <v>825</v>
      </c>
      <c r="E986">
        <v>5.2</v>
      </c>
      <c r="F986">
        <v>3177421</v>
      </c>
      <c r="G986" s="1" t="str">
        <f t="shared" si="15"/>
        <v>Nevada2022</v>
      </c>
      <c r="H986">
        <f>+INDEX(Sheet1!C:C, MATCH(Hoja1!G986, Sheet1!D:D, 0))</f>
        <v>227320.6</v>
      </c>
      <c r="I986">
        <f>+INDEX(Sheet1!G:G, MATCH(Hoja1!G986, Sheet1!I:I, 0))</f>
        <v>116706</v>
      </c>
      <c r="J986" s="2">
        <f>+INDEX(Sheet1!H:H, MATCH(Hoja1!G986, Sheet1!I:I, 0))</f>
        <v>4.3779234601246747E-2</v>
      </c>
      <c r="K986" s="2">
        <f>+INDEX(Sheet1!L:L, MATCH(Hoja1!G986,Sheet1!M:M, 0))</f>
        <v>12</v>
      </c>
    </row>
    <row r="987" spans="1:11" ht="16" x14ac:dyDescent="0.25">
      <c r="A987" t="s">
        <v>816</v>
      </c>
      <c r="B987">
        <v>2</v>
      </c>
      <c r="C987">
        <v>2022</v>
      </c>
      <c r="D987" t="s">
        <v>469</v>
      </c>
      <c r="E987">
        <v>5.2</v>
      </c>
      <c r="F987">
        <v>3177421</v>
      </c>
      <c r="G987" s="1" t="str">
        <f t="shared" si="15"/>
        <v>Nevada2022</v>
      </c>
      <c r="H987">
        <f>+INDEX(Sheet1!C:C, MATCH(Hoja1!G987, Sheet1!D:D, 0))</f>
        <v>227320.6</v>
      </c>
      <c r="I987">
        <f>+INDEX(Sheet1!G:G, MATCH(Hoja1!G987, Sheet1!I:I, 0))</f>
        <v>116706</v>
      </c>
      <c r="J987" s="2">
        <f>+INDEX(Sheet1!H:H, MATCH(Hoja1!G987, Sheet1!I:I, 0))</f>
        <v>4.3779234601246747E-2</v>
      </c>
      <c r="K987" s="2">
        <f>+INDEX(Sheet1!L:L, MATCH(Hoja1!G987,Sheet1!M:M, 0))</f>
        <v>12</v>
      </c>
    </row>
    <row r="988" spans="1:11" ht="16" x14ac:dyDescent="0.25">
      <c r="A988" t="s">
        <v>816</v>
      </c>
      <c r="B988">
        <v>3</v>
      </c>
      <c r="C988">
        <v>2022</v>
      </c>
      <c r="D988" t="s">
        <v>22</v>
      </c>
      <c r="E988">
        <v>5.0999999999999996</v>
      </c>
      <c r="F988">
        <v>3177421</v>
      </c>
      <c r="G988" s="1" t="str">
        <f t="shared" si="15"/>
        <v>Nevada2022</v>
      </c>
      <c r="H988">
        <f>+INDEX(Sheet1!C:C, MATCH(Hoja1!G988, Sheet1!D:D, 0))</f>
        <v>227320.6</v>
      </c>
      <c r="I988">
        <f>+INDEX(Sheet1!G:G, MATCH(Hoja1!G988, Sheet1!I:I, 0))</f>
        <v>116706</v>
      </c>
      <c r="J988" s="2">
        <f>+INDEX(Sheet1!H:H, MATCH(Hoja1!G988, Sheet1!I:I, 0))</f>
        <v>4.3779234601246747E-2</v>
      </c>
      <c r="K988" s="2">
        <f>+INDEX(Sheet1!L:L, MATCH(Hoja1!G988,Sheet1!M:M, 0))</f>
        <v>12</v>
      </c>
    </row>
    <row r="989" spans="1:11" ht="16" x14ac:dyDescent="0.25">
      <c r="A989" t="s">
        <v>816</v>
      </c>
      <c r="B989">
        <v>4</v>
      </c>
      <c r="C989">
        <v>2022</v>
      </c>
      <c r="D989" t="s">
        <v>826</v>
      </c>
      <c r="E989">
        <v>5.0999999999999996</v>
      </c>
      <c r="F989">
        <v>3177421</v>
      </c>
      <c r="G989" s="1" t="str">
        <f t="shared" si="15"/>
        <v>Nevada2022</v>
      </c>
      <c r="H989">
        <f>+INDEX(Sheet1!C:C, MATCH(Hoja1!G989, Sheet1!D:D, 0))</f>
        <v>227320.6</v>
      </c>
      <c r="I989">
        <f>+INDEX(Sheet1!G:G, MATCH(Hoja1!G989, Sheet1!I:I, 0))</f>
        <v>116706</v>
      </c>
      <c r="J989" s="2">
        <f>+INDEX(Sheet1!H:H, MATCH(Hoja1!G989, Sheet1!I:I, 0))</f>
        <v>4.3779234601246747E-2</v>
      </c>
      <c r="K989" s="2">
        <f>+INDEX(Sheet1!L:L, MATCH(Hoja1!G989,Sheet1!M:M, 0))</f>
        <v>12</v>
      </c>
    </row>
    <row r="990" spans="1:11" ht="16" x14ac:dyDescent="0.25">
      <c r="A990" t="s">
        <v>816</v>
      </c>
      <c r="B990">
        <v>5</v>
      </c>
      <c r="C990">
        <v>2022</v>
      </c>
      <c r="D990">
        <v>21</v>
      </c>
      <c r="E990">
        <v>5.0999999999999996</v>
      </c>
      <c r="F990">
        <v>3177421</v>
      </c>
      <c r="G990" s="1" t="str">
        <f t="shared" si="15"/>
        <v>Nevada2022</v>
      </c>
      <c r="H990">
        <f>+INDEX(Sheet1!C:C, MATCH(Hoja1!G990, Sheet1!D:D, 0))</f>
        <v>227320.6</v>
      </c>
      <c r="I990">
        <f>+INDEX(Sheet1!G:G, MATCH(Hoja1!G990, Sheet1!I:I, 0))</f>
        <v>116706</v>
      </c>
      <c r="J990" s="2">
        <f>+INDEX(Sheet1!H:H, MATCH(Hoja1!G990, Sheet1!I:I, 0))</f>
        <v>4.3779234601246747E-2</v>
      </c>
      <c r="K990" s="2">
        <f>+INDEX(Sheet1!L:L, MATCH(Hoja1!G990,Sheet1!M:M, 0))</f>
        <v>12</v>
      </c>
    </row>
    <row r="991" spans="1:11" ht="16" x14ac:dyDescent="0.25">
      <c r="A991" t="s">
        <v>816</v>
      </c>
      <c r="B991">
        <v>6</v>
      </c>
      <c r="C991">
        <v>2022</v>
      </c>
      <c r="D991" t="s">
        <v>827</v>
      </c>
      <c r="E991">
        <v>5.0999999999999996</v>
      </c>
      <c r="F991">
        <v>3177421</v>
      </c>
      <c r="G991" s="1" t="str">
        <f t="shared" si="15"/>
        <v>Nevada2022</v>
      </c>
      <c r="H991">
        <f>+INDEX(Sheet1!C:C, MATCH(Hoja1!G991, Sheet1!D:D, 0))</f>
        <v>227320.6</v>
      </c>
      <c r="I991">
        <f>+INDEX(Sheet1!G:G, MATCH(Hoja1!G991, Sheet1!I:I, 0))</f>
        <v>116706</v>
      </c>
      <c r="J991" s="2">
        <f>+INDEX(Sheet1!H:H, MATCH(Hoja1!G991, Sheet1!I:I, 0))</f>
        <v>4.3779234601246747E-2</v>
      </c>
      <c r="K991" s="2">
        <f>+INDEX(Sheet1!L:L, MATCH(Hoja1!G991,Sheet1!M:M, 0))</f>
        <v>12</v>
      </c>
    </row>
    <row r="992" spans="1:11" ht="16" x14ac:dyDescent="0.25">
      <c r="A992" t="s">
        <v>816</v>
      </c>
      <c r="B992">
        <v>7</v>
      </c>
      <c r="C992">
        <v>2022</v>
      </c>
      <c r="D992" t="s">
        <v>828</v>
      </c>
      <c r="E992">
        <v>5.2</v>
      </c>
      <c r="F992">
        <v>3177421</v>
      </c>
      <c r="G992" s="1" t="str">
        <f t="shared" si="15"/>
        <v>Nevada2022</v>
      </c>
      <c r="H992">
        <f>+INDEX(Sheet1!C:C, MATCH(Hoja1!G992, Sheet1!D:D, 0))</f>
        <v>227320.6</v>
      </c>
      <c r="I992">
        <f>+INDEX(Sheet1!G:G, MATCH(Hoja1!G992, Sheet1!I:I, 0))</f>
        <v>116706</v>
      </c>
      <c r="J992" s="2">
        <f>+INDEX(Sheet1!H:H, MATCH(Hoja1!G992, Sheet1!I:I, 0))</f>
        <v>4.3779234601246747E-2</v>
      </c>
      <c r="K992" s="2">
        <f>+INDEX(Sheet1!L:L, MATCH(Hoja1!G992,Sheet1!M:M, 0))</f>
        <v>12</v>
      </c>
    </row>
    <row r="993" spans="1:11" ht="16" x14ac:dyDescent="0.25">
      <c r="A993" t="s">
        <v>816</v>
      </c>
      <c r="B993">
        <v>8</v>
      </c>
      <c r="C993">
        <v>2022</v>
      </c>
      <c r="D993" t="s">
        <v>454</v>
      </c>
      <c r="E993">
        <v>5.2</v>
      </c>
      <c r="F993">
        <v>3177421</v>
      </c>
      <c r="G993" s="1" t="str">
        <f t="shared" si="15"/>
        <v>Nevada2022</v>
      </c>
      <c r="H993">
        <f>+INDEX(Sheet1!C:C, MATCH(Hoja1!G993, Sheet1!D:D, 0))</f>
        <v>227320.6</v>
      </c>
      <c r="I993">
        <f>+INDEX(Sheet1!G:G, MATCH(Hoja1!G993, Sheet1!I:I, 0))</f>
        <v>116706</v>
      </c>
      <c r="J993" s="2">
        <f>+INDEX(Sheet1!H:H, MATCH(Hoja1!G993, Sheet1!I:I, 0))</f>
        <v>4.3779234601246747E-2</v>
      </c>
      <c r="K993" s="2">
        <f>+INDEX(Sheet1!L:L, MATCH(Hoja1!G993,Sheet1!M:M, 0))</f>
        <v>12</v>
      </c>
    </row>
    <row r="994" spans="1:11" ht="16" x14ac:dyDescent="0.25">
      <c r="A994" t="s">
        <v>816</v>
      </c>
      <c r="B994">
        <v>9</v>
      </c>
      <c r="C994">
        <v>2022</v>
      </c>
      <c r="D994" t="s">
        <v>829</v>
      </c>
      <c r="E994">
        <v>5.3</v>
      </c>
      <c r="F994">
        <v>3177421</v>
      </c>
      <c r="G994" s="1" t="str">
        <f t="shared" si="15"/>
        <v>Nevada2022</v>
      </c>
      <c r="H994">
        <f>+INDEX(Sheet1!C:C, MATCH(Hoja1!G994, Sheet1!D:D, 0))</f>
        <v>227320.6</v>
      </c>
      <c r="I994">
        <f>+INDEX(Sheet1!G:G, MATCH(Hoja1!G994, Sheet1!I:I, 0))</f>
        <v>116706</v>
      </c>
      <c r="J994" s="2">
        <f>+INDEX(Sheet1!H:H, MATCH(Hoja1!G994, Sheet1!I:I, 0))</f>
        <v>4.3779234601246747E-2</v>
      </c>
      <c r="K994" s="2">
        <f>+INDEX(Sheet1!L:L, MATCH(Hoja1!G994,Sheet1!M:M, 0))</f>
        <v>12</v>
      </c>
    </row>
    <row r="995" spans="1:11" ht="16" x14ac:dyDescent="0.25">
      <c r="A995" t="s">
        <v>816</v>
      </c>
      <c r="B995">
        <v>10</v>
      </c>
      <c r="C995">
        <v>2022</v>
      </c>
      <c r="D995" t="s">
        <v>830</v>
      </c>
      <c r="E995">
        <v>5.3</v>
      </c>
      <c r="F995">
        <v>3177421</v>
      </c>
      <c r="G995" s="1" t="str">
        <f t="shared" si="15"/>
        <v>Nevada2022</v>
      </c>
      <c r="H995">
        <f>+INDEX(Sheet1!C:C, MATCH(Hoja1!G995, Sheet1!D:D, 0))</f>
        <v>227320.6</v>
      </c>
      <c r="I995">
        <f>+INDEX(Sheet1!G:G, MATCH(Hoja1!G995, Sheet1!I:I, 0))</f>
        <v>116706</v>
      </c>
      <c r="J995" s="2">
        <f>+INDEX(Sheet1!H:H, MATCH(Hoja1!G995, Sheet1!I:I, 0))</f>
        <v>4.3779234601246747E-2</v>
      </c>
      <c r="K995" s="2">
        <f>+INDEX(Sheet1!L:L, MATCH(Hoja1!G995,Sheet1!M:M, 0))</f>
        <v>12</v>
      </c>
    </row>
    <row r="996" spans="1:11" ht="16" x14ac:dyDescent="0.25">
      <c r="A996" t="s">
        <v>816</v>
      </c>
      <c r="B996">
        <v>11</v>
      </c>
      <c r="C996">
        <v>2022</v>
      </c>
      <c r="D996" t="s">
        <v>831</v>
      </c>
      <c r="E996">
        <v>5.3</v>
      </c>
      <c r="F996">
        <v>3177421</v>
      </c>
      <c r="G996" s="1" t="str">
        <f t="shared" si="15"/>
        <v>Nevada2022</v>
      </c>
      <c r="H996">
        <f>+INDEX(Sheet1!C:C, MATCH(Hoja1!G996, Sheet1!D:D, 0))</f>
        <v>227320.6</v>
      </c>
      <c r="I996">
        <f>+INDEX(Sheet1!G:G, MATCH(Hoja1!G996, Sheet1!I:I, 0))</f>
        <v>116706</v>
      </c>
      <c r="J996" s="2">
        <f>+INDEX(Sheet1!H:H, MATCH(Hoja1!G996, Sheet1!I:I, 0))</f>
        <v>4.3779234601246747E-2</v>
      </c>
      <c r="K996" s="2">
        <f>+INDEX(Sheet1!L:L, MATCH(Hoja1!G996,Sheet1!M:M, 0))</f>
        <v>12</v>
      </c>
    </row>
    <row r="997" spans="1:11" ht="16" x14ac:dyDescent="0.25">
      <c r="A997" t="s">
        <v>816</v>
      </c>
      <c r="B997">
        <v>12</v>
      </c>
      <c r="C997">
        <v>2022</v>
      </c>
      <c r="D997" t="s">
        <v>832</v>
      </c>
      <c r="E997">
        <v>5.3</v>
      </c>
      <c r="F997">
        <v>3177421</v>
      </c>
      <c r="G997" s="1" t="str">
        <f t="shared" si="15"/>
        <v>Nevada2022</v>
      </c>
      <c r="H997">
        <f>+INDEX(Sheet1!C:C, MATCH(Hoja1!G997, Sheet1!D:D, 0))</f>
        <v>227320.6</v>
      </c>
      <c r="I997">
        <f>+INDEX(Sheet1!G:G, MATCH(Hoja1!G997, Sheet1!I:I, 0))</f>
        <v>116706</v>
      </c>
      <c r="J997" s="2">
        <f>+INDEX(Sheet1!H:H, MATCH(Hoja1!G997, Sheet1!I:I, 0))</f>
        <v>4.3779234601246747E-2</v>
      </c>
      <c r="K997" s="2">
        <f>+INDEX(Sheet1!L:L, MATCH(Hoja1!G997,Sheet1!M:M, 0))</f>
        <v>12</v>
      </c>
    </row>
    <row r="998" spans="1:11" ht="16" x14ac:dyDescent="0.25">
      <c r="A998" t="s">
        <v>816</v>
      </c>
      <c r="B998">
        <v>1</v>
      </c>
      <c r="C998">
        <v>2023</v>
      </c>
      <c r="D998" t="s">
        <v>538</v>
      </c>
      <c r="E998">
        <v>5.2</v>
      </c>
      <c r="F998">
        <v>3194176</v>
      </c>
      <c r="G998" s="1" t="str">
        <f t="shared" si="15"/>
        <v>Nevada2023</v>
      </c>
      <c r="H998">
        <f>+INDEX(Sheet1!C:C, MATCH(Hoja1!G998, Sheet1!D:D, 0))</f>
        <v>245978.8</v>
      </c>
      <c r="I998">
        <f>+INDEX(Sheet1!G:G, MATCH(Hoja1!G998, Sheet1!I:I, 0))</f>
        <v>119735</v>
      </c>
      <c r="J998" s="2">
        <f>+INDEX(Sheet1!H:H, MATCH(Hoja1!G998, Sheet1!I:I, 0))</f>
        <v>2.5954106901101913E-2</v>
      </c>
      <c r="K998" s="2">
        <f>+INDEX(Sheet1!L:L, MATCH(Hoja1!G998,Sheet1!M:M, 0))</f>
        <v>13.9</v>
      </c>
    </row>
    <row r="999" spans="1:11" ht="16" x14ac:dyDescent="0.25">
      <c r="A999" t="s">
        <v>816</v>
      </c>
      <c r="B999">
        <v>2</v>
      </c>
      <c r="C999">
        <v>2023</v>
      </c>
      <c r="D999" t="s">
        <v>833</v>
      </c>
      <c r="E999">
        <v>5.2</v>
      </c>
      <c r="F999">
        <v>3194176</v>
      </c>
      <c r="G999" s="1" t="str">
        <f t="shared" si="15"/>
        <v>Nevada2023</v>
      </c>
      <c r="H999">
        <f>+INDEX(Sheet1!C:C, MATCH(Hoja1!G999, Sheet1!D:D, 0))</f>
        <v>245978.8</v>
      </c>
      <c r="I999">
        <f>+INDEX(Sheet1!G:G, MATCH(Hoja1!G999, Sheet1!I:I, 0))</f>
        <v>119735</v>
      </c>
      <c r="J999" s="2">
        <f>+INDEX(Sheet1!H:H, MATCH(Hoja1!G999, Sheet1!I:I, 0))</f>
        <v>2.5954106901101913E-2</v>
      </c>
      <c r="K999" s="2">
        <f>+INDEX(Sheet1!L:L, MATCH(Hoja1!G999,Sheet1!M:M, 0))</f>
        <v>13.9</v>
      </c>
    </row>
    <row r="1000" spans="1:11" ht="16" x14ac:dyDescent="0.25">
      <c r="A1000" t="s">
        <v>816</v>
      </c>
      <c r="B1000">
        <v>3</v>
      </c>
      <c r="C1000">
        <v>2023</v>
      </c>
      <c r="D1000" t="s">
        <v>466</v>
      </c>
      <c r="E1000">
        <v>5.0999999999999996</v>
      </c>
      <c r="F1000">
        <v>3194176</v>
      </c>
      <c r="G1000" s="1" t="str">
        <f t="shared" si="15"/>
        <v>Nevada2023</v>
      </c>
      <c r="H1000">
        <f>+INDEX(Sheet1!C:C, MATCH(Hoja1!G1000, Sheet1!D:D, 0))</f>
        <v>245978.8</v>
      </c>
      <c r="I1000">
        <f>+INDEX(Sheet1!G:G, MATCH(Hoja1!G1000, Sheet1!I:I, 0))</f>
        <v>119735</v>
      </c>
      <c r="J1000" s="2">
        <f>+INDEX(Sheet1!H:H, MATCH(Hoja1!G1000, Sheet1!I:I, 0))</f>
        <v>2.5954106901101913E-2</v>
      </c>
      <c r="K1000" s="2">
        <f>+INDEX(Sheet1!L:L, MATCH(Hoja1!G1000,Sheet1!M:M, 0))</f>
        <v>13.9</v>
      </c>
    </row>
    <row r="1001" spans="1:11" ht="16" x14ac:dyDescent="0.25">
      <c r="A1001" t="s">
        <v>816</v>
      </c>
      <c r="B1001">
        <v>4</v>
      </c>
      <c r="C1001">
        <v>2023</v>
      </c>
      <c r="D1001" t="s">
        <v>834</v>
      </c>
      <c r="E1001">
        <v>5</v>
      </c>
      <c r="F1001">
        <v>3194176</v>
      </c>
      <c r="G1001" s="1" t="str">
        <f t="shared" si="15"/>
        <v>Nevada2023</v>
      </c>
      <c r="H1001">
        <f>+INDEX(Sheet1!C:C, MATCH(Hoja1!G1001, Sheet1!D:D, 0))</f>
        <v>245978.8</v>
      </c>
      <c r="I1001">
        <f>+INDEX(Sheet1!G:G, MATCH(Hoja1!G1001, Sheet1!I:I, 0))</f>
        <v>119735</v>
      </c>
      <c r="J1001" s="2">
        <f>+INDEX(Sheet1!H:H, MATCH(Hoja1!G1001, Sheet1!I:I, 0))</f>
        <v>2.5954106901101913E-2</v>
      </c>
      <c r="K1001" s="2">
        <f>+INDEX(Sheet1!L:L, MATCH(Hoja1!G1001,Sheet1!M:M, 0))</f>
        <v>13.9</v>
      </c>
    </row>
    <row r="1002" spans="1:11" ht="16" x14ac:dyDescent="0.25">
      <c r="A1002" t="s">
        <v>816</v>
      </c>
      <c r="B1002">
        <v>5</v>
      </c>
      <c r="C1002">
        <v>2023</v>
      </c>
      <c r="D1002" t="s">
        <v>835</v>
      </c>
      <c r="E1002">
        <v>5</v>
      </c>
      <c r="F1002">
        <v>3194176</v>
      </c>
      <c r="G1002" s="1" t="str">
        <f t="shared" si="15"/>
        <v>Nevada2023</v>
      </c>
      <c r="H1002">
        <f>+INDEX(Sheet1!C:C, MATCH(Hoja1!G1002, Sheet1!D:D, 0))</f>
        <v>245978.8</v>
      </c>
      <c r="I1002">
        <f>+INDEX(Sheet1!G:G, MATCH(Hoja1!G1002, Sheet1!I:I, 0))</f>
        <v>119735</v>
      </c>
      <c r="J1002" s="2">
        <f>+INDEX(Sheet1!H:H, MATCH(Hoja1!G1002, Sheet1!I:I, 0))</f>
        <v>2.5954106901101913E-2</v>
      </c>
      <c r="K1002" s="2">
        <f>+INDEX(Sheet1!L:L, MATCH(Hoja1!G1002,Sheet1!M:M, 0))</f>
        <v>13.9</v>
      </c>
    </row>
    <row r="1003" spans="1:11" ht="16" x14ac:dyDescent="0.25">
      <c r="A1003" t="s">
        <v>816</v>
      </c>
      <c r="B1003">
        <v>6</v>
      </c>
      <c r="C1003">
        <v>2023</v>
      </c>
      <c r="D1003" t="s">
        <v>836</v>
      </c>
      <c r="E1003">
        <v>5</v>
      </c>
      <c r="F1003">
        <v>3194176</v>
      </c>
      <c r="G1003" s="1" t="str">
        <f t="shared" si="15"/>
        <v>Nevada2023</v>
      </c>
      <c r="H1003">
        <f>+INDEX(Sheet1!C:C, MATCH(Hoja1!G1003, Sheet1!D:D, 0))</f>
        <v>245978.8</v>
      </c>
      <c r="I1003">
        <f>+INDEX(Sheet1!G:G, MATCH(Hoja1!G1003, Sheet1!I:I, 0))</f>
        <v>119735</v>
      </c>
      <c r="J1003" s="2">
        <f>+INDEX(Sheet1!H:H, MATCH(Hoja1!G1003, Sheet1!I:I, 0))</f>
        <v>2.5954106901101913E-2</v>
      </c>
      <c r="K1003" s="2">
        <f>+INDEX(Sheet1!L:L, MATCH(Hoja1!G1003,Sheet1!M:M, 0))</f>
        <v>13.9</v>
      </c>
    </row>
    <row r="1004" spans="1:11" ht="16" x14ac:dyDescent="0.25">
      <c r="A1004" t="s">
        <v>816</v>
      </c>
      <c r="B1004">
        <v>7</v>
      </c>
      <c r="C1004">
        <v>2023</v>
      </c>
      <c r="D1004" t="s">
        <v>550</v>
      </c>
      <c r="E1004">
        <v>5</v>
      </c>
      <c r="F1004">
        <v>3194176</v>
      </c>
      <c r="G1004" s="1" t="str">
        <f t="shared" si="15"/>
        <v>Nevada2023</v>
      </c>
      <c r="H1004">
        <f>+INDEX(Sheet1!C:C, MATCH(Hoja1!G1004, Sheet1!D:D, 0))</f>
        <v>245978.8</v>
      </c>
      <c r="I1004">
        <f>+INDEX(Sheet1!G:G, MATCH(Hoja1!G1004, Sheet1!I:I, 0))</f>
        <v>119735</v>
      </c>
      <c r="J1004" s="2">
        <f>+INDEX(Sheet1!H:H, MATCH(Hoja1!G1004, Sheet1!I:I, 0))</f>
        <v>2.5954106901101913E-2</v>
      </c>
      <c r="K1004" s="2">
        <f>+INDEX(Sheet1!L:L, MATCH(Hoja1!G1004,Sheet1!M:M, 0))</f>
        <v>13.9</v>
      </c>
    </row>
    <row r="1005" spans="1:11" ht="16" x14ac:dyDescent="0.25">
      <c r="A1005" t="s">
        <v>816</v>
      </c>
      <c r="B1005">
        <v>8</v>
      </c>
      <c r="C1005">
        <v>2023</v>
      </c>
      <c r="D1005" t="s">
        <v>837</v>
      </c>
      <c r="E1005">
        <v>5.0999999999999996</v>
      </c>
      <c r="F1005">
        <v>3194176</v>
      </c>
      <c r="G1005" s="1" t="str">
        <f t="shared" si="15"/>
        <v>Nevada2023</v>
      </c>
      <c r="H1005">
        <f>+INDEX(Sheet1!C:C, MATCH(Hoja1!G1005, Sheet1!D:D, 0))</f>
        <v>245978.8</v>
      </c>
      <c r="I1005">
        <f>+INDEX(Sheet1!G:G, MATCH(Hoja1!G1005, Sheet1!I:I, 0))</f>
        <v>119735</v>
      </c>
      <c r="J1005" s="2">
        <f>+INDEX(Sheet1!H:H, MATCH(Hoja1!G1005, Sheet1!I:I, 0))</f>
        <v>2.5954106901101913E-2</v>
      </c>
      <c r="K1005" s="2">
        <f>+INDEX(Sheet1!L:L, MATCH(Hoja1!G1005,Sheet1!M:M, 0))</f>
        <v>13.9</v>
      </c>
    </row>
    <row r="1006" spans="1:11" ht="16" x14ac:dyDescent="0.25">
      <c r="A1006" t="s">
        <v>816</v>
      </c>
      <c r="B1006">
        <v>9</v>
      </c>
      <c r="C1006">
        <v>2023</v>
      </c>
      <c r="D1006" t="s">
        <v>838</v>
      </c>
      <c r="E1006">
        <v>5.2</v>
      </c>
      <c r="F1006">
        <v>3194176</v>
      </c>
      <c r="G1006" s="1" t="str">
        <f t="shared" si="15"/>
        <v>Nevada2023</v>
      </c>
      <c r="H1006">
        <f>+INDEX(Sheet1!C:C, MATCH(Hoja1!G1006, Sheet1!D:D, 0))</f>
        <v>245978.8</v>
      </c>
      <c r="I1006">
        <f>+INDEX(Sheet1!G:G, MATCH(Hoja1!G1006, Sheet1!I:I, 0))</f>
        <v>119735</v>
      </c>
      <c r="J1006" s="2">
        <f>+INDEX(Sheet1!H:H, MATCH(Hoja1!G1006, Sheet1!I:I, 0))</f>
        <v>2.5954106901101913E-2</v>
      </c>
      <c r="K1006" s="2">
        <f>+INDEX(Sheet1!L:L, MATCH(Hoja1!G1006,Sheet1!M:M, 0))</f>
        <v>13.9</v>
      </c>
    </row>
    <row r="1007" spans="1:11" ht="16" x14ac:dyDescent="0.25">
      <c r="A1007" t="s">
        <v>816</v>
      </c>
      <c r="B1007">
        <v>10</v>
      </c>
      <c r="C1007">
        <v>2023</v>
      </c>
      <c r="D1007" t="s">
        <v>839</v>
      </c>
      <c r="E1007">
        <v>5.3</v>
      </c>
      <c r="F1007">
        <v>3194176</v>
      </c>
      <c r="G1007" s="1" t="str">
        <f t="shared" si="15"/>
        <v>Nevada2023</v>
      </c>
      <c r="H1007">
        <f>+INDEX(Sheet1!C:C, MATCH(Hoja1!G1007, Sheet1!D:D, 0))</f>
        <v>245978.8</v>
      </c>
      <c r="I1007">
        <f>+INDEX(Sheet1!G:G, MATCH(Hoja1!G1007, Sheet1!I:I, 0))</f>
        <v>119735</v>
      </c>
      <c r="J1007" s="2">
        <f>+INDEX(Sheet1!H:H, MATCH(Hoja1!G1007, Sheet1!I:I, 0))</f>
        <v>2.5954106901101913E-2</v>
      </c>
      <c r="K1007" s="2">
        <f>+INDEX(Sheet1!L:L, MATCH(Hoja1!G1007,Sheet1!M:M, 0))</f>
        <v>13.9</v>
      </c>
    </row>
    <row r="1008" spans="1:11" ht="16" x14ac:dyDescent="0.25">
      <c r="A1008" t="s">
        <v>816</v>
      </c>
      <c r="B1008">
        <v>11</v>
      </c>
      <c r="C1008">
        <v>2023</v>
      </c>
      <c r="D1008" t="s">
        <v>840</v>
      </c>
      <c r="E1008">
        <v>5.3</v>
      </c>
      <c r="F1008">
        <v>3194176</v>
      </c>
      <c r="G1008" s="1" t="str">
        <f t="shared" si="15"/>
        <v>Nevada2023</v>
      </c>
      <c r="H1008">
        <f>+INDEX(Sheet1!C:C, MATCH(Hoja1!G1008, Sheet1!D:D, 0))</f>
        <v>245978.8</v>
      </c>
      <c r="I1008">
        <f>+INDEX(Sheet1!G:G, MATCH(Hoja1!G1008, Sheet1!I:I, 0))</f>
        <v>119735</v>
      </c>
      <c r="J1008" s="2">
        <f>+INDEX(Sheet1!H:H, MATCH(Hoja1!G1008, Sheet1!I:I, 0))</f>
        <v>2.5954106901101913E-2</v>
      </c>
      <c r="K1008" s="2">
        <f>+INDEX(Sheet1!L:L, MATCH(Hoja1!G1008,Sheet1!M:M, 0))</f>
        <v>13.9</v>
      </c>
    </row>
    <row r="1009" spans="1:11" ht="16" x14ac:dyDescent="0.25">
      <c r="A1009" t="s">
        <v>816</v>
      </c>
      <c r="B1009">
        <v>12</v>
      </c>
      <c r="C1009">
        <v>2023</v>
      </c>
      <c r="D1009" t="s">
        <v>24</v>
      </c>
      <c r="E1009">
        <v>5.3</v>
      </c>
      <c r="F1009">
        <v>3194176</v>
      </c>
      <c r="G1009" s="1" t="str">
        <f t="shared" si="15"/>
        <v>Nevada2023</v>
      </c>
      <c r="H1009">
        <f>+INDEX(Sheet1!C:C, MATCH(Hoja1!G1009, Sheet1!D:D, 0))</f>
        <v>245978.8</v>
      </c>
      <c r="I1009">
        <f>+INDEX(Sheet1!G:G, MATCH(Hoja1!G1009, Sheet1!I:I, 0))</f>
        <v>119735</v>
      </c>
      <c r="J1009" s="2">
        <f>+INDEX(Sheet1!H:H, MATCH(Hoja1!G1009, Sheet1!I:I, 0))</f>
        <v>2.5954106901101913E-2</v>
      </c>
      <c r="K1009" s="2">
        <f>+INDEX(Sheet1!L:L, MATCH(Hoja1!G1009,Sheet1!M:M, 0))</f>
        <v>13.9</v>
      </c>
    </row>
    <row r="1010" spans="1:11" ht="16" x14ac:dyDescent="0.25">
      <c r="A1010" t="s">
        <v>841</v>
      </c>
      <c r="B1010">
        <v>1</v>
      </c>
      <c r="C1010">
        <v>2021</v>
      </c>
      <c r="D1010" t="s">
        <v>842</v>
      </c>
      <c r="E1010">
        <v>4.7</v>
      </c>
      <c r="F1010">
        <v>1387494</v>
      </c>
      <c r="G1010" s="1" t="str">
        <f t="shared" si="15"/>
        <v>New Hampshire2021</v>
      </c>
      <c r="H1010">
        <f>+INDEX(Sheet1!C:C, MATCH(Hoja1!G1010, Sheet1!D:D, 0))</f>
        <v>99092.6</v>
      </c>
      <c r="I1010">
        <f>+INDEX(Sheet1!G:G, MATCH(Hoja1!G1010, Sheet1!I:I, 0))</f>
        <v>110803</v>
      </c>
      <c r="J1010" s="2">
        <f>+INDEX(Sheet1!H:H, MATCH(Hoja1!G1010, Sheet1!I:I, 0))</f>
        <v>8.1743629795958214E-2</v>
      </c>
      <c r="K1010" s="2">
        <f>+INDEX(Sheet1!L:L, MATCH(Hoja1!G1010,Sheet1!M:M, 0))</f>
        <v>6.9</v>
      </c>
    </row>
    <row r="1011" spans="1:11" ht="16" x14ac:dyDescent="0.25">
      <c r="A1011" t="s">
        <v>841</v>
      </c>
      <c r="B1011">
        <v>2</v>
      </c>
      <c r="C1011">
        <v>2021</v>
      </c>
      <c r="D1011" t="s">
        <v>843</v>
      </c>
      <c r="E1011">
        <v>4.5</v>
      </c>
      <c r="F1011">
        <v>1387494</v>
      </c>
      <c r="G1011" s="1" t="str">
        <f t="shared" si="15"/>
        <v>New Hampshire2021</v>
      </c>
      <c r="H1011">
        <f>+INDEX(Sheet1!C:C, MATCH(Hoja1!G1011, Sheet1!D:D, 0))</f>
        <v>99092.6</v>
      </c>
      <c r="I1011">
        <f>+INDEX(Sheet1!G:G, MATCH(Hoja1!G1011, Sheet1!I:I, 0))</f>
        <v>110803</v>
      </c>
      <c r="J1011" s="2">
        <f>+INDEX(Sheet1!H:H, MATCH(Hoja1!G1011, Sheet1!I:I, 0))</f>
        <v>8.1743629795958214E-2</v>
      </c>
      <c r="K1011" s="2">
        <f>+INDEX(Sheet1!L:L, MATCH(Hoja1!G1011,Sheet1!M:M, 0))</f>
        <v>6.9</v>
      </c>
    </row>
    <row r="1012" spans="1:11" ht="16" x14ac:dyDescent="0.25">
      <c r="A1012" t="s">
        <v>841</v>
      </c>
      <c r="B1012">
        <v>3</v>
      </c>
      <c r="C1012">
        <v>2021</v>
      </c>
      <c r="D1012" t="s">
        <v>844</v>
      </c>
      <c r="E1012">
        <v>4.3</v>
      </c>
      <c r="F1012">
        <v>1387494</v>
      </c>
      <c r="G1012" s="1" t="str">
        <f t="shared" si="15"/>
        <v>New Hampshire2021</v>
      </c>
      <c r="H1012">
        <f>+INDEX(Sheet1!C:C, MATCH(Hoja1!G1012, Sheet1!D:D, 0))</f>
        <v>99092.6</v>
      </c>
      <c r="I1012">
        <f>+INDEX(Sheet1!G:G, MATCH(Hoja1!G1012, Sheet1!I:I, 0))</f>
        <v>110803</v>
      </c>
      <c r="J1012" s="2">
        <f>+INDEX(Sheet1!H:H, MATCH(Hoja1!G1012, Sheet1!I:I, 0))</f>
        <v>8.1743629795958214E-2</v>
      </c>
      <c r="K1012" s="2">
        <f>+INDEX(Sheet1!L:L, MATCH(Hoja1!G1012,Sheet1!M:M, 0))</f>
        <v>6.9</v>
      </c>
    </row>
    <row r="1013" spans="1:11" ht="16" x14ac:dyDescent="0.25">
      <c r="A1013" t="s">
        <v>841</v>
      </c>
      <c r="B1013">
        <v>4</v>
      </c>
      <c r="C1013">
        <v>2021</v>
      </c>
      <c r="D1013" t="s">
        <v>845</v>
      </c>
      <c r="E1013">
        <v>3.8</v>
      </c>
      <c r="F1013">
        <v>1387494</v>
      </c>
      <c r="G1013" s="1" t="str">
        <f t="shared" si="15"/>
        <v>New Hampshire2021</v>
      </c>
      <c r="H1013">
        <f>+INDEX(Sheet1!C:C, MATCH(Hoja1!G1013, Sheet1!D:D, 0))</f>
        <v>99092.6</v>
      </c>
      <c r="I1013">
        <f>+INDEX(Sheet1!G:G, MATCH(Hoja1!G1013, Sheet1!I:I, 0))</f>
        <v>110803</v>
      </c>
      <c r="J1013" s="2">
        <f>+INDEX(Sheet1!H:H, MATCH(Hoja1!G1013, Sheet1!I:I, 0))</f>
        <v>8.1743629795958214E-2</v>
      </c>
      <c r="K1013" s="2">
        <f>+INDEX(Sheet1!L:L, MATCH(Hoja1!G1013,Sheet1!M:M, 0))</f>
        <v>6.9</v>
      </c>
    </row>
    <row r="1014" spans="1:11" ht="16" x14ac:dyDescent="0.25">
      <c r="A1014" t="s">
        <v>841</v>
      </c>
      <c r="B1014">
        <v>5</v>
      </c>
      <c r="C1014">
        <v>2021</v>
      </c>
      <c r="D1014" t="s">
        <v>846</v>
      </c>
      <c r="E1014">
        <v>3.5</v>
      </c>
      <c r="F1014">
        <v>1387494</v>
      </c>
      <c r="G1014" s="1" t="str">
        <f t="shared" si="15"/>
        <v>New Hampshire2021</v>
      </c>
      <c r="H1014">
        <f>+INDEX(Sheet1!C:C, MATCH(Hoja1!G1014, Sheet1!D:D, 0))</f>
        <v>99092.6</v>
      </c>
      <c r="I1014">
        <f>+INDEX(Sheet1!G:G, MATCH(Hoja1!G1014, Sheet1!I:I, 0))</f>
        <v>110803</v>
      </c>
      <c r="J1014" s="2">
        <f>+INDEX(Sheet1!H:H, MATCH(Hoja1!G1014, Sheet1!I:I, 0))</f>
        <v>8.1743629795958214E-2</v>
      </c>
      <c r="K1014" s="2">
        <f>+INDEX(Sheet1!L:L, MATCH(Hoja1!G1014,Sheet1!M:M, 0))</f>
        <v>6.9</v>
      </c>
    </row>
    <row r="1015" spans="1:11" ht="16" x14ac:dyDescent="0.25">
      <c r="A1015" t="s">
        <v>841</v>
      </c>
      <c r="B1015">
        <v>6</v>
      </c>
      <c r="C1015">
        <v>2021</v>
      </c>
      <c r="D1015" t="s">
        <v>847</v>
      </c>
      <c r="E1015">
        <v>3.7</v>
      </c>
      <c r="F1015">
        <v>1387494</v>
      </c>
      <c r="G1015" s="1" t="str">
        <f t="shared" si="15"/>
        <v>New Hampshire2021</v>
      </c>
      <c r="H1015">
        <f>+INDEX(Sheet1!C:C, MATCH(Hoja1!G1015, Sheet1!D:D, 0))</f>
        <v>99092.6</v>
      </c>
      <c r="I1015">
        <f>+INDEX(Sheet1!G:G, MATCH(Hoja1!G1015, Sheet1!I:I, 0))</f>
        <v>110803</v>
      </c>
      <c r="J1015" s="2">
        <f>+INDEX(Sheet1!H:H, MATCH(Hoja1!G1015, Sheet1!I:I, 0))</f>
        <v>8.1743629795958214E-2</v>
      </c>
      <c r="K1015" s="2">
        <f>+INDEX(Sheet1!L:L, MATCH(Hoja1!G1015,Sheet1!M:M, 0))</f>
        <v>6.9</v>
      </c>
    </row>
    <row r="1016" spans="1:11" ht="16" x14ac:dyDescent="0.25">
      <c r="A1016" t="s">
        <v>841</v>
      </c>
      <c r="B1016">
        <v>7</v>
      </c>
      <c r="C1016">
        <v>2021</v>
      </c>
      <c r="D1016">
        <v>21</v>
      </c>
      <c r="E1016">
        <v>3.5</v>
      </c>
      <c r="F1016">
        <v>1387494</v>
      </c>
      <c r="G1016" s="1" t="str">
        <f t="shared" si="15"/>
        <v>New Hampshire2021</v>
      </c>
      <c r="H1016">
        <f>+INDEX(Sheet1!C:C, MATCH(Hoja1!G1016, Sheet1!D:D, 0))</f>
        <v>99092.6</v>
      </c>
      <c r="I1016">
        <f>+INDEX(Sheet1!G:G, MATCH(Hoja1!G1016, Sheet1!I:I, 0))</f>
        <v>110803</v>
      </c>
      <c r="J1016" s="2">
        <f>+INDEX(Sheet1!H:H, MATCH(Hoja1!G1016, Sheet1!I:I, 0))</f>
        <v>8.1743629795958214E-2</v>
      </c>
      <c r="K1016" s="2">
        <f>+INDEX(Sheet1!L:L, MATCH(Hoja1!G1016,Sheet1!M:M, 0))</f>
        <v>6.9</v>
      </c>
    </row>
    <row r="1017" spans="1:11" ht="16" x14ac:dyDescent="0.25">
      <c r="A1017" t="s">
        <v>841</v>
      </c>
      <c r="B1017">
        <v>8</v>
      </c>
      <c r="C1017">
        <v>2021</v>
      </c>
      <c r="D1017" t="s">
        <v>161</v>
      </c>
      <c r="E1017">
        <v>3.2</v>
      </c>
      <c r="F1017">
        <v>1387494</v>
      </c>
      <c r="G1017" s="1" t="str">
        <f t="shared" si="15"/>
        <v>New Hampshire2021</v>
      </c>
      <c r="H1017">
        <f>+INDEX(Sheet1!C:C, MATCH(Hoja1!G1017, Sheet1!D:D, 0))</f>
        <v>99092.6</v>
      </c>
      <c r="I1017">
        <f>+INDEX(Sheet1!G:G, MATCH(Hoja1!G1017, Sheet1!I:I, 0))</f>
        <v>110803</v>
      </c>
      <c r="J1017" s="2">
        <f>+INDEX(Sheet1!H:H, MATCH(Hoja1!G1017, Sheet1!I:I, 0))</f>
        <v>8.1743629795958214E-2</v>
      </c>
      <c r="K1017" s="2">
        <f>+INDEX(Sheet1!L:L, MATCH(Hoja1!G1017,Sheet1!M:M, 0))</f>
        <v>6.9</v>
      </c>
    </row>
    <row r="1018" spans="1:11" ht="16" x14ac:dyDescent="0.25">
      <c r="A1018" t="s">
        <v>841</v>
      </c>
      <c r="B1018">
        <v>9</v>
      </c>
      <c r="C1018">
        <v>2021</v>
      </c>
      <c r="D1018" t="s">
        <v>848</v>
      </c>
      <c r="E1018">
        <v>2.8</v>
      </c>
      <c r="F1018">
        <v>1387494</v>
      </c>
      <c r="G1018" s="1" t="str">
        <f t="shared" si="15"/>
        <v>New Hampshire2021</v>
      </c>
      <c r="H1018">
        <f>+INDEX(Sheet1!C:C, MATCH(Hoja1!G1018, Sheet1!D:D, 0))</f>
        <v>99092.6</v>
      </c>
      <c r="I1018">
        <f>+INDEX(Sheet1!G:G, MATCH(Hoja1!G1018, Sheet1!I:I, 0))</f>
        <v>110803</v>
      </c>
      <c r="J1018" s="2">
        <f>+INDEX(Sheet1!H:H, MATCH(Hoja1!G1018, Sheet1!I:I, 0))</f>
        <v>8.1743629795958214E-2</v>
      </c>
      <c r="K1018" s="2">
        <f>+INDEX(Sheet1!L:L, MATCH(Hoja1!G1018,Sheet1!M:M, 0))</f>
        <v>6.9</v>
      </c>
    </row>
    <row r="1019" spans="1:11" ht="16" x14ac:dyDescent="0.25">
      <c r="A1019" t="s">
        <v>841</v>
      </c>
      <c r="B1019">
        <v>10</v>
      </c>
      <c r="C1019">
        <v>2021</v>
      </c>
      <c r="D1019" t="s">
        <v>448</v>
      </c>
      <c r="E1019">
        <v>2.4</v>
      </c>
      <c r="F1019">
        <v>1387494</v>
      </c>
      <c r="G1019" s="1" t="str">
        <f t="shared" si="15"/>
        <v>New Hampshire2021</v>
      </c>
      <c r="H1019">
        <f>+INDEX(Sheet1!C:C, MATCH(Hoja1!G1019, Sheet1!D:D, 0))</f>
        <v>99092.6</v>
      </c>
      <c r="I1019">
        <f>+INDEX(Sheet1!G:G, MATCH(Hoja1!G1019, Sheet1!I:I, 0))</f>
        <v>110803</v>
      </c>
      <c r="J1019" s="2">
        <f>+INDEX(Sheet1!H:H, MATCH(Hoja1!G1019, Sheet1!I:I, 0))</f>
        <v>8.1743629795958214E-2</v>
      </c>
      <c r="K1019" s="2">
        <f>+INDEX(Sheet1!L:L, MATCH(Hoja1!G1019,Sheet1!M:M, 0))</f>
        <v>6.9</v>
      </c>
    </row>
    <row r="1020" spans="1:11" ht="16" x14ac:dyDescent="0.25">
      <c r="A1020" t="s">
        <v>841</v>
      </c>
      <c r="B1020">
        <v>11</v>
      </c>
      <c r="C1020">
        <v>2021</v>
      </c>
      <c r="D1020" t="s">
        <v>335</v>
      </c>
      <c r="E1020">
        <v>2.2999999999999998</v>
      </c>
      <c r="F1020">
        <v>1387494</v>
      </c>
      <c r="G1020" s="1" t="str">
        <f t="shared" si="15"/>
        <v>New Hampshire2021</v>
      </c>
      <c r="H1020">
        <f>+INDEX(Sheet1!C:C, MATCH(Hoja1!G1020, Sheet1!D:D, 0))</f>
        <v>99092.6</v>
      </c>
      <c r="I1020">
        <f>+INDEX(Sheet1!G:G, MATCH(Hoja1!G1020, Sheet1!I:I, 0))</f>
        <v>110803</v>
      </c>
      <c r="J1020" s="2">
        <f>+INDEX(Sheet1!H:H, MATCH(Hoja1!G1020, Sheet1!I:I, 0))</f>
        <v>8.1743629795958214E-2</v>
      </c>
      <c r="K1020" s="2">
        <f>+INDEX(Sheet1!L:L, MATCH(Hoja1!G1020,Sheet1!M:M, 0))</f>
        <v>6.9</v>
      </c>
    </row>
    <row r="1021" spans="1:11" ht="16" x14ac:dyDescent="0.25">
      <c r="A1021" t="s">
        <v>841</v>
      </c>
      <c r="B1021">
        <v>12</v>
      </c>
      <c r="C1021">
        <v>2021</v>
      </c>
      <c r="D1021" t="s">
        <v>15</v>
      </c>
      <c r="E1021">
        <v>2.1</v>
      </c>
      <c r="F1021">
        <v>1387494</v>
      </c>
      <c r="G1021" s="1" t="str">
        <f t="shared" si="15"/>
        <v>New Hampshire2021</v>
      </c>
      <c r="H1021">
        <f>+INDEX(Sheet1!C:C, MATCH(Hoja1!G1021, Sheet1!D:D, 0))</f>
        <v>99092.6</v>
      </c>
      <c r="I1021">
        <f>+INDEX(Sheet1!G:G, MATCH(Hoja1!G1021, Sheet1!I:I, 0))</f>
        <v>110803</v>
      </c>
      <c r="J1021" s="2">
        <f>+INDEX(Sheet1!H:H, MATCH(Hoja1!G1021, Sheet1!I:I, 0))</f>
        <v>8.1743629795958214E-2</v>
      </c>
      <c r="K1021" s="2">
        <f>+INDEX(Sheet1!L:L, MATCH(Hoja1!G1021,Sheet1!M:M, 0))</f>
        <v>6.9</v>
      </c>
    </row>
    <row r="1022" spans="1:11" ht="16" x14ac:dyDescent="0.25">
      <c r="A1022" t="s">
        <v>841</v>
      </c>
      <c r="B1022">
        <v>1</v>
      </c>
      <c r="C1022">
        <v>2022</v>
      </c>
      <c r="D1022" t="s">
        <v>121</v>
      </c>
      <c r="E1022">
        <v>2.9</v>
      </c>
      <c r="F1022">
        <v>1399003</v>
      </c>
      <c r="G1022" s="1" t="str">
        <f t="shared" si="15"/>
        <v>New Hampshire2022</v>
      </c>
      <c r="H1022">
        <f>+INDEX(Sheet1!C:C, MATCH(Hoja1!G1022, Sheet1!D:D, 0))</f>
        <v>106488</v>
      </c>
      <c r="I1022">
        <f>+INDEX(Sheet1!G:G, MATCH(Hoja1!G1022, Sheet1!I:I, 0))</f>
        <v>112610</v>
      </c>
      <c r="J1022" s="2">
        <f>+INDEX(Sheet1!H:H, MATCH(Hoja1!G1022, Sheet1!I:I, 0))</f>
        <v>1.6308222701551401E-2</v>
      </c>
      <c r="K1022" s="2">
        <f>+INDEX(Sheet1!L:L, MATCH(Hoja1!G1022,Sheet1!M:M, 0))</f>
        <v>8.3000000000000007</v>
      </c>
    </row>
    <row r="1023" spans="1:11" ht="16" x14ac:dyDescent="0.25">
      <c r="A1023" t="s">
        <v>841</v>
      </c>
      <c r="B1023">
        <v>2</v>
      </c>
      <c r="C1023">
        <v>2022</v>
      </c>
      <c r="D1023" t="s">
        <v>834</v>
      </c>
      <c r="E1023">
        <v>2.6</v>
      </c>
      <c r="F1023">
        <v>1399003</v>
      </c>
      <c r="G1023" s="1" t="str">
        <f t="shared" si="15"/>
        <v>New Hampshire2022</v>
      </c>
      <c r="H1023">
        <f>+INDEX(Sheet1!C:C, MATCH(Hoja1!G1023, Sheet1!D:D, 0))</f>
        <v>106488</v>
      </c>
      <c r="I1023">
        <f>+INDEX(Sheet1!G:G, MATCH(Hoja1!G1023, Sheet1!I:I, 0))</f>
        <v>112610</v>
      </c>
      <c r="J1023" s="2">
        <f>+INDEX(Sheet1!H:H, MATCH(Hoja1!G1023, Sheet1!I:I, 0))</f>
        <v>1.6308222701551401E-2</v>
      </c>
      <c r="K1023" s="2">
        <f>+INDEX(Sheet1!L:L, MATCH(Hoja1!G1023,Sheet1!M:M, 0))</f>
        <v>8.3000000000000007</v>
      </c>
    </row>
    <row r="1024" spans="1:11" ht="16" x14ac:dyDescent="0.25">
      <c r="A1024" t="s">
        <v>841</v>
      </c>
      <c r="B1024">
        <v>3</v>
      </c>
      <c r="C1024">
        <v>2022</v>
      </c>
      <c r="D1024" t="s">
        <v>849</v>
      </c>
      <c r="E1024">
        <v>2.5</v>
      </c>
      <c r="F1024">
        <v>1399003</v>
      </c>
      <c r="G1024" s="1" t="str">
        <f t="shared" si="15"/>
        <v>New Hampshire2022</v>
      </c>
      <c r="H1024">
        <f>+INDEX(Sheet1!C:C, MATCH(Hoja1!G1024, Sheet1!D:D, 0))</f>
        <v>106488</v>
      </c>
      <c r="I1024">
        <f>+INDEX(Sheet1!G:G, MATCH(Hoja1!G1024, Sheet1!I:I, 0))</f>
        <v>112610</v>
      </c>
      <c r="J1024" s="2">
        <f>+INDEX(Sheet1!H:H, MATCH(Hoja1!G1024, Sheet1!I:I, 0))</f>
        <v>1.6308222701551401E-2</v>
      </c>
      <c r="K1024" s="2">
        <f>+INDEX(Sheet1!L:L, MATCH(Hoja1!G1024,Sheet1!M:M, 0))</f>
        <v>8.3000000000000007</v>
      </c>
    </row>
    <row r="1025" spans="1:11" ht="16" x14ac:dyDescent="0.25">
      <c r="A1025" t="s">
        <v>841</v>
      </c>
      <c r="B1025">
        <v>4</v>
      </c>
      <c r="C1025">
        <v>2022</v>
      </c>
      <c r="D1025" t="s">
        <v>139</v>
      </c>
      <c r="E1025">
        <v>2.1</v>
      </c>
      <c r="F1025">
        <v>1399003</v>
      </c>
      <c r="G1025" s="1" t="str">
        <f t="shared" si="15"/>
        <v>New Hampshire2022</v>
      </c>
      <c r="H1025">
        <f>+INDEX(Sheet1!C:C, MATCH(Hoja1!G1025, Sheet1!D:D, 0))</f>
        <v>106488</v>
      </c>
      <c r="I1025">
        <f>+INDEX(Sheet1!G:G, MATCH(Hoja1!G1025, Sheet1!I:I, 0))</f>
        <v>112610</v>
      </c>
      <c r="J1025" s="2">
        <f>+INDEX(Sheet1!H:H, MATCH(Hoja1!G1025, Sheet1!I:I, 0))</f>
        <v>1.6308222701551401E-2</v>
      </c>
      <c r="K1025" s="2">
        <f>+INDEX(Sheet1!L:L, MATCH(Hoja1!G1025,Sheet1!M:M, 0))</f>
        <v>8.3000000000000007</v>
      </c>
    </row>
    <row r="1026" spans="1:11" ht="16" x14ac:dyDescent="0.25">
      <c r="A1026" t="s">
        <v>841</v>
      </c>
      <c r="B1026">
        <v>5</v>
      </c>
      <c r="C1026">
        <v>2022</v>
      </c>
      <c r="D1026" t="s">
        <v>140</v>
      </c>
      <c r="E1026">
        <v>2</v>
      </c>
      <c r="F1026">
        <v>1399003</v>
      </c>
      <c r="G1026" s="1" t="str">
        <f t="shared" si="15"/>
        <v>New Hampshire2022</v>
      </c>
      <c r="H1026">
        <f>+INDEX(Sheet1!C:C, MATCH(Hoja1!G1026, Sheet1!D:D, 0))</f>
        <v>106488</v>
      </c>
      <c r="I1026">
        <f>+INDEX(Sheet1!G:G, MATCH(Hoja1!G1026, Sheet1!I:I, 0))</f>
        <v>112610</v>
      </c>
      <c r="J1026" s="2">
        <f>+INDEX(Sheet1!H:H, MATCH(Hoja1!G1026, Sheet1!I:I, 0))</f>
        <v>1.6308222701551401E-2</v>
      </c>
      <c r="K1026" s="2">
        <f>+INDEX(Sheet1!L:L, MATCH(Hoja1!G1026,Sheet1!M:M, 0))</f>
        <v>8.3000000000000007</v>
      </c>
    </row>
    <row r="1027" spans="1:11" ht="16" x14ac:dyDescent="0.25">
      <c r="A1027" t="s">
        <v>841</v>
      </c>
      <c r="B1027">
        <v>6</v>
      </c>
      <c r="C1027">
        <v>2022</v>
      </c>
      <c r="D1027" t="s">
        <v>137</v>
      </c>
      <c r="E1027">
        <v>2.2000000000000002</v>
      </c>
      <c r="F1027">
        <v>1399003</v>
      </c>
      <c r="G1027" s="1" t="str">
        <f t="shared" ref="G1027:G1090" si="16">+A1027&amp;C1027</f>
        <v>New Hampshire2022</v>
      </c>
      <c r="H1027">
        <f>+INDEX(Sheet1!C:C, MATCH(Hoja1!G1027, Sheet1!D:D, 0))</f>
        <v>106488</v>
      </c>
      <c r="I1027">
        <f>+INDEX(Sheet1!G:G, MATCH(Hoja1!G1027, Sheet1!I:I, 0))</f>
        <v>112610</v>
      </c>
      <c r="J1027" s="2">
        <f>+INDEX(Sheet1!H:H, MATCH(Hoja1!G1027, Sheet1!I:I, 0))</f>
        <v>1.6308222701551401E-2</v>
      </c>
      <c r="K1027" s="2">
        <f>+INDEX(Sheet1!L:L, MATCH(Hoja1!G1027,Sheet1!M:M, 0))</f>
        <v>8.3000000000000007</v>
      </c>
    </row>
    <row r="1028" spans="1:11" ht="16" x14ac:dyDescent="0.25">
      <c r="A1028" t="s">
        <v>841</v>
      </c>
      <c r="B1028">
        <v>7</v>
      </c>
      <c r="C1028">
        <v>2022</v>
      </c>
      <c r="D1028" t="s">
        <v>850</v>
      </c>
      <c r="E1028">
        <v>2.2999999999999998</v>
      </c>
      <c r="F1028">
        <v>1399003</v>
      </c>
      <c r="G1028" s="1" t="str">
        <f t="shared" si="16"/>
        <v>New Hampshire2022</v>
      </c>
      <c r="H1028">
        <f>+INDEX(Sheet1!C:C, MATCH(Hoja1!G1028, Sheet1!D:D, 0))</f>
        <v>106488</v>
      </c>
      <c r="I1028">
        <f>+INDEX(Sheet1!G:G, MATCH(Hoja1!G1028, Sheet1!I:I, 0))</f>
        <v>112610</v>
      </c>
      <c r="J1028" s="2">
        <f>+INDEX(Sheet1!H:H, MATCH(Hoja1!G1028, Sheet1!I:I, 0))</f>
        <v>1.6308222701551401E-2</v>
      </c>
      <c r="K1028" s="2">
        <f>+INDEX(Sheet1!L:L, MATCH(Hoja1!G1028,Sheet1!M:M, 0))</f>
        <v>8.3000000000000007</v>
      </c>
    </row>
    <row r="1029" spans="1:11" ht="16" x14ac:dyDescent="0.25">
      <c r="A1029" t="s">
        <v>841</v>
      </c>
      <c r="B1029">
        <v>8</v>
      </c>
      <c r="C1029">
        <v>2022</v>
      </c>
      <c r="D1029" t="s">
        <v>654</v>
      </c>
      <c r="E1029">
        <v>2.5</v>
      </c>
      <c r="F1029">
        <v>1399003</v>
      </c>
      <c r="G1029" s="1" t="str">
        <f t="shared" si="16"/>
        <v>New Hampshire2022</v>
      </c>
      <c r="H1029">
        <f>+INDEX(Sheet1!C:C, MATCH(Hoja1!G1029, Sheet1!D:D, 0))</f>
        <v>106488</v>
      </c>
      <c r="I1029">
        <f>+INDEX(Sheet1!G:G, MATCH(Hoja1!G1029, Sheet1!I:I, 0))</f>
        <v>112610</v>
      </c>
      <c r="J1029" s="2">
        <f>+INDEX(Sheet1!H:H, MATCH(Hoja1!G1029, Sheet1!I:I, 0))</f>
        <v>1.6308222701551401E-2</v>
      </c>
      <c r="K1029" s="2">
        <f>+INDEX(Sheet1!L:L, MATCH(Hoja1!G1029,Sheet1!M:M, 0))</f>
        <v>8.3000000000000007</v>
      </c>
    </row>
    <row r="1030" spans="1:11" ht="16" x14ac:dyDescent="0.25">
      <c r="A1030" t="s">
        <v>841</v>
      </c>
      <c r="B1030">
        <v>9</v>
      </c>
      <c r="C1030">
        <v>2022</v>
      </c>
      <c r="D1030" t="s">
        <v>831</v>
      </c>
      <c r="E1030">
        <v>2.2999999999999998</v>
      </c>
      <c r="F1030">
        <v>1399003</v>
      </c>
      <c r="G1030" s="1" t="str">
        <f t="shared" si="16"/>
        <v>New Hampshire2022</v>
      </c>
      <c r="H1030">
        <f>+INDEX(Sheet1!C:C, MATCH(Hoja1!G1030, Sheet1!D:D, 0))</f>
        <v>106488</v>
      </c>
      <c r="I1030">
        <f>+INDEX(Sheet1!G:G, MATCH(Hoja1!G1030, Sheet1!I:I, 0))</f>
        <v>112610</v>
      </c>
      <c r="J1030" s="2">
        <f>+INDEX(Sheet1!H:H, MATCH(Hoja1!G1030, Sheet1!I:I, 0))</f>
        <v>1.6308222701551401E-2</v>
      </c>
      <c r="K1030" s="2">
        <f>+INDEX(Sheet1!L:L, MATCH(Hoja1!G1030,Sheet1!M:M, 0))</f>
        <v>8.3000000000000007</v>
      </c>
    </row>
    <row r="1031" spans="1:11" ht="16" x14ac:dyDescent="0.25">
      <c r="A1031" t="s">
        <v>841</v>
      </c>
      <c r="B1031">
        <v>10</v>
      </c>
      <c r="C1031">
        <v>2022</v>
      </c>
      <c r="D1031" t="s">
        <v>851</v>
      </c>
      <c r="E1031">
        <v>2.1</v>
      </c>
      <c r="F1031">
        <v>1399003</v>
      </c>
      <c r="G1031" s="1" t="str">
        <f t="shared" si="16"/>
        <v>New Hampshire2022</v>
      </c>
      <c r="H1031">
        <f>+INDEX(Sheet1!C:C, MATCH(Hoja1!G1031, Sheet1!D:D, 0))</f>
        <v>106488</v>
      </c>
      <c r="I1031">
        <f>+INDEX(Sheet1!G:G, MATCH(Hoja1!G1031, Sheet1!I:I, 0))</f>
        <v>112610</v>
      </c>
      <c r="J1031" s="2">
        <f>+INDEX(Sheet1!H:H, MATCH(Hoja1!G1031, Sheet1!I:I, 0))</f>
        <v>1.6308222701551401E-2</v>
      </c>
      <c r="K1031" s="2">
        <f>+INDEX(Sheet1!L:L, MATCH(Hoja1!G1031,Sheet1!M:M, 0))</f>
        <v>8.3000000000000007</v>
      </c>
    </row>
    <row r="1032" spans="1:11" ht="16" x14ac:dyDescent="0.25">
      <c r="A1032" t="s">
        <v>841</v>
      </c>
      <c r="B1032">
        <v>11</v>
      </c>
      <c r="C1032">
        <v>2022</v>
      </c>
      <c r="D1032" t="s">
        <v>665</v>
      </c>
      <c r="E1032">
        <v>2.1</v>
      </c>
      <c r="F1032">
        <v>1399003</v>
      </c>
      <c r="G1032" s="1" t="str">
        <f t="shared" si="16"/>
        <v>New Hampshire2022</v>
      </c>
      <c r="H1032">
        <f>+INDEX(Sheet1!C:C, MATCH(Hoja1!G1032, Sheet1!D:D, 0))</f>
        <v>106488</v>
      </c>
      <c r="I1032">
        <f>+INDEX(Sheet1!G:G, MATCH(Hoja1!G1032, Sheet1!I:I, 0))</f>
        <v>112610</v>
      </c>
      <c r="J1032" s="2">
        <f>+INDEX(Sheet1!H:H, MATCH(Hoja1!G1032, Sheet1!I:I, 0))</f>
        <v>1.6308222701551401E-2</v>
      </c>
      <c r="K1032" s="2">
        <f>+INDEX(Sheet1!L:L, MATCH(Hoja1!G1032,Sheet1!M:M, 0))</f>
        <v>8.3000000000000007</v>
      </c>
    </row>
    <row r="1033" spans="1:11" ht="16" x14ac:dyDescent="0.25">
      <c r="A1033" t="s">
        <v>841</v>
      </c>
      <c r="B1033">
        <v>12</v>
      </c>
      <c r="C1033">
        <v>2022</v>
      </c>
      <c r="D1033" t="s">
        <v>852</v>
      </c>
      <c r="E1033">
        <v>1.9</v>
      </c>
      <c r="F1033">
        <v>1399003</v>
      </c>
      <c r="G1033" s="1" t="str">
        <f t="shared" si="16"/>
        <v>New Hampshire2022</v>
      </c>
      <c r="H1033">
        <f>+INDEX(Sheet1!C:C, MATCH(Hoja1!G1033, Sheet1!D:D, 0))</f>
        <v>106488</v>
      </c>
      <c r="I1033">
        <f>+INDEX(Sheet1!G:G, MATCH(Hoja1!G1033, Sheet1!I:I, 0))</f>
        <v>112610</v>
      </c>
      <c r="J1033" s="2">
        <f>+INDEX(Sheet1!H:H, MATCH(Hoja1!G1033, Sheet1!I:I, 0))</f>
        <v>1.6308222701551401E-2</v>
      </c>
      <c r="K1033" s="2">
        <f>+INDEX(Sheet1!L:L, MATCH(Hoja1!G1033,Sheet1!M:M, 0))</f>
        <v>8.3000000000000007</v>
      </c>
    </row>
    <row r="1034" spans="1:11" ht="16" x14ac:dyDescent="0.25">
      <c r="A1034" t="s">
        <v>841</v>
      </c>
      <c r="B1034">
        <v>1</v>
      </c>
      <c r="C1034">
        <v>2023</v>
      </c>
      <c r="D1034" t="s">
        <v>652</v>
      </c>
      <c r="E1034">
        <v>2.5</v>
      </c>
      <c r="F1034">
        <v>1402054</v>
      </c>
      <c r="G1034" s="1" t="str">
        <f t="shared" si="16"/>
        <v>New Hampshire2023</v>
      </c>
      <c r="H1034">
        <f>+INDEX(Sheet1!C:C, MATCH(Hoja1!G1034, Sheet1!D:D, 0))</f>
        <v>114100.8</v>
      </c>
      <c r="I1034">
        <f>+INDEX(Sheet1!G:G, MATCH(Hoja1!G1034, Sheet1!I:I, 0))</f>
        <v>115136</v>
      </c>
      <c r="J1034" s="2">
        <f>+INDEX(Sheet1!H:H, MATCH(Hoja1!G1034, Sheet1!I:I, 0))</f>
        <v>2.2431400408489476E-2</v>
      </c>
      <c r="K1034" s="2">
        <f>+INDEX(Sheet1!L:L, MATCH(Hoja1!G1034,Sheet1!M:M, 0))</f>
        <v>6.1</v>
      </c>
    </row>
    <row r="1035" spans="1:11" ht="16" x14ac:dyDescent="0.25">
      <c r="A1035" t="s">
        <v>841</v>
      </c>
      <c r="B1035">
        <v>2</v>
      </c>
      <c r="C1035">
        <v>2023</v>
      </c>
      <c r="D1035" t="s">
        <v>853</v>
      </c>
      <c r="E1035">
        <v>2.2999999999999998</v>
      </c>
      <c r="F1035">
        <v>1402054</v>
      </c>
      <c r="G1035" s="1" t="str">
        <f t="shared" si="16"/>
        <v>New Hampshire2023</v>
      </c>
      <c r="H1035">
        <f>+INDEX(Sheet1!C:C, MATCH(Hoja1!G1035, Sheet1!D:D, 0))</f>
        <v>114100.8</v>
      </c>
      <c r="I1035">
        <f>+INDEX(Sheet1!G:G, MATCH(Hoja1!G1035, Sheet1!I:I, 0))</f>
        <v>115136</v>
      </c>
      <c r="J1035" s="2">
        <f>+INDEX(Sheet1!H:H, MATCH(Hoja1!G1035, Sheet1!I:I, 0))</f>
        <v>2.2431400408489476E-2</v>
      </c>
      <c r="K1035" s="2">
        <f>+INDEX(Sheet1!L:L, MATCH(Hoja1!G1035,Sheet1!M:M, 0))</f>
        <v>6.1</v>
      </c>
    </row>
    <row r="1036" spans="1:11" ht="16" x14ac:dyDescent="0.25">
      <c r="A1036" t="s">
        <v>841</v>
      </c>
      <c r="B1036">
        <v>3</v>
      </c>
      <c r="C1036">
        <v>2023</v>
      </c>
      <c r="D1036" t="s">
        <v>467</v>
      </c>
      <c r="E1036">
        <v>2.1</v>
      </c>
      <c r="F1036">
        <v>1402054</v>
      </c>
      <c r="G1036" s="1" t="str">
        <f t="shared" si="16"/>
        <v>New Hampshire2023</v>
      </c>
      <c r="H1036">
        <f>+INDEX(Sheet1!C:C, MATCH(Hoja1!G1036, Sheet1!D:D, 0))</f>
        <v>114100.8</v>
      </c>
      <c r="I1036">
        <f>+INDEX(Sheet1!G:G, MATCH(Hoja1!G1036, Sheet1!I:I, 0))</f>
        <v>115136</v>
      </c>
      <c r="J1036" s="2">
        <f>+INDEX(Sheet1!H:H, MATCH(Hoja1!G1036, Sheet1!I:I, 0))</f>
        <v>2.2431400408489476E-2</v>
      </c>
      <c r="K1036" s="2">
        <f>+INDEX(Sheet1!L:L, MATCH(Hoja1!G1036,Sheet1!M:M, 0))</f>
        <v>6.1</v>
      </c>
    </row>
    <row r="1037" spans="1:11" ht="16" x14ac:dyDescent="0.25">
      <c r="A1037" t="s">
        <v>841</v>
      </c>
      <c r="B1037">
        <v>4</v>
      </c>
      <c r="C1037">
        <v>2023</v>
      </c>
      <c r="D1037" t="s">
        <v>48</v>
      </c>
      <c r="E1037">
        <v>1.4</v>
      </c>
      <c r="F1037">
        <v>1402054</v>
      </c>
      <c r="G1037" s="1" t="str">
        <f t="shared" si="16"/>
        <v>New Hampshire2023</v>
      </c>
      <c r="H1037">
        <f>+INDEX(Sheet1!C:C, MATCH(Hoja1!G1037, Sheet1!D:D, 0))</f>
        <v>114100.8</v>
      </c>
      <c r="I1037">
        <f>+INDEX(Sheet1!G:G, MATCH(Hoja1!G1037, Sheet1!I:I, 0))</f>
        <v>115136</v>
      </c>
      <c r="J1037" s="2">
        <f>+INDEX(Sheet1!H:H, MATCH(Hoja1!G1037, Sheet1!I:I, 0))</f>
        <v>2.2431400408489476E-2</v>
      </c>
      <c r="K1037" s="2">
        <f>+INDEX(Sheet1!L:L, MATCH(Hoja1!G1037,Sheet1!M:M, 0))</f>
        <v>6.1</v>
      </c>
    </row>
    <row r="1038" spans="1:11" ht="16" x14ac:dyDescent="0.25">
      <c r="A1038" t="s">
        <v>841</v>
      </c>
      <c r="B1038">
        <v>5</v>
      </c>
      <c r="C1038">
        <v>2023</v>
      </c>
      <c r="D1038" t="s">
        <v>120</v>
      </c>
      <c r="E1038">
        <v>1.7</v>
      </c>
      <c r="F1038">
        <v>1402054</v>
      </c>
      <c r="G1038" s="1" t="str">
        <f t="shared" si="16"/>
        <v>New Hampshire2023</v>
      </c>
      <c r="H1038">
        <f>+INDEX(Sheet1!C:C, MATCH(Hoja1!G1038, Sheet1!D:D, 0))</f>
        <v>114100.8</v>
      </c>
      <c r="I1038">
        <f>+INDEX(Sheet1!G:G, MATCH(Hoja1!G1038, Sheet1!I:I, 0))</f>
        <v>115136</v>
      </c>
      <c r="J1038" s="2">
        <f>+INDEX(Sheet1!H:H, MATCH(Hoja1!G1038, Sheet1!I:I, 0))</f>
        <v>2.2431400408489476E-2</v>
      </c>
      <c r="K1038" s="2">
        <f>+INDEX(Sheet1!L:L, MATCH(Hoja1!G1038,Sheet1!M:M, 0))</f>
        <v>6.1</v>
      </c>
    </row>
    <row r="1039" spans="1:11" ht="16" x14ac:dyDescent="0.25">
      <c r="A1039" t="s">
        <v>841</v>
      </c>
      <c r="B1039">
        <v>6</v>
      </c>
      <c r="C1039">
        <v>2023</v>
      </c>
      <c r="D1039" t="s">
        <v>296</v>
      </c>
      <c r="E1039">
        <v>2</v>
      </c>
      <c r="F1039">
        <v>1402054</v>
      </c>
      <c r="G1039" s="1" t="str">
        <f t="shared" si="16"/>
        <v>New Hampshire2023</v>
      </c>
      <c r="H1039">
        <f>+INDEX(Sheet1!C:C, MATCH(Hoja1!G1039, Sheet1!D:D, 0))</f>
        <v>114100.8</v>
      </c>
      <c r="I1039">
        <f>+INDEX(Sheet1!G:G, MATCH(Hoja1!G1039, Sheet1!I:I, 0))</f>
        <v>115136</v>
      </c>
      <c r="J1039" s="2">
        <f>+INDEX(Sheet1!H:H, MATCH(Hoja1!G1039, Sheet1!I:I, 0))</f>
        <v>2.2431400408489476E-2</v>
      </c>
      <c r="K1039" s="2">
        <f>+INDEX(Sheet1!L:L, MATCH(Hoja1!G1039,Sheet1!M:M, 0))</f>
        <v>6.1</v>
      </c>
    </row>
    <row r="1040" spans="1:11" ht="16" x14ac:dyDescent="0.25">
      <c r="A1040" t="s">
        <v>841</v>
      </c>
      <c r="B1040">
        <v>7</v>
      </c>
      <c r="C1040">
        <v>2023</v>
      </c>
      <c r="D1040" t="s">
        <v>854</v>
      </c>
      <c r="E1040">
        <v>2.1</v>
      </c>
      <c r="F1040">
        <v>1402054</v>
      </c>
      <c r="G1040" s="1" t="str">
        <f t="shared" si="16"/>
        <v>New Hampshire2023</v>
      </c>
      <c r="H1040">
        <f>+INDEX(Sheet1!C:C, MATCH(Hoja1!G1040, Sheet1!D:D, 0))</f>
        <v>114100.8</v>
      </c>
      <c r="I1040">
        <f>+INDEX(Sheet1!G:G, MATCH(Hoja1!G1040, Sheet1!I:I, 0))</f>
        <v>115136</v>
      </c>
      <c r="J1040" s="2">
        <f>+INDEX(Sheet1!H:H, MATCH(Hoja1!G1040, Sheet1!I:I, 0))</f>
        <v>2.2431400408489476E-2</v>
      </c>
      <c r="K1040" s="2">
        <f>+INDEX(Sheet1!L:L, MATCH(Hoja1!G1040,Sheet1!M:M, 0))</f>
        <v>6.1</v>
      </c>
    </row>
    <row r="1041" spans="1:11" ht="16" x14ac:dyDescent="0.25">
      <c r="A1041" t="s">
        <v>841</v>
      </c>
      <c r="B1041">
        <v>8</v>
      </c>
      <c r="C1041">
        <v>2023</v>
      </c>
      <c r="D1041" t="s">
        <v>855</v>
      </c>
      <c r="E1041">
        <v>2.4</v>
      </c>
      <c r="F1041">
        <v>1402054</v>
      </c>
      <c r="G1041" s="1" t="str">
        <f t="shared" si="16"/>
        <v>New Hampshire2023</v>
      </c>
      <c r="H1041">
        <f>+INDEX(Sheet1!C:C, MATCH(Hoja1!G1041, Sheet1!D:D, 0))</f>
        <v>114100.8</v>
      </c>
      <c r="I1041">
        <f>+INDEX(Sheet1!G:G, MATCH(Hoja1!G1041, Sheet1!I:I, 0))</f>
        <v>115136</v>
      </c>
      <c r="J1041" s="2">
        <f>+INDEX(Sheet1!H:H, MATCH(Hoja1!G1041, Sheet1!I:I, 0))</f>
        <v>2.2431400408489476E-2</v>
      </c>
      <c r="K1041" s="2">
        <f>+INDEX(Sheet1!L:L, MATCH(Hoja1!G1041,Sheet1!M:M, 0))</f>
        <v>6.1</v>
      </c>
    </row>
    <row r="1042" spans="1:11" ht="16" x14ac:dyDescent="0.25">
      <c r="A1042" t="s">
        <v>841</v>
      </c>
      <c r="B1042">
        <v>9</v>
      </c>
      <c r="C1042">
        <v>2023</v>
      </c>
      <c r="D1042" t="s">
        <v>856</v>
      </c>
      <c r="E1042">
        <v>2.4</v>
      </c>
      <c r="F1042">
        <v>1402054</v>
      </c>
      <c r="G1042" s="1" t="str">
        <f t="shared" si="16"/>
        <v>New Hampshire2023</v>
      </c>
      <c r="H1042">
        <f>+INDEX(Sheet1!C:C, MATCH(Hoja1!G1042, Sheet1!D:D, 0))</f>
        <v>114100.8</v>
      </c>
      <c r="I1042">
        <f>+INDEX(Sheet1!G:G, MATCH(Hoja1!G1042, Sheet1!I:I, 0))</f>
        <v>115136</v>
      </c>
      <c r="J1042" s="2">
        <f>+INDEX(Sheet1!H:H, MATCH(Hoja1!G1042, Sheet1!I:I, 0))</f>
        <v>2.2431400408489476E-2</v>
      </c>
      <c r="K1042" s="2">
        <f>+INDEX(Sheet1!L:L, MATCH(Hoja1!G1042,Sheet1!M:M, 0))</f>
        <v>6.1</v>
      </c>
    </row>
    <row r="1043" spans="1:11" ht="16" x14ac:dyDescent="0.25">
      <c r="A1043" t="s">
        <v>841</v>
      </c>
      <c r="B1043">
        <v>10</v>
      </c>
      <c r="C1043">
        <v>2023</v>
      </c>
      <c r="D1043" t="s">
        <v>857</v>
      </c>
      <c r="E1043">
        <v>2.2999999999999998</v>
      </c>
      <c r="F1043">
        <v>1402054</v>
      </c>
      <c r="G1043" s="1" t="str">
        <f t="shared" si="16"/>
        <v>New Hampshire2023</v>
      </c>
      <c r="H1043">
        <f>+INDEX(Sheet1!C:C, MATCH(Hoja1!G1043, Sheet1!D:D, 0))</f>
        <v>114100.8</v>
      </c>
      <c r="I1043">
        <f>+INDEX(Sheet1!G:G, MATCH(Hoja1!G1043, Sheet1!I:I, 0))</f>
        <v>115136</v>
      </c>
      <c r="J1043" s="2">
        <f>+INDEX(Sheet1!H:H, MATCH(Hoja1!G1043, Sheet1!I:I, 0))</f>
        <v>2.2431400408489476E-2</v>
      </c>
      <c r="K1043" s="2">
        <f>+INDEX(Sheet1!L:L, MATCH(Hoja1!G1043,Sheet1!M:M, 0))</f>
        <v>6.1</v>
      </c>
    </row>
    <row r="1044" spans="1:11" ht="16" x14ac:dyDescent="0.25">
      <c r="A1044" t="s">
        <v>841</v>
      </c>
      <c r="B1044">
        <v>11</v>
      </c>
      <c r="C1044">
        <v>2023</v>
      </c>
      <c r="D1044" t="s">
        <v>111</v>
      </c>
      <c r="E1044">
        <v>2.6</v>
      </c>
      <c r="F1044">
        <v>1402054</v>
      </c>
      <c r="G1044" s="1" t="str">
        <f t="shared" si="16"/>
        <v>New Hampshire2023</v>
      </c>
      <c r="H1044">
        <f>+INDEX(Sheet1!C:C, MATCH(Hoja1!G1044, Sheet1!D:D, 0))</f>
        <v>114100.8</v>
      </c>
      <c r="I1044">
        <f>+INDEX(Sheet1!G:G, MATCH(Hoja1!G1044, Sheet1!I:I, 0))</f>
        <v>115136</v>
      </c>
      <c r="J1044" s="2">
        <f>+INDEX(Sheet1!H:H, MATCH(Hoja1!G1044, Sheet1!I:I, 0))</f>
        <v>2.2431400408489476E-2</v>
      </c>
      <c r="K1044" s="2">
        <f>+INDEX(Sheet1!L:L, MATCH(Hoja1!G1044,Sheet1!M:M, 0))</f>
        <v>6.1</v>
      </c>
    </row>
    <row r="1045" spans="1:11" ht="16" x14ac:dyDescent="0.25">
      <c r="A1045" t="s">
        <v>841</v>
      </c>
      <c r="B1045">
        <v>12</v>
      </c>
      <c r="C1045">
        <v>2023</v>
      </c>
      <c r="D1045" t="s">
        <v>544</v>
      </c>
      <c r="E1045">
        <v>2.6</v>
      </c>
      <c r="F1045">
        <v>1402054</v>
      </c>
      <c r="G1045" s="1" t="str">
        <f t="shared" si="16"/>
        <v>New Hampshire2023</v>
      </c>
      <c r="H1045">
        <f>+INDEX(Sheet1!C:C, MATCH(Hoja1!G1045, Sheet1!D:D, 0))</f>
        <v>114100.8</v>
      </c>
      <c r="I1045">
        <f>+INDEX(Sheet1!G:G, MATCH(Hoja1!G1045, Sheet1!I:I, 0))</f>
        <v>115136</v>
      </c>
      <c r="J1045" s="2">
        <f>+INDEX(Sheet1!H:H, MATCH(Hoja1!G1045, Sheet1!I:I, 0))</f>
        <v>2.2431400408489476E-2</v>
      </c>
      <c r="K1045" s="2">
        <f>+INDEX(Sheet1!L:L, MATCH(Hoja1!G1045,Sheet1!M:M, 0))</f>
        <v>6.1</v>
      </c>
    </row>
    <row r="1046" spans="1:11" ht="16" x14ac:dyDescent="0.25">
      <c r="A1046" t="s">
        <v>858</v>
      </c>
      <c r="B1046">
        <v>1</v>
      </c>
      <c r="C1046">
        <v>2021</v>
      </c>
      <c r="D1046" t="s">
        <v>859</v>
      </c>
      <c r="E1046">
        <v>7.3</v>
      </c>
      <c r="F1046">
        <v>9269175</v>
      </c>
      <c r="G1046" s="1" t="str">
        <f t="shared" si="16"/>
        <v>New Jersey2021</v>
      </c>
      <c r="H1046">
        <f>+INDEX(Sheet1!C:C, MATCH(Hoja1!G1046, Sheet1!D:D, 0))</f>
        <v>695443.2</v>
      </c>
      <c r="I1046">
        <f>+INDEX(Sheet1!G:G, MATCH(Hoja1!G1046, Sheet1!I:I, 0))</f>
        <v>107181</v>
      </c>
      <c r="J1046" s="2">
        <f>+INDEX(Sheet1!H:H, MATCH(Hoja1!G1046, Sheet1!I:I, 0))</f>
        <v>5.9006610084083429E-2</v>
      </c>
      <c r="K1046" s="2">
        <f>+INDEX(Sheet1!L:L, MATCH(Hoja1!G1046,Sheet1!M:M, 0))</f>
        <v>7.6</v>
      </c>
    </row>
    <row r="1047" spans="1:11" ht="16" x14ac:dyDescent="0.25">
      <c r="A1047" t="s">
        <v>858</v>
      </c>
      <c r="B1047">
        <v>2</v>
      </c>
      <c r="C1047">
        <v>2021</v>
      </c>
      <c r="D1047" t="s">
        <v>860</v>
      </c>
      <c r="E1047">
        <v>7.3</v>
      </c>
      <c r="F1047">
        <v>9269175</v>
      </c>
      <c r="G1047" s="1" t="str">
        <f t="shared" si="16"/>
        <v>New Jersey2021</v>
      </c>
      <c r="H1047">
        <f>+INDEX(Sheet1!C:C, MATCH(Hoja1!G1047, Sheet1!D:D, 0))</f>
        <v>695443.2</v>
      </c>
      <c r="I1047">
        <f>+INDEX(Sheet1!G:G, MATCH(Hoja1!G1047, Sheet1!I:I, 0))</f>
        <v>107181</v>
      </c>
      <c r="J1047" s="2">
        <f>+INDEX(Sheet1!H:H, MATCH(Hoja1!G1047, Sheet1!I:I, 0))</f>
        <v>5.9006610084083429E-2</v>
      </c>
      <c r="K1047" s="2">
        <f>+INDEX(Sheet1!L:L, MATCH(Hoja1!G1047,Sheet1!M:M, 0))</f>
        <v>7.6</v>
      </c>
    </row>
    <row r="1048" spans="1:11" ht="16" x14ac:dyDescent="0.25">
      <c r="A1048" t="s">
        <v>858</v>
      </c>
      <c r="B1048">
        <v>3</v>
      </c>
      <c r="C1048">
        <v>2021</v>
      </c>
      <c r="D1048" t="s">
        <v>861</v>
      </c>
      <c r="E1048">
        <v>7.2</v>
      </c>
      <c r="F1048">
        <v>9269175</v>
      </c>
      <c r="G1048" s="1" t="str">
        <f t="shared" si="16"/>
        <v>New Jersey2021</v>
      </c>
      <c r="H1048">
        <f>+INDEX(Sheet1!C:C, MATCH(Hoja1!G1048, Sheet1!D:D, 0))</f>
        <v>695443.2</v>
      </c>
      <c r="I1048">
        <f>+INDEX(Sheet1!G:G, MATCH(Hoja1!G1048, Sheet1!I:I, 0))</f>
        <v>107181</v>
      </c>
      <c r="J1048" s="2">
        <f>+INDEX(Sheet1!H:H, MATCH(Hoja1!G1048, Sheet1!I:I, 0))</f>
        <v>5.9006610084083429E-2</v>
      </c>
      <c r="K1048" s="2">
        <f>+INDEX(Sheet1!L:L, MATCH(Hoja1!G1048,Sheet1!M:M, 0))</f>
        <v>7.6</v>
      </c>
    </row>
    <row r="1049" spans="1:11" ht="16" x14ac:dyDescent="0.25">
      <c r="A1049" t="s">
        <v>858</v>
      </c>
      <c r="B1049">
        <v>4</v>
      </c>
      <c r="C1049">
        <v>2021</v>
      </c>
      <c r="D1049" t="s">
        <v>862</v>
      </c>
      <c r="E1049">
        <v>7.2</v>
      </c>
      <c r="F1049">
        <v>9269175</v>
      </c>
      <c r="G1049" s="1" t="str">
        <f t="shared" si="16"/>
        <v>New Jersey2021</v>
      </c>
      <c r="H1049">
        <f>+INDEX(Sheet1!C:C, MATCH(Hoja1!G1049, Sheet1!D:D, 0))</f>
        <v>695443.2</v>
      </c>
      <c r="I1049">
        <f>+INDEX(Sheet1!G:G, MATCH(Hoja1!G1049, Sheet1!I:I, 0))</f>
        <v>107181</v>
      </c>
      <c r="J1049" s="2">
        <f>+INDEX(Sheet1!H:H, MATCH(Hoja1!G1049, Sheet1!I:I, 0))</f>
        <v>5.9006610084083429E-2</v>
      </c>
      <c r="K1049" s="2">
        <f>+INDEX(Sheet1!L:L, MATCH(Hoja1!G1049,Sheet1!M:M, 0))</f>
        <v>7.6</v>
      </c>
    </row>
    <row r="1050" spans="1:11" ht="16" x14ac:dyDescent="0.25">
      <c r="A1050" t="s">
        <v>858</v>
      </c>
      <c r="B1050">
        <v>5</v>
      </c>
      <c r="C1050">
        <v>2021</v>
      </c>
      <c r="D1050" t="s">
        <v>863</v>
      </c>
      <c r="E1050">
        <v>7</v>
      </c>
      <c r="F1050">
        <v>9269175</v>
      </c>
      <c r="G1050" s="1" t="str">
        <f t="shared" si="16"/>
        <v>New Jersey2021</v>
      </c>
      <c r="H1050">
        <f>+INDEX(Sheet1!C:C, MATCH(Hoja1!G1050, Sheet1!D:D, 0))</f>
        <v>695443.2</v>
      </c>
      <c r="I1050">
        <f>+INDEX(Sheet1!G:G, MATCH(Hoja1!G1050, Sheet1!I:I, 0))</f>
        <v>107181</v>
      </c>
      <c r="J1050" s="2">
        <f>+INDEX(Sheet1!H:H, MATCH(Hoja1!G1050, Sheet1!I:I, 0))</f>
        <v>5.9006610084083429E-2</v>
      </c>
      <c r="K1050" s="2">
        <f>+INDEX(Sheet1!L:L, MATCH(Hoja1!G1050,Sheet1!M:M, 0))</f>
        <v>7.6</v>
      </c>
    </row>
    <row r="1051" spans="1:11" ht="16" x14ac:dyDescent="0.25">
      <c r="A1051" t="s">
        <v>858</v>
      </c>
      <c r="B1051">
        <v>6</v>
      </c>
      <c r="C1051">
        <v>2021</v>
      </c>
      <c r="D1051" t="s">
        <v>864</v>
      </c>
      <c r="E1051">
        <v>7.2</v>
      </c>
      <c r="F1051">
        <v>9269175</v>
      </c>
      <c r="G1051" s="1" t="str">
        <f t="shared" si="16"/>
        <v>New Jersey2021</v>
      </c>
      <c r="H1051">
        <f>+INDEX(Sheet1!C:C, MATCH(Hoja1!G1051, Sheet1!D:D, 0))</f>
        <v>695443.2</v>
      </c>
      <c r="I1051">
        <f>+INDEX(Sheet1!G:G, MATCH(Hoja1!G1051, Sheet1!I:I, 0))</f>
        <v>107181</v>
      </c>
      <c r="J1051" s="2">
        <f>+INDEX(Sheet1!H:H, MATCH(Hoja1!G1051, Sheet1!I:I, 0))</f>
        <v>5.9006610084083429E-2</v>
      </c>
      <c r="K1051" s="2">
        <f>+INDEX(Sheet1!L:L, MATCH(Hoja1!G1051,Sheet1!M:M, 0))</f>
        <v>7.6</v>
      </c>
    </row>
    <row r="1052" spans="1:11" ht="16" x14ac:dyDescent="0.25">
      <c r="A1052" t="s">
        <v>858</v>
      </c>
      <c r="B1052">
        <v>7</v>
      </c>
      <c r="C1052">
        <v>2021</v>
      </c>
      <c r="D1052" t="s">
        <v>865</v>
      </c>
      <c r="E1052">
        <v>6.9</v>
      </c>
      <c r="F1052">
        <v>9269175</v>
      </c>
      <c r="G1052" s="1" t="str">
        <f t="shared" si="16"/>
        <v>New Jersey2021</v>
      </c>
      <c r="H1052">
        <f>+INDEX(Sheet1!C:C, MATCH(Hoja1!G1052, Sheet1!D:D, 0))</f>
        <v>695443.2</v>
      </c>
      <c r="I1052">
        <f>+INDEX(Sheet1!G:G, MATCH(Hoja1!G1052, Sheet1!I:I, 0))</f>
        <v>107181</v>
      </c>
      <c r="J1052" s="2">
        <f>+INDEX(Sheet1!H:H, MATCH(Hoja1!G1052, Sheet1!I:I, 0))</f>
        <v>5.9006610084083429E-2</v>
      </c>
      <c r="K1052" s="2">
        <f>+INDEX(Sheet1!L:L, MATCH(Hoja1!G1052,Sheet1!M:M, 0))</f>
        <v>7.6</v>
      </c>
    </row>
    <row r="1053" spans="1:11" ht="16" x14ac:dyDescent="0.25">
      <c r="A1053" t="s">
        <v>858</v>
      </c>
      <c r="B1053">
        <v>8</v>
      </c>
      <c r="C1053">
        <v>2021</v>
      </c>
      <c r="D1053" t="s">
        <v>866</v>
      </c>
      <c r="E1053">
        <v>6.8</v>
      </c>
      <c r="F1053">
        <v>9269175</v>
      </c>
      <c r="G1053" s="1" t="str">
        <f t="shared" si="16"/>
        <v>New Jersey2021</v>
      </c>
      <c r="H1053">
        <f>+INDEX(Sheet1!C:C, MATCH(Hoja1!G1053, Sheet1!D:D, 0))</f>
        <v>695443.2</v>
      </c>
      <c r="I1053">
        <f>+INDEX(Sheet1!G:G, MATCH(Hoja1!G1053, Sheet1!I:I, 0))</f>
        <v>107181</v>
      </c>
      <c r="J1053" s="2">
        <f>+INDEX(Sheet1!H:H, MATCH(Hoja1!G1053, Sheet1!I:I, 0))</f>
        <v>5.9006610084083429E-2</v>
      </c>
      <c r="K1053" s="2">
        <f>+INDEX(Sheet1!L:L, MATCH(Hoja1!G1053,Sheet1!M:M, 0))</f>
        <v>7.6</v>
      </c>
    </row>
    <row r="1054" spans="1:11" ht="16" x14ac:dyDescent="0.25">
      <c r="A1054" t="s">
        <v>858</v>
      </c>
      <c r="B1054">
        <v>9</v>
      </c>
      <c r="C1054">
        <v>2021</v>
      </c>
      <c r="D1054" t="s">
        <v>867</v>
      </c>
      <c r="E1054">
        <v>6.3</v>
      </c>
      <c r="F1054">
        <v>9269175</v>
      </c>
      <c r="G1054" s="1" t="str">
        <f t="shared" si="16"/>
        <v>New Jersey2021</v>
      </c>
      <c r="H1054">
        <f>+INDEX(Sheet1!C:C, MATCH(Hoja1!G1054, Sheet1!D:D, 0))</f>
        <v>695443.2</v>
      </c>
      <c r="I1054">
        <f>+INDEX(Sheet1!G:G, MATCH(Hoja1!G1054, Sheet1!I:I, 0))</f>
        <v>107181</v>
      </c>
      <c r="J1054" s="2">
        <f>+INDEX(Sheet1!H:H, MATCH(Hoja1!G1054, Sheet1!I:I, 0))</f>
        <v>5.9006610084083429E-2</v>
      </c>
      <c r="K1054" s="2">
        <f>+INDEX(Sheet1!L:L, MATCH(Hoja1!G1054,Sheet1!M:M, 0))</f>
        <v>7.6</v>
      </c>
    </row>
    <row r="1055" spans="1:11" ht="16" x14ac:dyDescent="0.25">
      <c r="A1055" t="s">
        <v>858</v>
      </c>
      <c r="B1055">
        <v>10</v>
      </c>
      <c r="C1055">
        <v>2021</v>
      </c>
      <c r="D1055" t="s">
        <v>868</v>
      </c>
      <c r="E1055">
        <v>6</v>
      </c>
      <c r="F1055">
        <v>9269175</v>
      </c>
      <c r="G1055" s="1" t="str">
        <f t="shared" si="16"/>
        <v>New Jersey2021</v>
      </c>
      <c r="H1055">
        <f>+INDEX(Sheet1!C:C, MATCH(Hoja1!G1055, Sheet1!D:D, 0))</f>
        <v>695443.2</v>
      </c>
      <c r="I1055">
        <f>+INDEX(Sheet1!G:G, MATCH(Hoja1!G1055, Sheet1!I:I, 0))</f>
        <v>107181</v>
      </c>
      <c r="J1055" s="2">
        <f>+INDEX(Sheet1!H:H, MATCH(Hoja1!G1055, Sheet1!I:I, 0))</f>
        <v>5.9006610084083429E-2</v>
      </c>
      <c r="K1055" s="2">
        <f>+INDEX(Sheet1!L:L, MATCH(Hoja1!G1055,Sheet1!M:M, 0))</f>
        <v>7.6</v>
      </c>
    </row>
    <row r="1056" spans="1:11" ht="16" x14ac:dyDescent="0.25">
      <c r="A1056" t="s">
        <v>858</v>
      </c>
      <c r="B1056">
        <v>11</v>
      </c>
      <c r="C1056">
        <v>2021</v>
      </c>
      <c r="D1056" t="s">
        <v>869</v>
      </c>
      <c r="E1056">
        <v>5.7</v>
      </c>
      <c r="F1056">
        <v>9269175</v>
      </c>
      <c r="G1056" s="1" t="str">
        <f t="shared" si="16"/>
        <v>New Jersey2021</v>
      </c>
      <c r="H1056">
        <f>+INDEX(Sheet1!C:C, MATCH(Hoja1!G1056, Sheet1!D:D, 0))</f>
        <v>695443.2</v>
      </c>
      <c r="I1056">
        <f>+INDEX(Sheet1!G:G, MATCH(Hoja1!G1056, Sheet1!I:I, 0))</f>
        <v>107181</v>
      </c>
      <c r="J1056" s="2">
        <f>+INDEX(Sheet1!H:H, MATCH(Hoja1!G1056, Sheet1!I:I, 0))</f>
        <v>5.9006610084083429E-2</v>
      </c>
      <c r="K1056" s="2">
        <f>+INDEX(Sheet1!L:L, MATCH(Hoja1!G1056,Sheet1!M:M, 0))</f>
        <v>7.6</v>
      </c>
    </row>
    <row r="1057" spans="1:11" ht="16" x14ac:dyDescent="0.25">
      <c r="A1057" t="s">
        <v>858</v>
      </c>
      <c r="B1057">
        <v>12</v>
      </c>
      <c r="C1057">
        <v>2021</v>
      </c>
      <c r="D1057" t="s">
        <v>870</v>
      </c>
      <c r="E1057">
        <v>5.6</v>
      </c>
      <c r="F1057">
        <v>9269175</v>
      </c>
      <c r="G1057" s="1" t="str">
        <f t="shared" si="16"/>
        <v>New Jersey2021</v>
      </c>
      <c r="H1057">
        <f>+INDEX(Sheet1!C:C, MATCH(Hoja1!G1057, Sheet1!D:D, 0))</f>
        <v>695443.2</v>
      </c>
      <c r="I1057">
        <f>+INDEX(Sheet1!G:G, MATCH(Hoja1!G1057, Sheet1!I:I, 0))</f>
        <v>107181</v>
      </c>
      <c r="J1057" s="2">
        <f>+INDEX(Sheet1!H:H, MATCH(Hoja1!G1057, Sheet1!I:I, 0))</f>
        <v>5.9006610084083429E-2</v>
      </c>
      <c r="K1057" s="2">
        <f>+INDEX(Sheet1!L:L, MATCH(Hoja1!G1057,Sheet1!M:M, 0))</f>
        <v>7.6</v>
      </c>
    </row>
    <row r="1058" spans="1:11" ht="16" x14ac:dyDescent="0.25">
      <c r="A1058" t="s">
        <v>858</v>
      </c>
      <c r="B1058">
        <v>1</v>
      </c>
      <c r="C1058">
        <v>2022</v>
      </c>
      <c r="D1058" t="s">
        <v>871</v>
      </c>
      <c r="E1058">
        <v>5.2</v>
      </c>
      <c r="F1058">
        <v>9260817</v>
      </c>
      <c r="G1058" s="1" t="str">
        <f t="shared" si="16"/>
        <v>New Jersey2022</v>
      </c>
      <c r="H1058">
        <f>+INDEX(Sheet1!C:C, MATCH(Hoja1!G1058, Sheet1!D:D, 0))</f>
        <v>758288.7</v>
      </c>
      <c r="I1058">
        <f>+INDEX(Sheet1!G:G, MATCH(Hoja1!G1058, Sheet1!I:I, 0))</f>
        <v>110193</v>
      </c>
      <c r="J1058" s="2">
        <f>+INDEX(Sheet1!H:H, MATCH(Hoja1!G1058, Sheet1!I:I, 0))</f>
        <v>2.8101995689534524E-2</v>
      </c>
      <c r="K1058" s="2">
        <f>+INDEX(Sheet1!L:L, MATCH(Hoja1!G1058,Sheet1!M:M, 0))</f>
        <v>8.6999999999999993</v>
      </c>
    </row>
    <row r="1059" spans="1:11" ht="16" x14ac:dyDescent="0.25">
      <c r="A1059" t="s">
        <v>858</v>
      </c>
      <c r="B1059">
        <v>2</v>
      </c>
      <c r="C1059">
        <v>2022</v>
      </c>
      <c r="D1059" t="s">
        <v>872</v>
      </c>
      <c r="E1059">
        <v>4.7</v>
      </c>
      <c r="F1059">
        <v>9260817</v>
      </c>
      <c r="G1059" s="1" t="str">
        <f t="shared" si="16"/>
        <v>New Jersey2022</v>
      </c>
      <c r="H1059">
        <f>+INDEX(Sheet1!C:C, MATCH(Hoja1!G1059, Sheet1!D:D, 0))</f>
        <v>758288.7</v>
      </c>
      <c r="I1059">
        <f>+INDEX(Sheet1!G:G, MATCH(Hoja1!G1059, Sheet1!I:I, 0))</f>
        <v>110193</v>
      </c>
      <c r="J1059" s="2">
        <f>+INDEX(Sheet1!H:H, MATCH(Hoja1!G1059, Sheet1!I:I, 0))</f>
        <v>2.8101995689534524E-2</v>
      </c>
      <c r="K1059" s="2">
        <f>+INDEX(Sheet1!L:L, MATCH(Hoja1!G1059,Sheet1!M:M, 0))</f>
        <v>8.6999999999999993</v>
      </c>
    </row>
    <row r="1060" spans="1:11" ht="16" x14ac:dyDescent="0.25">
      <c r="A1060" t="s">
        <v>858</v>
      </c>
      <c r="B1060">
        <v>3</v>
      </c>
      <c r="C1060">
        <v>2022</v>
      </c>
      <c r="D1060" t="s">
        <v>873</v>
      </c>
      <c r="E1060">
        <v>4.3</v>
      </c>
      <c r="F1060">
        <v>9260817</v>
      </c>
      <c r="G1060" s="1" t="str">
        <f t="shared" si="16"/>
        <v>New Jersey2022</v>
      </c>
      <c r="H1060">
        <f>+INDEX(Sheet1!C:C, MATCH(Hoja1!G1060, Sheet1!D:D, 0))</f>
        <v>758288.7</v>
      </c>
      <c r="I1060">
        <f>+INDEX(Sheet1!G:G, MATCH(Hoja1!G1060, Sheet1!I:I, 0))</f>
        <v>110193</v>
      </c>
      <c r="J1060" s="2">
        <f>+INDEX(Sheet1!H:H, MATCH(Hoja1!G1060, Sheet1!I:I, 0))</f>
        <v>2.8101995689534524E-2</v>
      </c>
      <c r="K1060" s="2">
        <f>+INDEX(Sheet1!L:L, MATCH(Hoja1!G1060,Sheet1!M:M, 0))</f>
        <v>8.6999999999999993</v>
      </c>
    </row>
    <row r="1061" spans="1:11" ht="16" x14ac:dyDescent="0.25">
      <c r="A1061" t="s">
        <v>858</v>
      </c>
      <c r="B1061">
        <v>4</v>
      </c>
      <c r="C1061">
        <v>2022</v>
      </c>
      <c r="D1061" t="s">
        <v>736</v>
      </c>
      <c r="E1061">
        <v>4.0999999999999996</v>
      </c>
      <c r="F1061">
        <v>9260817</v>
      </c>
      <c r="G1061" s="1" t="str">
        <f t="shared" si="16"/>
        <v>New Jersey2022</v>
      </c>
      <c r="H1061">
        <f>+INDEX(Sheet1!C:C, MATCH(Hoja1!G1061, Sheet1!D:D, 0))</f>
        <v>758288.7</v>
      </c>
      <c r="I1061">
        <f>+INDEX(Sheet1!G:G, MATCH(Hoja1!G1061, Sheet1!I:I, 0))</f>
        <v>110193</v>
      </c>
      <c r="J1061" s="2">
        <f>+INDEX(Sheet1!H:H, MATCH(Hoja1!G1061, Sheet1!I:I, 0))</f>
        <v>2.8101995689534524E-2</v>
      </c>
      <c r="K1061" s="2">
        <f>+INDEX(Sheet1!L:L, MATCH(Hoja1!G1061,Sheet1!M:M, 0))</f>
        <v>8.6999999999999993</v>
      </c>
    </row>
    <row r="1062" spans="1:11" ht="16" x14ac:dyDescent="0.25">
      <c r="A1062" t="s">
        <v>858</v>
      </c>
      <c r="B1062">
        <v>5</v>
      </c>
      <c r="C1062">
        <v>2022</v>
      </c>
      <c r="D1062" t="s">
        <v>419</v>
      </c>
      <c r="E1062">
        <v>3.8</v>
      </c>
      <c r="F1062">
        <v>9260817</v>
      </c>
      <c r="G1062" s="1" t="str">
        <f t="shared" si="16"/>
        <v>New Jersey2022</v>
      </c>
      <c r="H1062">
        <f>+INDEX(Sheet1!C:C, MATCH(Hoja1!G1062, Sheet1!D:D, 0))</f>
        <v>758288.7</v>
      </c>
      <c r="I1062">
        <f>+INDEX(Sheet1!G:G, MATCH(Hoja1!G1062, Sheet1!I:I, 0))</f>
        <v>110193</v>
      </c>
      <c r="J1062" s="2">
        <f>+INDEX(Sheet1!H:H, MATCH(Hoja1!G1062, Sheet1!I:I, 0))</f>
        <v>2.8101995689534524E-2</v>
      </c>
      <c r="K1062" s="2">
        <f>+INDEX(Sheet1!L:L, MATCH(Hoja1!G1062,Sheet1!M:M, 0))</f>
        <v>8.6999999999999993</v>
      </c>
    </row>
    <row r="1063" spans="1:11" ht="16" x14ac:dyDescent="0.25">
      <c r="A1063" t="s">
        <v>858</v>
      </c>
      <c r="B1063">
        <v>6</v>
      </c>
      <c r="C1063">
        <v>2022</v>
      </c>
      <c r="D1063" t="s">
        <v>343</v>
      </c>
      <c r="E1063">
        <v>3.6</v>
      </c>
      <c r="F1063">
        <v>9260817</v>
      </c>
      <c r="G1063" s="1" t="str">
        <f t="shared" si="16"/>
        <v>New Jersey2022</v>
      </c>
      <c r="H1063">
        <f>+INDEX(Sheet1!C:C, MATCH(Hoja1!G1063, Sheet1!D:D, 0))</f>
        <v>758288.7</v>
      </c>
      <c r="I1063">
        <f>+INDEX(Sheet1!G:G, MATCH(Hoja1!G1063, Sheet1!I:I, 0))</f>
        <v>110193</v>
      </c>
      <c r="J1063" s="2">
        <f>+INDEX(Sheet1!H:H, MATCH(Hoja1!G1063, Sheet1!I:I, 0))</f>
        <v>2.8101995689534524E-2</v>
      </c>
      <c r="K1063" s="2">
        <f>+INDEX(Sheet1!L:L, MATCH(Hoja1!G1063,Sheet1!M:M, 0))</f>
        <v>8.6999999999999993</v>
      </c>
    </row>
    <row r="1064" spans="1:11" ht="16" x14ac:dyDescent="0.25">
      <c r="A1064" t="s">
        <v>858</v>
      </c>
      <c r="B1064">
        <v>7</v>
      </c>
      <c r="C1064">
        <v>2022</v>
      </c>
      <c r="D1064" t="s">
        <v>874</v>
      </c>
      <c r="E1064">
        <v>3.3</v>
      </c>
      <c r="F1064">
        <v>9260817</v>
      </c>
      <c r="G1064" s="1" t="str">
        <f t="shared" si="16"/>
        <v>New Jersey2022</v>
      </c>
      <c r="H1064">
        <f>+INDEX(Sheet1!C:C, MATCH(Hoja1!G1064, Sheet1!D:D, 0))</f>
        <v>758288.7</v>
      </c>
      <c r="I1064">
        <f>+INDEX(Sheet1!G:G, MATCH(Hoja1!G1064, Sheet1!I:I, 0))</f>
        <v>110193</v>
      </c>
      <c r="J1064" s="2">
        <f>+INDEX(Sheet1!H:H, MATCH(Hoja1!G1064, Sheet1!I:I, 0))</f>
        <v>2.8101995689534524E-2</v>
      </c>
      <c r="K1064" s="2">
        <f>+INDEX(Sheet1!L:L, MATCH(Hoja1!G1064,Sheet1!M:M, 0))</f>
        <v>8.6999999999999993</v>
      </c>
    </row>
    <row r="1065" spans="1:11" ht="16" x14ac:dyDescent="0.25">
      <c r="A1065" t="s">
        <v>858</v>
      </c>
      <c r="B1065">
        <v>8</v>
      </c>
      <c r="C1065">
        <v>2022</v>
      </c>
      <c r="D1065" t="s">
        <v>875</v>
      </c>
      <c r="E1065">
        <v>3.1</v>
      </c>
      <c r="F1065">
        <v>9260817</v>
      </c>
      <c r="G1065" s="1" t="str">
        <f t="shared" si="16"/>
        <v>New Jersey2022</v>
      </c>
      <c r="H1065">
        <f>+INDEX(Sheet1!C:C, MATCH(Hoja1!G1065, Sheet1!D:D, 0))</f>
        <v>758288.7</v>
      </c>
      <c r="I1065">
        <f>+INDEX(Sheet1!G:G, MATCH(Hoja1!G1065, Sheet1!I:I, 0))</f>
        <v>110193</v>
      </c>
      <c r="J1065" s="2">
        <f>+INDEX(Sheet1!H:H, MATCH(Hoja1!G1065, Sheet1!I:I, 0))</f>
        <v>2.8101995689534524E-2</v>
      </c>
      <c r="K1065" s="2">
        <f>+INDEX(Sheet1!L:L, MATCH(Hoja1!G1065,Sheet1!M:M, 0))</f>
        <v>8.6999999999999993</v>
      </c>
    </row>
    <row r="1066" spans="1:11" ht="16" x14ac:dyDescent="0.25">
      <c r="A1066" t="s">
        <v>858</v>
      </c>
      <c r="B1066">
        <v>9</v>
      </c>
      <c r="C1066">
        <v>2022</v>
      </c>
      <c r="D1066" t="s">
        <v>876</v>
      </c>
      <c r="E1066">
        <v>3.3</v>
      </c>
      <c r="F1066">
        <v>9260817</v>
      </c>
      <c r="G1066" s="1" t="str">
        <f t="shared" si="16"/>
        <v>New Jersey2022</v>
      </c>
      <c r="H1066">
        <f>+INDEX(Sheet1!C:C, MATCH(Hoja1!G1066, Sheet1!D:D, 0))</f>
        <v>758288.7</v>
      </c>
      <c r="I1066">
        <f>+INDEX(Sheet1!G:G, MATCH(Hoja1!G1066, Sheet1!I:I, 0))</f>
        <v>110193</v>
      </c>
      <c r="J1066" s="2">
        <f>+INDEX(Sheet1!H:H, MATCH(Hoja1!G1066, Sheet1!I:I, 0))</f>
        <v>2.8101995689534524E-2</v>
      </c>
      <c r="K1066" s="2">
        <f>+INDEX(Sheet1!L:L, MATCH(Hoja1!G1066,Sheet1!M:M, 0))</f>
        <v>8.6999999999999993</v>
      </c>
    </row>
    <row r="1067" spans="1:11" ht="16" x14ac:dyDescent="0.25">
      <c r="A1067" t="s">
        <v>858</v>
      </c>
      <c r="B1067">
        <v>10</v>
      </c>
      <c r="C1067">
        <v>2022</v>
      </c>
      <c r="D1067" t="s">
        <v>877</v>
      </c>
      <c r="E1067">
        <v>3.5</v>
      </c>
      <c r="F1067">
        <v>9260817</v>
      </c>
      <c r="G1067" s="1" t="str">
        <f t="shared" si="16"/>
        <v>New Jersey2022</v>
      </c>
      <c r="H1067">
        <f>+INDEX(Sheet1!C:C, MATCH(Hoja1!G1067, Sheet1!D:D, 0))</f>
        <v>758288.7</v>
      </c>
      <c r="I1067">
        <f>+INDEX(Sheet1!G:G, MATCH(Hoja1!G1067, Sheet1!I:I, 0))</f>
        <v>110193</v>
      </c>
      <c r="J1067" s="2">
        <f>+INDEX(Sheet1!H:H, MATCH(Hoja1!G1067, Sheet1!I:I, 0))</f>
        <v>2.8101995689534524E-2</v>
      </c>
      <c r="K1067" s="2">
        <f>+INDEX(Sheet1!L:L, MATCH(Hoja1!G1067,Sheet1!M:M, 0))</f>
        <v>8.6999999999999993</v>
      </c>
    </row>
    <row r="1068" spans="1:11" ht="16" x14ac:dyDescent="0.25">
      <c r="A1068" t="s">
        <v>858</v>
      </c>
      <c r="B1068">
        <v>11</v>
      </c>
      <c r="C1068">
        <v>2022</v>
      </c>
      <c r="D1068" t="s">
        <v>878</v>
      </c>
      <c r="E1068">
        <v>3.7</v>
      </c>
      <c r="F1068">
        <v>9260817</v>
      </c>
      <c r="G1068" s="1" t="str">
        <f t="shared" si="16"/>
        <v>New Jersey2022</v>
      </c>
      <c r="H1068">
        <f>+INDEX(Sheet1!C:C, MATCH(Hoja1!G1068, Sheet1!D:D, 0))</f>
        <v>758288.7</v>
      </c>
      <c r="I1068">
        <f>+INDEX(Sheet1!G:G, MATCH(Hoja1!G1068, Sheet1!I:I, 0))</f>
        <v>110193</v>
      </c>
      <c r="J1068" s="2">
        <f>+INDEX(Sheet1!H:H, MATCH(Hoja1!G1068, Sheet1!I:I, 0))</f>
        <v>2.8101995689534524E-2</v>
      </c>
      <c r="K1068" s="2">
        <f>+INDEX(Sheet1!L:L, MATCH(Hoja1!G1068,Sheet1!M:M, 0))</f>
        <v>8.6999999999999993</v>
      </c>
    </row>
    <row r="1069" spans="1:11" ht="16" x14ac:dyDescent="0.25">
      <c r="A1069" t="s">
        <v>858</v>
      </c>
      <c r="B1069">
        <v>12</v>
      </c>
      <c r="C1069">
        <v>2022</v>
      </c>
      <c r="D1069" t="s">
        <v>879</v>
      </c>
      <c r="E1069">
        <v>3.8</v>
      </c>
      <c r="F1069">
        <v>9260817</v>
      </c>
      <c r="G1069" s="1" t="str">
        <f t="shared" si="16"/>
        <v>New Jersey2022</v>
      </c>
      <c r="H1069">
        <f>+INDEX(Sheet1!C:C, MATCH(Hoja1!G1069, Sheet1!D:D, 0))</f>
        <v>758288.7</v>
      </c>
      <c r="I1069">
        <f>+INDEX(Sheet1!G:G, MATCH(Hoja1!G1069, Sheet1!I:I, 0))</f>
        <v>110193</v>
      </c>
      <c r="J1069" s="2">
        <f>+INDEX(Sheet1!H:H, MATCH(Hoja1!G1069, Sheet1!I:I, 0))</f>
        <v>2.8101995689534524E-2</v>
      </c>
      <c r="K1069" s="2">
        <f>+INDEX(Sheet1!L:L, MATCH(Hoja1!G1069,Sheet1!M:M, 0))</f>
        <v>8.6999999999999993</v>
      </c>
    </row>
    <row r="1070" spans="1:11" ht="16" x14ac:dyDescent="0.25">
      <c r="A1070" t="s">
        <v>858</v>
      </c>
      <c r="B1070">
        <v>1</v>
      </c>
      <c r="C1070">
        <v>2023</v>
      </c>
      <c r="D1070" t="s">
        <v>880</v>
      </c>
      <c r="E1070">
        <v>3.9</v>
      </c>
      <c r="F1070">
        <v>9290841</v>
      </c>
      <c r="G1070" s="1" t="str">
        <f t="shared" si="16"/>
        <v>New Jersey2023</v>
      </c>
      <c r="H1070">
        <f>+INDEX(Sheet1!C:C, MATCH(Hoja1!G1070, Sheet1!D:D, 0))</f>
        <v>806665.2</v>
      </c>
      <c r="I1070">
        <f>+INDEX(Sheet1!G:G, MATCH(Hoja1!G1070, Sheet1!I:I, 0))</f>
        <v>112507</v>
      </c>
      <c r="J1070" s="2">
        <f>+INDEX(Sheet1!H:H, MATCH(Hoja1!G1070, Sheet1!I:I, 0))</f>
        <v>2.0999519025709436E-2</v>
      </c>
      <c r="K1070" s="2">
        <f>+INDEX(Sheet1!L:L, MATCH(Hoja1!G1070,Sheet1!M:M, 0))</f>
        <v>9</v>
      </c>
    </row>
    <row r="1071" spans="1:11" ht="16" x14ac:dyDescent="0.25">
      <c r="A1071" t="s">
        <v>858</v>
      </c>
      <c r="B1071">
        <v>2</v>
      </c>
      <c r="C1071">
        <v>2023</v>
      </c>
      <c r="D1071" t="s">
        <v>741</v>
      </c>
      <c r="E1071">
        <v>4</v>
      </c>
      <c r="F1071">
        <v>9290841</v>
      </c>
      <c r="G1071" s="1" t="str">
        <f t="shared" si="16"/>
        <v>New Jersey2023</v>
      </c>
      <c r="H1071">
        <f>+INDEX(Sheet1!C:C, MATCH(Hoja1!G1071, Sheet1!D:D, 0))</f>
        <v>806665.2</v>
      </c>
      <c r="I1071">
        <f>+INDEX(Sheet1!G:G, MATCH(Hoja1!G1071, Sheet1!I:I, 0))</f>
        <v>112507</v>
      </c>
      <c r="J1071" s="2">
        <f>+INDEX(Sheet1!H:H, MATCH(Hoja1!G1071, Sheet1!I:I, 0))</f>
        <v>2.0999519025709436E-2</v>
      </c>
      <c r="K1071" s="2">
        <f>+INDEX(Sheet1!L:L, MATCH(Hoja1!G1071,Sheet1!M:M, 0))</f>
        <v>9</v>
      </c>
    </row>
    <row r="1072" spans="1:11" ht="16" x14ac:dyDescent="0.25">
      <c r="A1072" t="s">
        <v>858</v>
      </c>
      <c r="B1072">
        <v>3</v>
      </c>
      <c r="C1072">
        <v>2023</v>
      </c>
      <c r="D1072" t="s">
        <v>881</v>
      </c>
      <c r="E1072">
        <v>4</v>
      </c>
      <c r="F1072">
        <v>9290841</v>
      </c>
      <c r="G1072" s="1" t="str">
        <f t="shared" si="16"/>
        <v>New Jersey2023</v>
      </c>
      <c r="H1072">
        <f>+INDEX(Sheet1!C:C, MATCH(Hoja1!G1072, Sheet1!D:D, 0))</f>
        <v>806665.2</v>
      </c>
      <c r="I1072">
        <f>+INDEX(Sheet1!G:G, MATCH(Hoja1!G1072, Sheet1!I:I, 0))</f>
        <v>112507</v>
      </c>
      <c r="J1072" s="2">
        <f>+INDEX(Sheet1!H:H, MATCH(Hoja1!G1072, Sheet1!I:I, 0))</f>
        <v>2.0999519025709436E-2</v>
      </c>
      <c r="K1072" s="2">
        <f>+INDEX(Sheet1!L:L, MATCH(Hoja1!G1072,Sheet1!M:M, 0))</f>
        <v>9</v>
      </c>
    </row>
    <row r="1073" spans="1:11" ht="16" x14ac:dyDescent="0.25">
      <c r="A1073" t="s">
        <v>858</v>
      </c>
      <c r="B1073">
        <v>4</v>
      </c>
      <c r="C1073">
        <v>2023</v>
      </c>
      <c r="D1073" t="s">
        <v>683</v>
      </c>
      <c r="E1073">
        <v>4.0999999999999996</v>
      </c>
      <c r="F1073">
        <v>9290841</v>
      </c>
      <c r="G1073" s="1" t="str">
        <f t="shared" si="16"/>
        <v>New Jersey2023</v>
      </c>
      <c r="H1073">
        <f>+INDEX(Sheet1!C:C, MATCH(Hoja1!G1073, Sheet1!D:D, 0))</f>
        <v>806665.2</v>
      </c>
      <c r="I1073">
        <f>+INDEX(Sheet1!G:G, MATCH(Hoja1!G1073, Sheet1!I:I, 0))</f>
        <v>112507</v>
      </c>
      <c r="J1073" s="2">
        <f>+INDEX(Sheet1!H:H, MATCH(Hoja1!G1073, Sheet1!I:I, 0))</f>
        <v>2.0999519025709436E-2</v>
      </c>
      <c r="K1073" s="2">
        <f>+INDEX(Sheet1!L:L, MATCH(Hoja1!G1073,Sheet1!M:M, 0))</f>
        <v>9</v>
      </c>
    </row>
    <row r="1074" spans="1:11" ht="16" x14ac:dyDescent="0.25">
      <c r="A1074" t="s">
        <v>858</v>
      </c>
      <c r="B1074">
        <v>5</v>
      </c>
      <c r="C1074">
        <v>2023</v>
      </c>
      <c r="D1074" t="s">
        <v>230</v>
      </c>
      <c r="E1074">
        <v>4.2</v>
      </c>
      <c r="F1074">
        <v>9290841</v>
      </c>
      <c r="G1074" s="1" t="str">
        <f t="shared" si="16"/>
        <v>New Jersey2023</v>
      </c>
      <c r="H1074">
        <f>+INDEX(Sheet1!C:C, MATCH(Hoja1!G1074, Sheet1!D:D, 0))</f>
        <v>806665.2</v>
      </c>
      <c r="I1074">
        <f>+INDEX(Sheet1!G:G, MATCH(Hoja1!G1074, Sheet1!I:I, 0))</f>
        <v>112507</v>
      </c>
      <c r="J1074" s="2">
        <f>+INDEX(Sheet1!H:H, MATCH(Hoja1!G1074, Sheet1!I:I, 0))</f>
        <v>2.0999519025709436E-2</v>
      </c>
      <c r="K1074" s="2">
        <f>+INDEX(Sheet1!L:L, MATCH(Hoja1!G1074,Sheet1!M:M, 0))</f>
        <v>9</v>
      </c>
    </row>
    <row r="1075" spans="1:11" ht="16" x14ac:dyDescent="0.25">
      <c r="A1075" t="s">
        <v>858</v>
      </c>
      <c r="B1075">
        <v>6</v>
      </c>
      <c r="C1075">
        <v>2023</v>
      </c>
      <c r="D1075" t="s">
        <v>882</v>
      </c>
      <c r="E1075">
        <v>4.4000000000000004</v>
      </c>
      <c r="F1075">
        <v>9290841</v>
      </c>
      <c r="G1075" s="1" t="str">
        <f t="shared" si="16"/>
        <v>New Jersey2023</v>
      </c>
      <c r="H1075">
        <f>+INDEX(Sheet1!C:C, MATCH(Hoja1!G1075, Sheet1!D:D, 0))</f>
        <v>806665.2</v>
      </c>
      <c r="I1075">
        <f>+INDEX(Sheet1!G:G, MATCH(Hoja1!G1075, Sheet1!I:I, 0))</f>
        <v>112507</v>
      </c>
      <c r="J1075" s="2">
        <f>+INDEX(Sheet1!H:H, MATCH(Hoja1!G1075, Sheet1!I:I, 0))</f>
        <v>2.0999519025709436E-2</v>
      </c>
      <c r="K1075" s="2">
        <f>+INDEX(Sheet1!L:L, MATCH(Hoja1!G1075,Sheet1!M:M, 0))</f>
        <v>9</v>
      </c>
    </row>
    <row r="1076" spans="1:11" ht="16" x14ac:dyDescent="0.25">
      <c r="A1076" t="s">
        <v>858</v>
      </c>
      <c r="B1076">
        <v>7</v>
      </c>
      <c r="C1076">
        <v>2023</v>
      </c>
      <c r="D1076" t="s">
        <v>883</v>
      </c>
      <c r="E1076">
        <v>4.5</v>
      </c>
      <c r="F1076">
        <v>9290841</v>
      </c>
      <c r="G1076" s="1" t="str">
        <f t="shared" si="16"/>
        <v>New Jersey2023</v>
      </c>
      <c r="H1076">
        <f>+INDEX(Sheet1!C:C, MATCH(Hoja1!G1076, Sheet1!D:D, 0))</f>
        <v>806665.2</v>
      </c>
      <c r="I1076">
        <f>+INDEX(Sheet1!G:G, MATCH(Hoja1!G1076, Sheet1!I:I, 0))</f>
        <v>112507</v>
      </c>
      <c r="J1076" s="2">
        <f>+INDEX(Sheet1!H:H, MATCH(Hoja1!G1076, Sheet1!I:I, 0))</f>
        <v>2.0999519025709436E-2</v>
      </c>
      <c r="K1076" s="2">
        <f>+INDEX(Sheet1!L:L, MATCH(Hoja1!G1076,Sheet1!M:M, 0))</f>
        <v>9</v>
      </c>
    </row>
    <row r="1077" spans="1:11" ht="16" x14ac:dyDescent="0.25">
      <c r="A1077" t="s">
        <v>858</v>
      </c>
      <c r="B1077">
        <v>8</v>
      </c>
      <c r="C1077">
        <v>2023</v>
      </c>
      <c r="D1077" t="s">
        <v>884</v>
      </c>
      <c r="E1077">
        <v>4.7</v>
      </c>
      <c r="F1077">
        <v>9290841</v>
      </c>
      <c r="G1077" s="1" t="str">
        <f t="shared" si="16"/>
        <v>New Jersey2023</v>
      </c>
      <c r="H1077">
        <f>+INDEX(Sheet1!C:C, MATCH(Hoja1!G1077, Sheet1!D:D, 0))</f>
        <v>806665.2</v>
      </c>
      <c r="I1077">
        <f>+INDEX(Sheet1!G:G, MATCH(Hoja1!G1077, Sheet1!I:I, 0))</f>
        <v>112507</v>
      </c>
      <c r="J1077" s="2">
        <f>+INDEX(Sheet1!H:H, MATCH(Hoja1!G1077, Sheet1!I:I, 0))</f>
        <v>2.0999519025709436E-2</v>
      </c>
      <c r="K1077" s="2">
        <f>+INDEX(Sheet1!L:L, MATCH(Hoja1!G1077,Sheet1!M:M, 0))</f>
        <v>9</v>
      </c>
    </row>
    <row r="1078" spans="1:11" ht="16" x14ac:dyDescent="0.25">
      <c r="A1078" t="s">
        <v>858</v>
      </c>
      <c r="B1078">
        <v>9</v>
      </c>
      <c r="C1078">
        <v>2023</v>
      </c>
      <c r="D1078" t="s">
        <v>885</v>
      </c>
      <c r="E1078">
        <v>4.8</v>
      </c>
      <c r="F1078">
        <v>9290841</v>
      </c>
      <c r="G1078" s="1" t="str">
        <f t="shared" si="16"/>
        <v>New Jersey2023</v>
      </c>
      <c r="H1078">
        <f>+INDEX(Sheet1!C:C, MATCH(Hoja1!G1078, Sheet1!D:D, 0))</f>
        <v>806665.2</v>
      </c>
      <c r="I1078">
        <f>+INDEX(Sheet1!G:G, MATCH(Hoja1!G1078, Sheet1!I:I, 0))</f>
        <v>112507</v>
      </c>
      <c r="J1078" s="2">
        <f>+INDEX(Sheet1!H:H, MATCH(Hoja1!G1078, Sheet1!I:I, 0))</f>
        <v>2.0999519025709436E-2</v>
      </c>
      <c r="K1078" s="2">
        <f>+INDEX(Sheet1!L:L, MATCH(Hoja1!G1078,Sheet1!M:M, 0))</f>
        <v>9</v>
      </c>
    </row>
    <row r="1079" spans="1:11" ht="16" x14ac:dyDescent="0.25">
      <c r="A1079" t="s">
        <v>858</v>
      </c>
      <c r="B1079">
        <v>10</v>
      </c>
      <c r="C1079">
        <v>2023</v>
      </c>
      <c r="D1079" t="s">
        <v>886</v>
      </c>
      <c r="E1079">
        <v>4.8</v>
      </c>
      <c r="F1079">
        <v>9290841</v>
      </c>
      <c r="G1079" s="1" t="str">
        <f t="shared" si="16"/>
        <v>New Jersey2023</v>
      </c>
      <c r="H1079">
        <f>+INDEX(Sheet1!C:C, MATCH(Hoja1!G1079, Sheet1!D:D, 0))</f>
        <v>806665.2</v>
      </c>
      <c r="I1079">
        <f>+INDEX(Sheet1!G:G, MATCH(Hoja1!G1079, Sheet1!I:I, 0))</f>
        <v>112507</v>
      </c>
      <c r="J1079" s="2">
        <f>+INDEX(Sheet1!H:H, MATCH(Hoja1!G1079, Sheet1!I:I, 0))</f>
        <v>2.0999519025709436E-2</v>
      </c>
      <c r="K1079" s="2">
        <f>+INDEX(Sheet1!L:L, MATCH(Hoja1!G1079,Sheet1!M:M, 0))</f>
        <v>9</v>
      </c>
    </row>
    <row r="1080" spans="1:11" ht="16" x14ac:dyDescent="0.25">
      <c r="A1080" t="s">
        <v>858</v>
      </c>
      <c r="B1080">
        <v>11</v>
      </c>
      <c r="C1080">
        <v>2023</v>
      </c>
      <c r="D1080" t="s">
        <v>887</v>
      </c>
      <c r="E1080">
        <v>4.8</v>
      </c>
      <c r="F1080">
        <v>9290841</v>
      </c>
      <c r="G1080" s="1" t="str">
        <f t="shared" si="16"/>
        <v>New Jersey2023</v>
      </c>
      <c r="H1080">
        <f>+INDEX(Sheet1!C:C, MATCH(Hoja1!G1080, Sheet1!D:D, 0))</f>
        <v>806665.2</v>
      </c>
      <c r="I1080">
        <f>+INDEX(Sheet1!G:G, MATCH(Hoja1!G1080, Sheet1!I:I, 0))</f>
        <v>112507</v>
      </c>
      <c r="J1080" s="2">
        <f>+INDEX(Sheet1!H:H, MATCH(Hoja1!G1080, Sheet1!I:I, 0))</f>
        <v>2.0999519025709436E-2</v>
      </c>
      <c r="K1080" s="2">
        <f>+INDEX(Sheet1!L:L, MATCH(Hoja1!G1080,Sheet1!M:M, 0))</f>
        <v>9</v>
      </c>
    </row>
    <row r="1081" spans="1:11" ht="16" x14ac:dyDescent="0.25">
      <c r="A1081" t="s">
        <v>858</v>
      </c>
      <c r="B1081">
        <v>12</v>
      </c>
      <c r="C1081">
        <v>2023</v>
      </c>
      <c r="D1081" t="s">
        <v>888</v>
      </c>
      <c r="E1081">
        <v>4.8</v>
      </c>
      <c r="F1081">
        <v>9290841</v>
      </c>
      <c r="G1081" s="1" t="str">
        <f t="shared" si="16"/>
        <v>New Jersey2023</v>
      </c>
      <c r="H1081">
        <f>+INDEX(Sheet1!C:C, MATCH(Hoja1!G1081, Sheet1!D:D, 0))</f>
        <v>806665.2</v>
      </c>
      <c r="I1081">
        <f>+INDEX(Sheet1!G:G, MATCH(Hoja1!G1081, Sheet1!I:I, 0))</f>
        <v>112507</v>
      </c>
      <c r="J1081" s="2">
        <f>+INDEX(Sheet1!H:H, MATCH(Hoja1!G1081, Sheet1!I:I, 0))</f>
        <v>2.0999519025709436E-2</v>
      </c>
      <c r="K1081" s="2">
        <f>+INDEX(Sheet1!L:L, MATCH(Hoja1!G1081,Sheet1!M:M, 0))</f>
        <v>9</v>
      </c>
    </row>
    <row r="1082" spans="1:11" ht="16" x14ac:dyDescent="0.25">
      <c r="A1082" t="s">
        <v>889</v>
      </c>
      <c r="B1082">
        <v>1</v>
      </c>
      <c r="C1082">
        <v>2021</v>
      </c>
      <c r="D1082" t="s">
        <v>890</v>
      </c>
      <c r="E1082">
        <v>8.5</v>
      </c>
      <c r="F1082">
        <v>2116950</v>
      </c>
      <c r="G1082" s="1" t="str">
        <f t="shared" si="16"/>
        <v>New Mexico2021</v>
      </c>
      <c r="H1082">
        <f>+INDEX(Sheet1!C:C, MATCH(Hoja1!G1082, Sheet1!D:D, 0))</f>
        <v>112978.5</v>
      </c>
      <c r="I1082">
        <f>+INDEX(Sheet1!G:G, MATCH(Hoja1!G1082, Sheet1!I:I, 0))</f>
        <v>108269</v>
      </c>
      <c r="J1082" s="2">
        <f>+INDEX(Sheet1!H:H, MATCH(Hoja1!G1082, Sheet1!I:I, 0))</f>
        <v>3.375217216949606E-2</v>
      </c>
      <c r="K1082" s="2">
        <f>+INDEX(Sheet1!L:L, MATCH(Hoja1!G1082,Sheet1!M:M, 0))</f>
        <v>18</v>
      </c>
    </row>
    <row r="1083" spans="1:11" ht="16" x14ac:dyDescent="0.25">
      <c r="A1083" t="s">
        <v>889</v>
      </c>
      <c r="B1083">
        <v>2</v>
      </c>
      <c r="C1083">
        <v>2021</v>
      </c>
      <c r="D1083" t="s">
        <v>891</v>
      </c>
      <c r="E1083">
        <v>8.1999999999999993</v>
      </c>
      <c r="F1083">
        <v>2116950</v>
      </c>
      <c r="G1083" s="1" t="str">
        <f t="shared" si="16"/>
        <v>New Mexico2021</v>
      </c>
      <c r="H1083">
        <f>+INDEX(Sheet1!C:C, MATCH(Hoja1!G1083, Sheet1!D:D, 0))</f>
        <v>112978.5</v>
      </c>
      <c r="I1083">
        <f>+INDEX(Sheet1!G:G, MATCH(Hoja1!G1083, Sheet1!I:I, 0))</f>
        <v>108269</v>
      </c>
      <c r="J1083" s="2">
        <f>+INDEX(Sheet1!H:H, MATCH(Hoja1!G1083, Sheet1!I:I, 0))</f>
        <v>3.375217216949606E-2</v>
      </c>
      <c r="K1083" s="2">
        <f>+INDEX(Sheet1!L:L, MATCH(Hoja1!G1083,Sheet1!M:M, 0))</f>
        <v>18</v>
      </c>
    </row>
    <row r="1084" spans="1:11" ht="16" x14ac:dyDescent="0.25">
      <c r="A1084" t="s">
        <v>889</v>
      </c>
      <c r="B1084">
        <v>3</v>
      </c>
      <c r="C1084">
        <v>2021</v>
      </c>
      <c r="D1084" t="s">
        <v>892</v>
      </c>
      <c r="E1084">
        <v>7.7</v>
      </c>
      <c r="F1084">
        <v>2116950</v>
      </c>
      <c r="G1084" s="1" t="str">
        <f t="shared" si="16"/>
        <v>New Mexico2021</v>
      </c>
      <c r="H1084">
        <f>+INDEX(Sheet1!C:C, MATCH(Hoja1!G1084, Sheet1!D:D, 0))</f>
        <v>112978.5</v>
      </c>
      <c r="I1084">
        <f>+INDEX(Sheet1!G:G, MATCH(Hoja1!G1084, Sheet1!I:I, 0))</f>
        <v>108269</v>
      </c>
      <c r="J1084" s="2">
        <f>+INDEX(Sheet1!H:H, MATCH(Hoja1!G1084, Sheet1!I:I, 0))</f>
        <v>3.375217216949606E-2</v>
      </c>
      <c r="K1084" s="2">
        <f>+INDEX(Sheet1!L:L, MATCH(Hoja1!G1084,Sheet1!M:M, 0))</f>
        <v>18</v>
      </c>
    </row>
    <row r="1085" spans="1:11" ht="16" x14ac:dyDescent="0.25">
      <c r="A1085" t="s">
        <v>889</v>
      </c>
      <c r="B1085">
        <v>4</v>
      </c>
      <c r="C1085">
        <v>2021</v>
      </c>
      <c r="D1085" t="s">
        <v>893</v>
      </c>
      <c r="E1085">
        <v>7.6</v>
      </c>
      <c r="F1085">
        <v>2116950</v>
      </c>
      <c r="G1085" s="1" t="str">
        <f t="shared" si="16"/>
        <v>New Mexico2021</v>
      </c>
      <c r="H1085">
        <f>+INDEX(Sheet1!C:C, MATCH(Hoja1!G1085, Sheet1!D:D, 0))</f>
        <v>112978.5</v>
      </c>
      <c r="I1085">
        <f>+INDEX(Sheet1!G:G, MATCH(Hoja1!G1085, Sheet1!I:I, 0))</f>
        <v>108269</v>
      </c>
      <c r="J1085" s="2">
        <f>+INDEX(Sheet1!H:H, MATCH(Hoja1!G1085, Sheet1!I:I, 0))</f>
        <v>3.375217216949606E-2</v>
      </c>
      <c r="K1085" s="2">
        <f>+INDEX(Sheet1!L:L, MATCH(Hoja1!G1085,Sheet1!M:M, 0))</f>
        <v>18</v>
      </c>
    </row>
    <row r="1086" spans="1:11" ht="16" x14ac:dyDescent="0.25">
      <c r="A1086" t="s">
        <v>889</v>
      </c>
      <c r="B1086">
        <v>5</v>
      </c>
      <c r="C1086">
        <v>2021</v>
      </c>
      <c r="D1086" t="s">
        <v>894</v>
      </c>
      <c r="E1086">
        <v>7.2</v>
      </c>
      <c r="F1086">
        <v>2116950</v>
      </c>
      <c r="G1086" s="1" t="str">
        <f t="shared" si="16"/>
        <v>New Mexico2021</v>
      </c>
      <c r="H1086">
        <f>+INDEX(Sheet1!C:C, MATCH(Hoja1!G1086, Sheet1!D:D, 0))</f>
        <v>112978.5</v>
      </c>
      <c r="I1086">
        <f>+INDEX(Sheet1!G:G, MATCH(Hoja1!G1086, Sheet1!I:I, 0))</f>
        <v>108269</v>
      </c>
      <c r="J1086" s="2">
        <f>+INDEX(Sheet1!H:H, MATCH(Hoja1!G1086, Sheet1!I:I, 0))</f>
        <v>3.375217216949606E-2</v>
      </c>
      <c r="K1086" s="2">
        <f>+INDEX(Sheet1!L:L, MATCH(Hoja1!G1086,Sheet1!M:M, 0))</f>
        <v>18</v>
      </c>
    </row>
    <row r="1087" spans="1:11" ht="16" x14ac:dyDescent="0.25">
      <c r="A1087" t="s">
        <v>889</v>
      </c>
      <c r="B1087">
        <v>6</v>
      </c>
      <c r="C1087">
        <v>2021</v>
      </c>
      <c r="D1087">
        <v>48</v>
      </c>
      <c r="E1087">
        <v>8.4</v>
      </c>
      <c r="F1087">
        <v>2116950</v>
      </c>
      <c r="G1087" s="1" t="str">
        <f t="shared" si="16"/>
        <v>New Mexico2021</v>
      </c>
      <c r="H1087">
        <f>+INDEX(Sheet1!C:C, MATCH(Hoja1!G1087, Sheet1!D:D, 0))</f>
        <v>112978.5</v>
      </c>
      <c r="I1087">
        <f>+INDEX(Sheet1!G:G, MATCH(Hoja1!G1087, Sheet1!I:I, 0))</f>
        <v>108269</v>
      </c>
      <c r="J1087" s="2">
        <f>+INDEX(Sheet1!H:H, MATCH(Hoja1!G1087, Sheet1!I:I, 0))</f>
        <v>3.375217216949606E-2</v>
      </c>
      <c r="K1087" s="2">
        <f>+INDEX(Sheet1!L:L, MATCH(Hoja1!G1087,Sheet1!M:M, 0))</f>
        <v>18</v>
      </c>
    </row>
    <row r="1088" spans="1:11" ht="16" x14ac:dyDescent="0.25">
      <c r="A1088" t="s">
        <v>889</v>
      </c>
      <c r="B1088">
        <v>7</v>
      </c>
      <c r="C1088">
        <v>2021</v>
      </c>
      <c r="D1088" t="s">
        <v>895</v>
      </c>
      <c r="E1088">
        <v>7.9</v>
      </c>
      <c r="F1088">
        <v>2116950</v>
      </c>
      <c r="G1088" s="1" t="str">
        <f t="shared" si="16"/>
        <v>New Mexico2021</v>
      </c>
      <c r="H1088">
        <f>+INDEX(Sheet1!C:C, MATCH(Hoja1!G1088, Sheet1!D:D, 0))</f>
        <v>112978.5</v>
      </c>
      <c r="I1088">
        <f>+INDEX(Sheet1!G:G, MATCH(Hoja1!G1088, Sheet1!I:I, 0))</f>
        <v>108269</v>
      </c>
      <c r="J1088" s="2">
        <f>+INDEX(Sheet1!H:H, MATCH(Hoja1!G1088, Sheet1!I:I, 0))</f>
        <v>3.375217216949606E-2</v>
      </c>
      <c r="K1088" s="2">
        <f>+INDEX(Sheet1!L:L, MATCH(Hoja1!G1088,Sheet1!M:M, 0))</f>
        <v>18</v>
      </c>
    </row>
    <row r="1089" spans="1:11" ht="16" x14ac:dyDescent="0.25">
      <c r="A1089" t="s">
        <v>889</v>
      </c>
      <c r="B1089">
        <v>8</v>
      </c>
      <c r="C1089">
        <v>2021</v>
      </c>
      <c r="D1089" t="s">
        <v>896</v>
      </c>
      <c r="E1089">
        <v>6.9</v>
      </c>
      <c r="F1089">
        <v>2116950</v>
      </c>
      <c r="G1089" s="1" t="str">
        <f t="shared" si="16"/>
        <v>New Mexico2021</v>
      </c>
      <c r="H1089">
        <f>+INDEX(Sheet1!C:C, MATCH(Hoja1!G1089, Sheet1!D:D, 0))</f>
        <v>112978.5</v>
      </c>
      <c r="I1089">
        <f>+INDEX(Sheet1!G:G, MATCH(Hoja1!G1089, Sheet1!I:I, 0))</f>
        <v>108269</v>
      </c>
      <c r="J1089" s="2">
        <f>+INDEX(Sheet1!H:H, MATCH(Hoja1!G1089, Sheet1!I:I, 0))</f>
        <v>3.375217216949606E-2</v>
      </c>
      <c r="K1089" s="2">
        <f>+INDEX(Sheet1!L:L, MATCH(Hoja1!G1089,Sheet1!M:M, 0))</f>
        <v>18</v>
      </c>
    </row>
    <row r="1090" spans="1:11" ht="16" x14ac:dyDescent="0.25">
      <c r="A1090" t="s">
        <v>889</v>
      </c>
      <c r="B1090">
        <v>9</v>
      </c>
      <c r="C1090">
        <v>2021</v>
      </c>
      <c r="D1090" t="s">
        <v>897</v>
      </c>
      <c r="E1090">
        <v>6</v>
      </c>
      <c r="F1090">
        <v>2116950</v>
      </c>
      <c r="G1090" s="1" t="str">
        <f t="shared" si="16"/>
        <v>New Mexico2021</v>
      </c>
      <c r="H1090">
        <f>+INDEX(Sheet1!C:C, MATCH(Hoja1!G1090, Sheet1!D:D, 0))</f>
        <v>112978.5</v>
      </c>
      <c r="I1090">
        <f>+INDEX(Sheet1!G:G, MATCH(Hoja1!G1090, Sheet1!I:I, 0))</f>
        <v>108269</v>
      </c>
      <c r="J1090" s="2">
        <f>+INDEX(Sheet1!H:H, MATCH(Hoja1!G1090, Sheet1!I:I, 0))</f>
        <v>3.375217216949606E-2</v>
      </c>
      <c r="K1090" s="2">
        <f>+INDEX(Sheet1!L:L, MATCH(Hoja1!G1090,Sheet1!M:M, 0))</f>
        <v>18</v>
      </c>
    </row>
    <row r="1091" spans="1:11" ht="16" x14ac:dyDescent="0.25">
      <c r="A1091" t="s">
        <v>889</v>
      </c>
      <c r="B1091">
        <v>10</v>
      </c>
      <c r="C1091">
        <v>2021</v>
      </c>
      <c r="D1091" t="s">
        <v>898</v>
      </c>
      <c r="E1091">
        <v>5.7</v>
      </c>
      <c r="F1091">
        <v>2116950</v>
      </c>
      <c r="G1091" s="1" t="str">
        <f t="shared" ref="G1091:G1154" si="17">+A1091&amp;C1091</f>
        <v>New Mexico2021</v>
      </c>
      <c r="H1091">
        <f>+INDEX(Sheet1!C:C, MATCH(Hoja1!G1091, Sheet1!D:D, 0))</f>
        <v>112978.5</v>
      </c>
      <c r="I1091">
        <f>+INDEX(Sheet1!G:G, MATCH(Hoja1!G1091, Sheet1!I:I, 0))</f>
        <v>108269</v>
      </c>
      <c r="J1091" s="2">
        <f>+INDEX(Sheet1!H:H, MATCH(Hoja1!G1091, Sheet1!I:I, 0))</f>
        <v>3.375217216949606E-2</v>
      </c>
      <c r="K1091" s="2">
        <f>+INDEX(Sheet1!L:L, MATCH(Hoja1!G1091,Sheet1!M:M, 0))</f>
        <v>18</v>
      </c>
    </row>
    <row r="1092" spans="1:11" ht="16" x14ac:dyDescent="0.25">
      <c r="A1092" t="s">
        <v>889</v>
      </c>
      <c r="B1092">
        <v>11</v>
      </c>
      <c r="C1092">
        <v>2021</v>
      </c>
      <c r="D1092" t="s">
        <v>899</v>
      </c>
      <c r="E1092">
        <v>5.5</v>
      </c>
      <c r="F1092">
        <v>2116950</v>
      </c>
      <c r="G1092" s="1" t="str">
        <f t="shared" si="17"/>
        <v>New Mexico2021</v>
      </c>
      <c r="H1092">
        <f>+INDEX(Sheet1!C:C, MATCH(Hoja1!G1092, Sheet1!D:D, 0))</f>
        <v>112978.5</v>
      </c>
      <c r="I1092">
        <f>+INDEX(Sheet1!G:G, MATCH(Hoja1!G1092, Sheet1!I:I, 0))</f>
        <v>108269</v>
      </c>
      <c r="J1092" s="2">
        <f>+INDEX(Sheet1!H:H, MATCH(Hoja1!G1092, Sheet1!I:I, 0))</f>
        <v>3.375217216949606E-2</v>
      </c>
      <c r="K1092" s="2">
        <f>+INDEX(Sheet1!L:L, MATCH(Hoja1!G1092,Sheet1!M:M, 0))</f>
        <v>18</v>
      </c>
    </row>
    <row r="1093" spans="1:11" ht="16" x14ac:dyDescent="0.25">
      <c r="A1093" t="s">
        <v>889</v>
      </c>
      <c r="B1093">
        <v>12</v>
      </c>
      <c r="C1093">
        <v>2021</v>
      </c>
      <c r="D1093" t="s">
        <v>900</v>
      </c>
      <c r="E1093">
        <v>5.0999999999999996</v>
      </c>
      <c r="F1093">
        <v>2116950</v>
      </c>
      <c r="G1093" s="1" t="str">
        <f t="shared" si="17"/>
        <v>New Mexico2021</v>
      </c>
      <c r="H1093">
        <f>+INDEX(Sheet1!C:C, MATCH(Hoja1!G1093, Sheet1!D:D, 0))</f>
        <v>112978.5</v>
      </c>
      <c r="I1093">
        <f>+INDEX(Sheet1!G:G, MATCH(Hoja1!G1093, Sheet1!I:I, 0))</f>
        <v>108269</v>
      </c>
      <c r="J1093" s="2">
        <f>+INDEX(Sheet1!H:H, MATCH(Hoja1!G1093, Sheet1!I:I, 0))</f>
        <v>3.375217216949606E-2</v>
      </c>
      <c r="K1093" s="2">
        <f>+INDEX(Sheet1!L:L, MATCH(Hoja1!G1093,Sheet1!M:M, 0))</f>
        <v>18</v>
      </c>
    </row>
    <row r="1094" spans="1:11" ht="16" x14ac:dyDescent="0.25">
      <c r="A1094" t="s">
        <v>889</v>
      </c>
      <c r="B1094">
        <v>1</v>
      </c>
      <c r="C1094">
        <v>2022</v>
      </c>
      <c r="D1094" t="s">
        <v>901</v>
      </c>
      <c r="E1094">
        <v>5.6</v>
      </c>
      <c r="F1094">
        <v>2113476</v>
      </c>
      <c r="G1094" s="1" t="str">
        <f t="shared" si="17"/>
        <v>New Mexico2022</v>
      </c>
      <c r="H1094">
        <f>+INDEX(Sheet1!C:C, MATCH(Hoja1!G1094, Sheet1!D:D, 0))</f>
        <v>128138.8</v>
      </c>
      <c r="I1094">
        <f>+INDEX(Sheet1!G:G, MATCH(Hoja1!G1094, Sheet1!I:I, 0))</f>
        <v>110827</v>
      </c>
      <c r="J1094" s="2">
        <f>+INDEX(Sheet1!H:H, MATCH(Hoja1!G1094, Sheet1!I:I, 0))</f>
        <v>2.3626338102319223E-2</v>
      </c>
      <c r="K1094" s="2">
        <f>+INDEX(Sheet1!L:L, MATCH(Hoja1!G1094,Sheet1!M:M, 0))</f>
        <v>20.2</v>
      </c>
    </row>
    <row r="1095" spans="1:11" ht="16" x14ac:dyDescent="0.25">
      <c r="A1095" t="s">
        <v>889</v>
      </c>
      <c r="B1095">
        <v>2</v>
      </c>
      <c r="C1095">
        <v>2022</v>
      </c>
      <c r="D1095" t="s">
        <v>902</v>
      </c>
      <c r="E1095">
        <v>5</v>
      </c>
      <c r="F1095">
        <v>2113476</v>
      </c>
      <c r="G1095" s="1" t="str">
        <f t="shared" si="17"/>
        <v>New Mexico2022</v>
      </c>
      <c r="H1095">
        <f>+INDEX(Sheet1!C:C, MATCH(Hoja1!G1095, Sheet1!D:D, 0))</f>
        <v>128138.8</v>
      </c>
      <c r="I1095">
        <f>+INDEX(Sheet1!G:G, MATCH(Hoja1!G1095, Sheet1!I:I, 0))</f>
        <v>110827</v>
      </c>
      <c r="J1095" s="2">
        <f>+INDEX(Sheet1!H:H, MATCH(Hoja1!G1095, Sheet1!I:I, 0))</f>
        <v>2.3626338102319223E-2</v>
      </c>
      <c r="K1095" s="2">
        <f>+INDEX(Sheet1!L:L, MATCH(Hoja1!G1095,Sheet1!M:M, 0))</f>
        <v>20.2</v>
      </c>
    </row>
    <row r="1096" spans="1:11" ht="16" x14ac:dyDescent="0.25">
      <c r="A1096" t="s">
        <v>889</v>
      </c>
      <c r="B1096">
        <v>3</v>
      </c>
      <c r="C1096">
        <v>2022</v>
      </c>
      <c r="D1096" t="s">
        <v>903</v>
      </c>
      <c r="E1096">
        <v>4.4000000000000004</v>
      </c>
      <c r="F1096">
        <v>2113476</v>
      </c>
      <c r="G1096" s="1" t="str">
        <f t="shared" si="17"/>
        <v>New Mexico2022</v>
      </c>
      <c r="H1096">
        <f>+INDEX(Sheet1!C:C, MATCH(Hoja1!G1096, Sheet1!D:D, 0))</f>
        <v>128138.8</v>
      </c>
      <c r="I1096">
        <f>+INDEX(Sheet1!G:G, MATCH(Hoja1!G1096, Sheet1!I:I, 0))</f>
        <v>110827</v>
      </c>
      <c r="J1096" s="2">
        <f>+INDEX(Sheet1!H:H, MATCH(Hoja1!G1096, Sheet1!I:I, 0))</f>
        <v>2.3626338102319223E-2</v>
      </c>
      <c r="K1096" s="2">
        <f>+INDEX(Sheet1!L:L, MATCH(Hoja1!G1096,Sheet1!M:M, 0))</f>
        <v>20.2</v>
      </c>
    </row>
    <row r="1097" spans="1:11" ht="16" x14ac:dyDescent="0.25">
      <c r="A1097" t="s">
        <v>889</v>
      </c>
      <c r="B1097">
        <v>4</v>
      </c>
      <c r="C1097">
        <v>2022</v>
      </c>
      <c r="D1097" t="s">
        <v>904</v>
      </c>
      <c r="E1097">
        <v>4.0999999999999996</v>
      </c>
      <c r="F1097">
        <v>2113476</v>
      </c>
      <c r="G1097" s="1" t="str">
        <f t="shared" si="17"/>
        <v>New Mexico2022</v>
      </c>
      <c r="H1097">
        <f>+INDEX(Sheet1!C:C, MATCH(Hoja1!G1097, Sheet1!D:D, 0))</f>
        <v>128138.8</v>
      </c>
      <c r="I1097">
        <f>+INDEX(Sheet1!G:G, MATCH(Hoja1!G1097, Sheet1!I:I, 0))</f>
        <v>110827</v>
      </c>
      <c r="J1097" s="2">
        <f>+INDEX(Sheet1!H:H, MATCH(Hoja1!G1097, Sheet1!I:I, 0))</f>
        <v>2.3626338102319223E-2</v>
      </c>
      <c r="K1097" s="2">
        <f>+INDEX(Sheet1!L:L, MATCH(Hoja1!G1097,Sheet1!M:M, 0))</f>
        <v>20.2</v>
      </c>
    </row>
    <row r="1098" spans="1:11" ht="16" x14ac:dyDescent="0.25">
      <c r="A1098" t="s">
        <v>889</v>
      </c>
      <c r="B1098">
        <v>5</v>
      </c>
      <c r="C1098">
        <v>2022</v>
      </c>
      <c r="D1098" t="s">
        <v>905</v>
      </c>
      <c r="E1098">
        <v>3.9</v>
      </c>
      <c r="F1098">
        <v>2113476</v>
      </c>
      <c r="G1098" s="1" t="str">
        <f t="shared" si="17"/>
        <v>New Mexico2022</v>
      </c>
      <c r="H1098">
        <f>+INDEX(Sheet1!C:C, MATCH(Hoja1!G1098, Sheet1!D:D, 0))</f>
        <v>128138.8</v>
      </c>
      <c r="I1098">
        <f>+INDEX(Sheet1!G:G, MATCH(Hoja1!G1098, Sheet1!I:I, 0))</f>
        <v>110827</v>
      </c>
      <c r="J1098" s="2">
        <f>+INDEX(Sheet1!H:H, MATCH(Hoja1!G1098, Sheet1!I:I, 0))</f>
        <v>2.3626338102319223E-2</v>
      </c>
      <c r="K1098" s="2">
        <f>+INDEX(Sheet1!L:L, MATCH(Hoja1!G1098,Sheet1!M:M, 0))</f>
        <v>20.2</v>
      </c>
    </row>
    <row r="1099" spans="1:11" ht="16" x14ac:dyDescent="0.25">
      <c r="A1099" t="s">
        <v>889</v>
      </c>
      <c r="B1099">
        <v>6</v>
      </c>
      <c r="C1099">
        <v>2022</v>
      </c>
      <c r="D1099" t="s">
        <v>906</v>
      </c>
      <c r="E1099">
        <v>4.7</v>
      </c>
      <c r="F1099">
        <v>2113476</v>
      </c>
      <c r="G1099" s="1" t="str">
        <f t="shared" si="17"/>
        <v>New Mexico2022</v>
      </c>
      <c r="H1099">
        <f>+INDEX(Sheet1!C:C, MATCH(Hoja1!G1099, Sheet1!D:D, 0))</f>
        <v>128138.8</v>
      </c>
      <c r="I1099">
        <f>+INDEX(Sheet1!G:G, MATCH(Hoja1!G1099, Sheet1!I:I, 0))</f>
        <v>110827</v>
      </c>
      <c r="J1099" s="2">
        <f>+INDEX(Sheet1!H:H, MATCH(Hoja1!G1099, Sheet1!I:I, 0))</f>
        <v>2.3626338102319223E-2</v>
      </c>
      <c r="K1099" s="2">
        <f>+INDEX(Sheet1!L:L, MATCH(Hoja1!G1099,Sheet1!M:M, 0))</f>
        <v>20.2</v>
      </c>
    </row>
    <row r="1100" spans="1:11" ht="16" x14ac:dyDescent="0.25">
      <c r="A1100" t="s">
        <v>889</v>
      </c>
      <c r="B1100">
        <v>7</v>
      </c>
      <c r="C1100">
        <v>2022</v>
      </c>
      <c r="D1100" t="s">
        <v>907</v>
      </c>
      <c r="E1100">
        <v>4.3</v>
      </c>
      <c r="F1100">
        <v>2113476</v>
      </c>
      <c r="G1100" s="1" t="str">
        <f t="shared" si="17"/>
        <v>New Mexico2022</v>
      </c>
      <c r="H1100">
        <f>+INDEX(Sheet1!C:C, MATCH(Hoja1!G1100, Sheet1!D:D, 0))</f>
        <v>128138.8</v>
      </c>
      <c r="I1100">
        <f>+INDEX(Sheet1!G:G, MATCH(Hoja1!G1100, Sheet1!I:I, 0))</f>
        <v>110827</v>
      </c>
      <c r="J1100" s="2">
        <f>+INDEX(Sheet1!H:H, MATCH(Hoja1!G1100, Sheet1!I:I, 0))</f>
        <v>2.3626338102319223E-2</v>
      </c>
      <c r="K1100" s="2">
        <f>+INDEX(Sheet1!L:L, MATCH(Hoja1!G1100,Sheet1!M:M, 0))</f>
        <v>20.2</v>
      </c>
    </row>
    <row r="1101" spans="1:11" ht="16" x14ac:dyDescent="0.25">
      <c r="A1101" t="s">
        <v>889</v>
      </c>
      <c r="B1101">
        <v>8</v>
      </c>
      <c r="C1101">
        <v>2022</v>
      </c>
      <c r="D1101" t="s">
        <v>908</v>
      </c>
      <c r="E1101">
        <v>3.7</v>
      </c>
      <c r="F1101">
        <v>2113476</v>
      </c>
      <c r="G1101" s="1" t="str">
        <f t="shared" si="17"/>
        <v>New Mexico2022</v>
      </c>
      <c r="H1101">
        <f>+INDEX(Sheet1!C:C, MATCH(Hoja1!G1101, Sheet1!D:D, 0))</f>
        <v>128138.8</v>
      </c>
      <c r="I1101">
        <f>+INDEX(Sheet1!G:G, MATCH(Hoja1!G1101, Sheet1!I:I, 0))</f>
        <v>110827</v>
      </c>
      <c r="J1101" s="2">
        <f>+INDEX(Sheet1!H:H, MATCH(Hoja1!G1101, Sheet1!I:I, 0))</f>
        <v>2.3626338102319223E-2</v>
      </c>
      <c r="K1101" s="2">
        <f>+INDEX(Sheet1!L:L, MATCH(Hoja1!G1101,Sheet1!M:M, 0))</f>
        <v>20.2</v>
      </c>
    </row>
    <row r="1102" spans="1:11" ht="16" x14ac:dyDescent="0.25">
      <c r="A1102" t="s">
        <v>889</v>
      </c>
      <c r="B1102">
        <v>9</v>
      </c>
      <c r="C1102">
        <v>2022</v>
      </c>
      <c r="D1102" t="s">
        <v>909</v>
      </c>
      <c r="E1102">
        <v>3.4</v>
      </c>
      <c r="F1102">
        <v>2113476</v>
      </c>
      <c r="G1102" s="1" t="str">
        <f t="shared" si="17"/>
        <v>New Mexico2022</v>
      </c>
      <c r="H1102">
        <f>+INDEX(Sheet1!C:C, MATCH(Hoja1!G1102, Sheet1!D:D, 0))</f>
        <v>128138.8</v>
      </c>
      <c r="I1102">
        <f>+INDEX(Sheet1!G:G, MATCH(Hoja1!G1102, Sheet1!I:I, 0))</f>
        <v>110827</v>
      </c>
      <c r="J1102" s="2">
        <f>+INDEX(Sheet1!H:H, MATCH(Hoja1!G1102, Sheet1!I:I, 0))</f>
        <v>2.3626338102319223E-2</v>
      </c>
      <c r="K1102" s="2">
        <f>+INDEX(Sheet1!L:L, MATCH(Hoja1!G1102,Sheet1!M:M, 0))</f>
        <v>20.2</v>
      </c>
    </row>
    <row r="1103" spans="1:11" ht="16" x14ac:dyDescent="0.25">
      <c r="A1103" t="s">
        <v>889</v>
      </c>
      <c r="B1103">
        <v>10</v>
      </c>
      <c r="C1103">
        <v>2022</v>
      </c>
      <c r="D1103" t="s">
        <v>910</v>
      </c>
      <c r="E1103">
        <v>3.3</v>
      </c>
      <c r="F1103">
        <v>2113476</v>
      </c>
      <c r="G1103" s="1" t="str">
        <f t="shared" si="17"/>
        <v>New Mexico2022</v>
      </c>
      <c r="H1103">
        <f>+INDEX(Sheet1!C:C, MATCH(Hoja1!G1103, Sheet1!D:D, 0))</f>
        <v>128138.8</v>
      </c>
      <c r="I1103">
        <f>+INDEX(Sheet1!G:G, MATCH(Hoja1!G1103, Sheet1!I:I, 0))</f>
        <v>110827</v>
      </c>
      <c r="J1103" s="2">
        <f>+INDEX(Sheet1!H:H, MATCH(Hoja1!G1103, Sheet1!I:I, 0))</f>
        <v>2.3626338102319223E-2</v>
      </c>
      <c r="K1103" s="2">
        <f>+INDEX(Sheet1!L:L, MATCH(Hoja1!G1103,Sheet1!M:M, 0))</f>
        <v>20.2</v>
      </c>
    </row>
    <row r="1104" spans="1:11" ht="16" x14ac:dyDescent="0.25">
      <c r="A1104" t="s">
        <v>889</v>
      </c>
      <c r="B1104">
        <v>11</v>
      </c>
      <c r="C1104">
        <v>2022</v>
      </c>
      <c r="D1104" t="s">
        <v>911</v>
      </c>
      <c r="E1104">
        <v>3.3</v>
      </c>
      <c r="F1104">
        <v>2113476</v>
      </c>
      <c r="G1104" s="1" t="str">
        <f t="shared" si="17"/>
        <v>New Mexico2022</v>
      </c>
      <c r="H1104">
        <f>+INDEX(Sheet1!C:C, MATCH(Hoja1!G1104, Sheet1!D:D, 0))</f>
        <v>128138.8</v>
      </c>
      <c r="I1104">
        <f>+INDEX(Sheet1!G:G, MATCH(Hoja1!G1104, Sheet1!I:I, 0))</f>
        <v>110827</v>
      </c>
      <c r="J1104" s="2">
        <f>+INDEX(Sheet1!H:H, MATCH(Hoja1!G1104, Sheet1!I:I, 0))</f>
        <v>2.3626338102319223E-2</v>
      </c>
      <c r="K1104" s="2">
        <f>+INDEX(Sheet1!L:L, MATCH(Hoja1!G1104,Sheet1!M:M, 0))</f>
        <v>20.2</v>
      </c>
    </row>
    <row r="1105" spans="1:11" ht="16" x14ac:dyDescent="0.25">
      <c r="A1105" t="s">
        <v>889</v>
      </c>
      <c r="B1105">
        <v>12</v>
      </c>
      <c r="C1105">
        <v>2022</v>
      </c>
      <c r="D1105" t="s">
        <v>912</v>
      </c>
      <c r="E1105">
        <v>3.1</v>
      </c>
      <c r="F1105">
        <v>2113476</v>
      </c>
      <c r="G1105" s="1" t="str">
        <f t="shared" si="17"/>
        <v>New Mexico2022</v>
      </c>
      <c r="H1105">
        <f>+INDEX(Sheet1!C:C, MATCH(Hoja1!G1105, Sheet1!D:D, 0))</f>
        <v>128138.8</v>
      </c>
      <c r="I1105">
        <f>+INDEX(Sheet1!G:G, MATCH(Hoja1!G1105, Sheet1!I:I, 0))</f>
        <v>110827</v>
      </c>
      <c r="J1105" s="2">
        <f>+INDEX(Sheet1!H:H, MATCH(Hoja1!G1105, Sheet1!I:I, 0))</f>
        <v>2.3626338102319223E-2</v>
      </c>
      <c r="K1105" s="2">
        <f>+INDEX(Sheet1!L:L, MATCH(Hoja1!G1105,Sheet1!M:M, 0))</f>
        <v>20.2</v>
      </c>
    </row>
    <row r="1106" spans="1:11" ht="16" x14ac:dyDescent="0.25">
      <c r="A1106" t="s">
        <v>889</v>
      </c>
      <c r="B1106">
        <v>1</v>
      </c>
      <c r="C1106">
        <v>2023</v>
      </c>
      <c r="D1106" t="s">
        <v>913</v>
      </c>
      <c r="E1106">
        <v>3.8</v>
      </c>
      <c r="F1106">
        <v>2114371</v>
      </c>
      <c r="G1106" s="1" t="str">
        <f t="shared" si="17"/>
        <v>New Mexico2023</v>
      </c>
      <c r="H1106">
        <f>+INDEX(Sheet1!C:C, MATCH(Hoja1!G1106, Sheet1!D:D, 0))</f>
        <v>135009.60000000001</v>
      </c>
      <c r="I1106">
        <f>+INDEX(Sheet1!G:G, MATCH(Hoja1!G1106, Sheet1!I:I, 0))</f>
        <v>118360</v>
      </c>
      <c r="J1106" s="2">
        <f>+INDEX(Sheet1!H:H, MATCH(Hoja1!G1106, Sheet1!I:I, 0))</f>
        <v>6.797080133902389E-2</v>
      </c>
      <c r="K1106" s="2">
        <f>+INDEX(Sheet1!L:L, MATCH(Hoja1!G1106,Sheet1!M:M, 0))</f>
        <v>17.3</v>
      </c>
    </row>
    <row r="1107" spans="1:11" ht="16" x14ac:dyDescent="0.25">
      <c r="A1107" t="s">
        <v>889</v>
      </c>
      <c r="B1107">
        <v>2</v>
      </c>
      <c r="C1107">
        <v>2023</v>
      </c>
      <c r="D1107" t="s">
        <v>914</v>
      </c>
      <c r="E1107">
        <v>3.8</v>
      </c>
      <c r="F1107">
        <v>2114371</v>
      </c>
      <c r="G1107" s="1" t="str">
        <f t="shared" si="17"/>
        <v>New Mexico2023</v>
      </c>
      <c r="H1107">
        <f>+INDEX(Sheet1!C:C, MATCH(Hoja1!G1107, Sheet1!D:D, 0))</f>
        <v>135009.60000000001</v>
      </c>
      <c r="I1107">
        <f>+INDEX(Sheet1!G:G, MATCH(Hoja1!G1107, Sheet1!I:I, 0))</f>
        <v>118360</v>
      </c>
      <c r="J1107" s="2">
        <f>+INDEX(Sheet1!H:H, MATCH(Hoja1!G1107, Sheet1!I:I, 0))</f>
        <v>6.797080133902389E-2</v>
      </c>
      <c r="K1107" s="2">
        <f>+INDEX(Sheet1!L:L, MATCH(Hoja1!G1107,Sheet1!M:M, 0))</f>
        <v>17.3</v>
      </c>
    </row>
    <row r="1108" spans="1:11" ht="16" x14ac:dyDescent="0.25">
      <c r="A1108" t="s">
        <v>889</v>
      </c>
      <c r="B1108">
        <v>3</v>
      </c>
      <c r="C1108">
        <v>2023</v>
      </c>
      <c r="D1108" t="s">
        <v>915</v>
      </c>
      <c r="E1108">
        <v>3.3</v>
      </c>
      <c r="F1108">
        <v>2114371</v>
      </c>
      <c r="G1108" s="1" t="str">
        <f t="shared" si="17"/>
        <v>New Mexico2023</v>
      </c>
      <c r="H1108">
        <f>+INDEX(Sheet1!C:C, MATCH(Hoja1!G1108, Sheet1!D:D, 0))</f>
        <v>135009.60000000001</v>
      </c>
      <c r="I1108">
        <f>+INDEX(Sheet1!G:G, MATCH(Hoja1!G1108, Sheet1!I:I, 0))</f>
        <v>118360</v>
      </c>
      <c r="J1108" s="2">
        <f>+INDEX(Sheet1!H:H, MATCH(Hoja1!G1108, Sheet1!I:I, 0))</f>
        <v>6.797080133902389E-2</v>
      </c>
      <c r="K1108" s="2">
        <f>+INDEX(Sheet1!L:L, MATCH(Hoja1!G1108,Sheet1!M:M, 0))</f>
        <v>17.3</v>
      </c>
    </row>
    <row r="1109" spans="1:11" ht="16" x14ac:dyDescent="0.25">
      <c r="A1109" t="s">
        <v>889</v>
      </c>
      <c r="B1109">
        <v>4</v>
      </c>
      <c r="C1109">
        <v>2023</v>
      </c>
      <c r="D1109" t="s">
        <v>916</v>
      </c>
      <c r="E1109">
        <v>3.2</v>
      </c>
      <c r="F1109">
        <v>2114371</v>
      </c>
      <c r="G1109" s="1" t="str">
        <f t="shared" si="17"/>
        <v>New Mexico2023</v>
      </c>
      <c r="H1109">
        <f>+INDEX(Sheet1!C:C, MATCH(Hoja1!G1109, Sheet1!D:D, 0))</f>
        <v>135009.60000000001</v>
      </c>
      <c r="I1109">
        <f>+INDEX(Sheet1!G:G, MATCH(Hoja1!G1109, Sheet1!I:I, 0))</f>
        <v>118360</v>
      </c>
      <c r="J1109" s="2">
        <f>+INDEX(Sheet1!H:H, MATCH(Hoja1!G1109, Sheet1!I:I, 0))</f>
        <v>6.797080133902389E-2</v>
      </c>
      <c r="K1109" s="2">
        <f>+INDEX(Sheet1!L:L, MATCH(Hoja1!G1109,Sheet1!M:M, 0))</f>
        <v>17.3</v>
      </c>
    </row>
    <row r="1110" spans="1:11" ht="16" x14ac:dyDescent="0.25">
      <c r="A1110" t="s">
        <v>889</v>
      </c>
      <c r="B1110">
        <v>5</v>
      </c>
      <c r="C1110">
        <v>2023</v>
      </c>
      <c r="D1110" t="s">
        <v>917</v>
      </c>
      <c r="E1110">
        <v>3.4</v>
      </c>
      <c r="F1110">
        <v>2114371</v>
      </c>
      <c r="G1110" s="1" t="str">
        <f t="shared" si="17"/>
        <v>New Mexico2023</v>
      </c>
      <c r="H1110">
        <f>+INDEX(Sheet1!C:C, MATCH(Hoja1!G1110, Sheet1!D:D, 0))</f>
        <v>135009.60000000001</v>
      </c>
      <c r="I1110">
        <f>+INDEX(Sheet1!G:G, MATCH(Hoja1!G1110, Sheet1!I:I, 0))</f>
        <v>118360</v>
      </c>
      <c r="J1110" s="2">
        <f>+INDEX(Sheet1!H:H, MATCH(Hoja1!G1110, Sheet1!I:I, 0))</f>
        <v>6.797080133902389E-2</v>
      </c>
      <c r="K1110" s="2">
        <f>+INDEX(Sheet1!L:L, MATCH(Hoja1!G1110,Sheet1!M:M, 0))</f>
        <v>17.3</v>
      </c>
    </row>
    <row r="1111" spans="1:11" ht="16" x14ac:dyDescent="0.25">
      <c r="A1111" t="s">
        <v>889</v>
      </c>
      <c r="B1111">
        <v>6</v>
      </c>
      <c r="C1111">
        <v>2023</v>
      </c>
      <c r="D1111" t="s">
        <v>913</v>
      </c>
      <c r="E1111">
        <v>4.3</v>
      </c>
      <c r="F1111">
        <v>2114371</v>
      </c>
      <c r="G1111" s="1" t="str">
        <f t="shared" si="17"/>
        <v>New Mexico2023</v>
      </c>
      <c r="H1111">
        <f>+INDEX(Sheet1!C:C, MATCH(Hoja1!G1111, Sheet1!D:D, 0))</f>
        <v>135009.60000000001</v>
      </c>
      <c r="I1111">
        <f>+INDEX(Sheet1!G:G, MATCH(Hoja1!G1111, Sheet1!I:I, 0))</f>
        <v>118360</v>
      </c>
      <c r="J1111" s="2">
        <f>+INDEX(Sheet1!H:H, MATCH(Hoja1!G1111, Sheet1!I:I, 0))</f>
        <v>6.797080133902389E-2</v>
      </c>
      <c r="K1111" s="2">
        <f>+INDEX(Sheet1!L:L, MATCH(Hoja1!G1111,Sheet1!M:M, 0))</f>
        <v>17.3</v>
      </c>
    </row>
    <row r="1112" spans="1:11" ht="16" x14ac:dyDescent="0.25">
      <c r="A1112" t="s">
        <v>889</v>
      </c>
      <c r="B1112">
        <v>7</v>
      </c>
      <c r="C1112">
        <v>2023</v>
      </c>
      <c r="D1112" t="s">
        <v>918</v>
      </c>
      <c r="E1112">
        <v>4.5</v>
      </c>
      <c r="F1112">
        <v>2114371</v>
      </c>
      <c r="G1112" s="1" t="str">
        <f t="shared" si="17"/>
        <v>New Mexico2023</v>
      </c>
      <c r="H1112">
        <f>+INDEX(Sheet1!C:C, MATCH(Hoja1!G1112, Sheet1!D:D, 0))</f>
        <v>135009.60000000001</v>
      </c>
      <c r="I1112">
        <f>+INDEX(Sheet1!G:G, MATCH(Hoja1!G1112, Sheet1!I:I, 0))</f>
        <v>118360</v>
      </c>
      <c r="J1112" s="2">
        <f>+INDEX(Sheet1!H:H, MATCH(Hoja1!G1112, Sheet1!I:I, 0))</f>
        <v>6.797080133902389E-2</v>
      </c>
      <c r="K1112" s="2">
        <f>+INDEX(Sheet1!L:L, MATCH(Hoja1!G1112,Sheet1!M:M, 0))</f>
        <v>17.3</v>
      </c>
    </row>
    <row r="1113" spans="1:11" ht="16" x14ac:dyDescent="0.25">
      <c r="A1113" t="s">
        <v>889</v>
      </c>
      <c r="B1113">
        <v>8</v>
      </c>
      <c r="C1113">
        <v>2023</v>
      </c>
      <c r="D1113" t="s">
        <v>919</v>
      </c>
      <c r="E1113">
        <v>4.0999999999999996</v>
      </c>
      <c r="F1113">
        <v>2114371</v>
      </c>
      <c r="G1113" s="1" t="str">
        <f t="shared" si="17"/>
        <v>New Mexico2023</v>
      </c>
      <c r="H1113">
        <f>+INDEX(Sheet1!C:C, MATCH(Hoja1!G1113, Sheet1!D:D, 0))</f>
        <v>135009.60000000001</v>
      </c>
      <c r="I1113">
        <f>+INDEX(Sheet1!G:G, MATCH(Hoja1!G1113, Sheet1!I:I, 0))</f>
        <v>118360</v>
      </c>
      <c r="J1113" s="2">
        <f>+INDEX(Sheet1!H:H, MATCH(Hoja1!G1113, Sheet1!I:I, 0))</f>
        <v>6.797080133902389E-2</v>
      </c>
      <c r="K1113" s="2">
        <f>+INDEX(Sheet1!L:L, MATCH(Hoja1!G1113,Sheet1!M:M, 0))</f>
        <v>17.3</v>
      </c>
    </row>
    <row r="1114" spans="1:11" ht="16" x14ac:dyDescent="0.25">
      <c r="A1114" t="s">
        <v>889</v>
      </c>
      <c r="B1114">
        <v>9</v>
      </c>
      <c r="C1114">
        <v>2023</v>
      </c>
      <c r="D1114" t="s">
        <v>920</v>
      </c>
      <c r="E1114">
        <v>3.7</v>
      </c>
      <c r="F1114">
        <v>2114371</v>
      </c>
      <c r="G1114" s="1" t="str">
        <f t="shared" si="17"/>
        <v>New Mexico2023</v>
      </c>
      <c r="H1114">
        <f>+INDEX(Sheet1!C:C, MATCH(Hoja1!G1114, Sheet1!D:D, 0))</f>
        <v>135009.60000000001</v>
      </c>
      <c r="I1114">
        <f>+INDEX(Sheet1!G:G, MATCH(Hoja1!G1114, Sheet1!I:I, 0))</f>
        <v>118360</v>
      </c>
      <c r="J1114" s="2">
        <f>+INDEX(Sheet1!H:H, MATCH(Hoja1!G1114, Sheet1!I:I, 0))</f>
        <v>6.797080133902389E-2</v>
      </c>
      <c r="K1114" s="2">
        <f>+INDEX(Sheet1!L:L, MATCH(Hoja1!G1114,Sheet1!M:M, 0))</f>
        <v>17.3</v>
      </c>
    </row>
    <row r="1115" spans="1:11" ht="16" x14ac:dyDescent="0.25">
      <c r="A1115" t="s">
        <v>889</v>
      </c>
      <c r="B1115">
        <v>10</v>
      </c>
      <c r="C1115">
        <v>2023</v>
      </c>
      <c r="D1115" t="s">
        <v>921</v>
      </c>
      <c r="E1115">
        <v>3.7</v>
      </c>
      <c r="F1115">
        <v>2114371</v>
      </c>
      <c r="G1115" s="1" t="str">
        <f t="shared" si="17"/>
        <v>New Mexico2023</v>
      </c>
      <c r="H1115">
        <f>+INDEX(Sheet1!C:C, MATCH(Hoja1!G1115, Sheet1!D:D, 0))</f>
        <v>135009.60000000001</v>
      </c>
      <c r="I1115">
        <f>+INDEX(Sheet1!G:G, MATCH(Hoja1!G1115, Sheet1!I:I, 0))</f>
        <v>118360</v>
      </c>
      <c r="J1115" s="2">
        <f>+INDEX(Sheet1!H:H, MATCH(Hoja1!G1115, Sheet1!I:I, 0))</f>
        <v>6.797080133902389E-2</v>
      </c>
      <c r="K1115" s="2">
        <f>+INDEX(Sheet1!L:L, MATCH(Hoja1!G1115,Sheet1!M:M, 0))</f>
        <v>17.3</v>
      </c>
    </row>
    <row r="1116" spans="1:11" ht="16" x14ac:dyDescent="0.25">
      <c r="A1116" t="s">
        <v>889</v>
      </c>
      <c r="B1116">
        <v>11</v>
      </c>
      <c r="C1116">
        <v>2023</v>
      </c>
      <c r="D1116" t="s">
        <v>922</v>
      </c>
      <c r="E1116">
        <v>3.7</v>
      </c>
      <c r="F1116">
        <v>2114371</v>
      </c>
      <c r="G1116" s="1" t="str">
        <f t="shared" si="17"/>
        <v>New Mexico2023</v>
      </c>
      <c r="H1116">
        <f>+INDEX(Sheet1!C:C, MATCH(Hoja1!G1116, Sheet1!D:D, 0))</f>
        <v>135009.60000000001</v>
      </c>
      <c r="I1116">
        <f>+INDEX(Sheet1!G:G, MATCH(Hoja1!G1116, Sheet1!I:I, 0))</f>
        <v>118360</v>
      </c>
      <c r="J1116" s="2">
        <f>+INDEX(Sheet1!H:H, MATCH(Hoja1!G1116, Sheet1!I:I, 0))</f>
        <v>6.797080133902389E-2</v>
      </c>
      <c r="K1116" s="2">
        <f>+INDEX(Sheet1!L:L, MATCH(Hoja1!G1116,Sheet1!M:M, 0))</f>
        <v>17.3</v>
      </c>
    </row>
    <row r="1117" spans="1:11" ht="16" x14ac:dyDescent="0.25">
      <c r="A1117" t="s">
        <v>889</v>
      </c>
      <c r="B1117">
        <v>12</v>
      </c>
      <c r="C1117">
        <v>2023</v>
      </c>
      <c r="D1117" t="s">
        <v>923</v>
      </c>
      <c r="E1117">
        <v>3.6</v>
      </c>
      <c r="F1117">
        <v>2114371</v>
      </c>
      <c r="G1117" s="1" t="str">
        <f t="shared" si="17"/>
        <v>New Mexico2023</v>
      </c>
      <c r="H1117">
        <f>+INDEX(Sheet1!C:C, MATCH(Hoja1!G1117, Sheet1!D:D, 0))</f>
        <v>135009.60000000001</v>
      </c>
      <c r="I1117">
        <f>+INDEX(Sheet1!G:G, MATCH(Hoja1!G1117, Sheet1!I:I, 0))</f>
        <v>118360</v>
      </c>
      <c r="J1117" s="2">
        <f>+INDEX(Sheet1!H:H, MATCH(Hoja1!G1117, Sheet1!I:I, 0))</f>
        <v>6.797080133902389E-2</v>
      </c>
      <c r="K1117" s="2">
        <f>+INDEX(Sheet1!L:L, MATCH(Hoja1!G1117,Sheet1!M:M, 0))</f>
        <v>17.3</v>
      </c>
    </row>
    <row r="1118" spans="1:11" ht="16" x14ac:dyDescent="0.25">
      <c r="A1118" t="s">
        <v>924</v>
      </c>
      <c r="B1118">
        <v>1</v>
      </c>
      <c r="C1118">
        <v>2021</v>
      </c>
      <c r="D1118" t="s">
        <v>925</v>
      </c>
      <c r="E1118">
        <v>8.6</v>
      </c>
      <c r="F1118">
        <v>19854526</v>
      </c>
      <c r="G1118" s="1" t="str">
        <f t="shared" si="17"/>
        <v>New York2021</v>
      </c>
      <c r="H1118">
        <f>+INDEX(Sheet1!C:C, MATCH(Hoja1!G1118, Sheet1!D:D, 0))</f>
        <v>1923413.3</v>
      </c>
      <c r="I1118">
        <f>+INDEX(Sheet1!G:G, MATCH(Hoja1!G1118, Sheet1!I:I, 0))</f>
        <v>106858</v>
      </c>
      <c r="J1118" s="2">
        <f>+INDEX(Sheet1!H:H, MATCH(Hoja1!G1118, Sheet1!I:I, 0))</f>
        <v>4.7956221559705005E-2</v>
      </c>
      <c r="K1118" s="2">
        <f>+INDEX(Sheet1!L:L, MATCH(Hoja1!G1118,Sheet1!M:M, 0))</f>
        <v>12.5</v>
      </c>
    </row>
    <row r="1119" spans="1:11" ht="16" x14ac:dyDescent="0.25">
      <c r="A1119" t="s">
        <v>924</v>
      </c>
      <c r="B1119">
        <v>2</v>
      </c>
      <c r="C1119">
        <v>2021</v>
      </c>
      <c r="D1119" t="s">
        <v>926</v>
      </c>
      <c r="E1119">
        <v>8.4</v>
      </c>
      <c r="F1119">
        <v>19854526</v>
      </c>
      <c r="G1119" s="1" t="str">
        <f t="shared" si="17"/>
        <v>New York2021</v>
      </c>
      <c r="H1119">
        <f>+INDEX(Sheet1!C:C, MATCH(Hoja1!G1119, Sheet1!D:D, 0))</f>
        <v>1923413.3</v>
      </c>
      <c r="I1119">
        <f>+INDEX(Sheet1!G:G, MATCH(Hoja1!G1119, Sheet1!I:I, 0))</f>
        <v>106858</v>
      </c>
      <c r="J1119" s="2">
        <f>+INDEX(Sheet1!H:H, MATCH(Hoja1!G1119, Sheet1!I:I, 0))</f>
        <v>4.7956221559705005E-2</v>
      </c>
      <c r="K1119" s="2">
        <f>+INDEX(Sheet1!L:L, MATCH(Hoja1!G1119,Sheet1!M:M, 0))</f>
        <v>12.5</v>
      </c>
    </row>
    <row r="1120" spans="1:11" ht="16" x14ac:dyDescent="0.25">
      <c r="A1120" t="s">
        <v>924</v>
      </c>
      <c r="B1120">
        <v>3</v>
      </c>
      <c r="C1120">
        <v>2021</v>
      </c>
      <c r="D1120" t="s">
        <v>927</v>
      </c>
      <c r="E1120">
        <v>8.1</v>
      </c>
      <c r="F1120">
        <v>19854526</v>
      </c>
      <c r="G1120" s="1" t="str">
        <f t="shared" si="17"/>
        <v>New York2021</v>
      </c>
      <c r="H1120">
        <f>+INDEX(Sheet1!C:C, MATCH(Hoja1!G1120, Sheet1!D:D, 0))</f>
        <v>1923413.3</v>
      </c>
      <c r="I1120">
        <f>+INDEX(Sheet1!G:G, MATCH(Hoja1!G1120, Sheet1!I:I, 0))</f>
        <v>106858</v>
      </c>
      <c r="J1120" s="2">
        <f>+INDEX(Sheet1!H:H, MATCH(Hoja1!G1120, Sheet1!I:I, 0))</f>
        <v>4.7956221559705005E-2</v>
      </c>
      <c r="K1120" s="2">
        <f>+INDEX(Sheet1!L:L, MATCH(Hoja1!G1120,Sheet1!M:M, 0))</f>
        <v>12.5</v>
      </c>
    </row>
    <row r="1121" spans="1:11" ht="16" x14ac:dyDescent="0.25">
      <c r="A1121" t="s">
        <v>924</v>
      </c>
      <c r="B1121">
        <v>4</v>
      </c>
      <c r="C1121">
        <v>2021</v>
      </c>
      <c r="D1121" t="s">
        <v>928</v>
      </c>
      <c r="E1121">
        <v>7.9</v>
      </c>
      <c r="F1121">
        <v>19854526</v>
      </c>
      <c r="G1121" s="1" t="str">
        <f t="shared" si="17"/>
        <v>New York2021</v>
      </c>
      <c r="H1121">
        <f>+INDEX(Sheet1!C:C, MATCH(Hoja1!G1121, Sheet1!D:D, 0))</f>
        <v>1923413.3</v>
      </c>
      <c r="I1121">
        <f>+INDEX(Sheet1!G:G, MATCH(Hoja1!G1121, Sheet1!I:I, 0))</f>
        <v>106858</v>
      </c>
      <c r="J1121" s="2">
        <f>+INDEX(Sheet1!H:H, MATCH(Hoja1!G1121, Sheet1!I:I, 0))</f>
        <v>4.7956221559705005E-2</v>
      </c>
      <c r="K1121" s="2">
        <f>+INDEX(Sheet1!L:L, MATCH(Hoja1!G1121,Sheet1!M:M, 0))</f>
        <v>12.5</v>
      </c>
    </row>
    <row r="1122" spans="1:11" ht="16" x14ac:dyDescent="0.25">
      <c r="A1122" t="s">
        <v>924</v>
      </c>
      <c r="B1122">
        <v>5</v>
      </c>
      <c r="C1122">
        <v>2021</v>
      </c>
      <c r="D1122" t="s">
        <v>925</v>
      </c>
      <c r="E1122">
        <v>7.5</v>
      </c>
      <c r="F1122">
        <v>19854526</v>
      </c>
      <c r="G1122" s="1" t="str">
        <f t="shared" si="17"/>
        <v>New York2021</v>
      </c>
      <c r="H1122">
        <f>+INDEX(Sheet1!C:C, MATCH(Hoja1!G1122, Sheet1!D:D, 0))</f>
        <v>1923413.3</v>
      </c>
      <c r="I1122">
        <f>+INDEX(Sheet1!G:G, MATCH(Hoja1!G1122, Sheet1!I:I, 0))</f>
        <v>106858</v>
      </c>
      <c r="J1122" s="2">
        <f>+INDEX(Sheet1!H:H, MATCH(Hoja1!G1122, Sheet1!I:I, 0))</f>
        <v>4.7956221559705005E-2</v>
      </c>
      <c r="K1122" s="2">
        <f>+INDEX(Sheet1!L:L, MATCH(Hoja1!G1122,Sheet1!M:M, 0))</f>
        <v>12.5</v>
      </c>
    </row>
    <row r="1123" spans="1:11" ht="16" x14ac:dyDescent="0.25">
      <c r="A1123" t="s">
        <v>924</v>
      </c>
      <c r="B1123">
        <v>6</v>
      </c>
      <c r="C1123">
        <v>2021</v>
      </c>
      <c r="D1123" t="s">
        <v>929</v>
      </c>
      <c r="E1123">
        <v>7.5</v>
      </c>
      <c r="F1123">
        <v>19854526</v>
      </c>
      <c r="G1123" s="1" t="str">
        <f t="shared" si="17"/>
        <v>New York2021</v>
      </c>
      <c r="H1123">
        <f>+INDEX(Sheet1!C:C, MATCH(Hoja1!G1123, Sheet1!D:D, 0))</f>
        <v>1923413.3</v>
      </c>
      <c r="I1123">
        <f>+INDEX(Sheet1!G:G, MATCH(Hoja1!G1123, Sheet1!I:I, 0))</f>
        <v>106858</v>
      </c>
      <c r="J1123" s="2">
        <f>+INDEX(Sheet1!H:H, MATCH(Hoja1!G1123, Sheet1!I:I, 0))</f>
        <v>4.7956221559705005E-2</v>
      </c>
      <c r="K1123" s="2">
        <f>+INDEX(Sheet1!L:L, MATCH(Hoja1!G1123,Sheet1!M:M, 0))</f>
        <v>12.5</v>
      </c>
    </row>
    <row r="1124" spans="1:11" ht="16" x14ac:dyDescent="0.25">
      <c r="A1124" t="s">
        <v>924</v>
      </c>
      <c r="B1124">
        <v>7</v>
      </c>
      <c r="C1124">
        <v>2021</v>
      </c>
      <c r="D1124" t="s">
        <v>930</v>
      </c>
      <c r="E1124">
        <v>7</v>
      </c>
      <c r="F1124">
        <v>19854526</v>
      </c>
      <c r="G1124" s="1" t="str">
        <f t="shared" si="17"/>
        <v>New York2021</v>
      </c>
      <c r="H1124">
        <f>+INDEX(Sheet1!C:C, MATCH(Hoja1!G1124, Sheet1!D:D, 0))</f>
        <v>1923413.3</v>
      </c>
      <c r="I1124">
        <f>+INDEX(Sheet1!G:G, MATCH(Hoja1!G1124, Sheet1!I:I, 0))</f>
        <v>106858</v>
      </c>
      <c r="J1124" s="2">
        <f>+INDEX(Sheet1!H:H, MATCH(Hoja1!G1124, Sheet1!I:I, 0))</f>
        <v>4.7956221559705005E-2</v>
      </c>
      <c r="K1124" s="2">
        <f>+INDEX(Sheet1!L:L, MATCH(Hoja1!G1124,Sheet1!M:M, 0))</f>
        <v>12.5</v>
      </c>
    </row>
    <row r="1125" spans="1:11" ht="16" x14ac:dyDescent="0.25">
      <c r="A1125" t="s">
        <v>924</v>
      </c>
      <c r="B1125">
        <v>8</v>
      </c>
      <c r="C1125">
        <v>2021</v>
      </c>
      <c r="D1125" t="s">
        <v>931</v>
      </c>
      <c r="E1125">
        <v>6.8</v>
      </c>
      <c r="F1125">
        <v>19854526</v>
      </c>
      <c r="G1125" s="1" t="str">
        <f t="shared" si="17"/>
        <v>New York2021</v>
      </c>
      <c r="H1125">
        <f>+INDEX(Sheet1!C:C, MATCH(Hoja1!G1125, Sheet1!D:D, 0))</f>
        <v>1923413.3</v>
      </c>
      <c r="I1125">
        <f>+INDEX(Sheet1!G:G, MATCH(Hoja1!G1125, Sheet1!I:I, 0))</f>
        <v>106858</v>
      </c>
      <c r="J1125" s="2">
        <f>+INDEX(Sheet1!H:H, MATCH(Hoja1!G1125, Sheet1!I:I, 0))</f>
        <v>4.7956221559705005E-2</v>
      </c>
      <c r="K1125" s="2">
        <f>+INDEX(Sheet1!L:L, MATCH(Hoja1!G1125,Sheet1!M:M, 0))</f>
        <v>12.5</v>
      </c>
    </row>
    <row r="1126" spans="1:11" ht="16" x14ac:dyDescent="0.25">
      <c r="A1126" t="s">
        <v>924</v>
      </c>
      <c r="B1126">
        <v>9</v>
      </c>
      <c r="C1126">
        <v>2021</v>
      </c>
      <c r="D1126" t="s">
        <v>931</v>
      </c>
      <c r="E1126">
        <v>6.3</v>
      </c>
      <c r="F1126">
        <v>19854526</v>
      </c>
      <c r="G1126" s="1" t="str">
        <f t="shared" si="17"/>
        <v>New York2021</v>
      </c>
      <c r="H1126">
        <f>+INDEX(Sheet1!C:C, MATCH(Hoja1!G1126, Sheet1!D:D, 0))</f>
        <v>1923413.3</v>
      </c>
      <c r="I1126">
        <f>+INDEX(Sheet1!G:G, MATCH(Hoja1!G1126, Sheet1!I:I, 0))</f>
        <v>106858</v>
      </c>
      <c r="J1126" s="2">
        <f>+INDEX(Sheet1!H:H, MATCH(Hoja1!G1126, Sheet1!I:I, 0))</f>
        <v>4.7956221559705005E-2</v>
      </c>
      <c r="K1126" s="2">
        <f>+INDEX(Sheet1!L:L, MATCH(Hoja1!G1126,Sheet1!M:M, 0))</f>
        <v>12.5</v>
      </c>
    </row>
    <row r="1127" spans="1:11" ht="16" x14ac:dyDescent="0.25">
      <c r="A1127" t="s">
        <v>924</v>
      </c>
      <c r="B1127">
        <v>10</v>
      </c>
      <c r="C1127">
        <v>2021</v>
      </c>
      <c r="D1127" t="s">
        <v>932</v>
      </c>
      <c r="E1127">
        <v>5.9</v>
      </c>
      <c r="F1127">
        <v>19854526</v>
      </c>
      <c r="G1127" s="1" t="str">
        <f t="shared" si="17"/>
        <v>New York2021</v>
      </c>
      <c r="H1127">
        <f>+INDEX(Sheet1!C:C, MATCH(Hoja1!G1127, Sheet1!D:D, 0))</f>
        <v>1923413.3</v>
      </c>
      <c r="I1127">
        <f>+INDEX(Sheet1!G:G, MATCH(Hoja1!G1127, Sheet1!I:I, 0))</f>
        <v>106858</v>
      </c>
      <c r="J1127" s="2">
        <f>+INDEX(Sheet1!H:H, MATCH(Hoja1!G1127, Sheet1!I:I, 0))</f>
        <v>4.7956221559705005E-2</v>
      </c>
      <c r="K1127" s="2">
        <f>+INDEX(Sheet1!L:L, MATCH(Hoja1!G1127,Sheet1!M:M, 0))</f>
        <v>12.5</v>
      </c>
    </row>
    <row r="1128" spans="1:11" ht="16" x14ac:dyDescent="0.25">
      <c r="A1128" t="s">
        <v>924</v>
      </c>
      <c r="B1128">
        <v>11</v>
      </c>
      <c r="C1128">
        <v>2021</v>
      </c>
      <c r="D1128" t="s">
        <v>933</v>
      </c>
      <c r="E1128">
        <v>5.6</v>
      </c>
      <c r="F1128">
        <v>19854526</v>
      </c>
      <c r="G1128" s="1" t="str">
        <f t="shared" si="17"/>
        <v>New York2021</v>
      </c>
      <c r="H1128">
        <f>+INDEX(Sheet1!C:C, MATCH(Hoja1!G1128, Sheet1!D:D, 0))</f>
        <v>1923413.3</v>
      </c>
      <c r="I1128">
        <f>+INDEX(Sheet1!G:G, MATCH(Hoja1!G1128, Sheet1!I:I, 0))</f>
        <v>106858</v>
      </c>
      <c r="J1128" s="2">
        <f>+INDEX(Sheet1!H:H, MATCH(Hoja1!G1128, Sheet1!I:I, 0))</f>
        <v>4.7956221559705005E-2</v>
      </c>
      <c r="K1128" s="2">
        <f>+INDEX(Sheet1!L:L, MATCH(Hoja1!G1128,Sheet1!M:M, 0))</f>
        <v>12.5</v>
      </c>
    </row>
    <row r="1129" spans="1:11" ht="16" x14ac:dyDescent="0.25">
      <c r="A1129" t="s">
        <v>924</v>
      </c>
      <c r="B1129">
        <v>12</v>
      </c>
      <c r="C1129">
        <v>2021</v>
      </c>
      <c r="D1129" t="s">
        <v>934</v>
      </c>
      <c r="E1129">
        <v>5.5</v>
      </c>
      <c r="F1129">
        <v>19854526</v>
      </c>
      <c r="G1129" s="1" t="str">
        <f t="shared" si="17"/>
        <v>New York2021</v>
      </c>
      <c r="H1129">
        <f>+INDEX(Sheet1!C:C, MATCH(Hoja1!G1129, Sheet1!D:D, 0))</f>
        <v>1923413.3</v>
      </c>
      <c r="I1129">
        <f>+INDEX(Sheet1!G:G, MATCH(Hoja1!G1129, Sheet1!I:I, 0))</f>
        <v>106858</v>
      </c>
      <c r="J1129" s="2">
        <f>+INDEX(Sheet1!H:H, MATCH(Hoja1!G1129, Sheet1!I:I, 0))</f>
        <v>4.7956221559705005E-2</v>
      </c>
      <c r="K1129" s="2">
        <f>+INDEX(Sheet1!L:L, MATCH(Hoja1!G1129,Sheet1!M:M, 0))</f>
        <v>12.5</v>
      </c>
    </row>
    <row r="1130" spans="1:11" ht="16" x14ac:dyDescent="0.25">
      <c r="A1130" t="s">
        <v>924</v>
      </c>
      <c r="B1130">
        <v>1</v>
      </c>
      <c r="C1130">
        <v>2022</v>
      </c>
      <c r="D1130" t="s">
        <v>935</v>
      </c>
      <c r="E1130">
        <v>5.2</v>
      </c>
      <c r="F1130">
        <v>19673200</v>
      </c>
      <c r="G1130" s="1" t="str">
        <f t="shared" si="17"/>
        <v>New York2022</v>
      </c>
      <c r="H1130">
        <f>+INDEX(Sheet1!C:C, MATCH(Hoja1!G1130, Sheet1!D:D, 0))</f>
        <v>2052758.8</v>
      </c>
      <c r="I1130">
        <f>+INDEX(Sheet1!G:G, MATCH(Hoja1!G1130, Sheet1!I:I, 0))</f>
        <v>108635</v>
      </c>
      <c r="J1130" s="2">
        <f>+INDEX(Sheet1!H:H, MATCH(Hoja1!G1130, Sheet1!I:I, 0))</f>
        <v>1.6629545752306799E-2</v>
      </c>
      <c r="K1130" s="2">
        <f>+INDEX(Sheet1!L:L, MATCH(Hoja1!G1130,Sheet1!M:M, 0))</f>
        <v>12.7</v>
      </c>
    </row>
    <row r="1131" spans="1:11" ht="16" x14ac:dyDescent="0.25">
      <c r="A1131" t="s">
        <v>924</v>
      </c>
      <c r="B1131">
        <v>2</v>
      </c>
      <c r="C1131">
        <v>2022</v>
      </c>
      <c r="D1131" t="s">
        <v>936</v>
      </c>
      <c r="E1131">
        <v>4.8</v>
      </c>
      <c r="F1131">
        <v>19673200</v>
      </c>
      <c r="G1131" s="1" t="str">
        <f t="shared" si="17"/>
        <v>New York2022</v>
      </c>
      <c r="H1131">
        <f>+INDEX(Sheet1!C:C, MATCH(Hoja1!G1131, Sheet1!D:D, 0))</f>
        <v>2052758.8</v>
      </c>
      <c r="I1131">
        <f>+INDEX(Sheet1!G:G, MATCH(Hoja1!G1131, Sheet1!I:I, 0))</f>
        <v>108635</v>
      </c>
      <c r="J1131" s="2">
        <f>+INDEX(Sheet1!H:H, MATCH(Hoja1!G1131, Sheet1!I:I, 0))</f>
        <v>1.6629545752306799E-2</v>
      </c>
      <c r="K1131" s="2">
        <f>+INDEX(Sheet1!L:L, MATCH(Hoja1!G1131,Sheet1!M:M, 0))</f>
        <v>12.7</v>
      </c>
    </row>
    <row r="1132" spans="1:11" ht="16" x14ac:dyDescent="0.25">
      <c r="A1132" t="s">
        <v>924</v>
      </c>
      <c r="B1132">
        <v>3</v>
      </c>
      <c r="C1132">
        <v>2022</v>
      </c>
      <c r="D1132" t="s">
        <v>937</v>
      </c>
      <c r="E1132">
        <v>4.5999999999999996</v>
      </c>
      <c r="F1132">
        <v>19673200</v>
      </c>
      <c r="G1132" s="1" t="str">
        <f t="shared" si="17"/>
        <v>New York2022</v>
      </c>
      <c r="H1132">
        <f>+INDEX(Sheet1!C:C, MATCH(Hoja1!G1132, Sheet1!D:D, 0))</f>
        <v>2052758.8</v>
      </c>
      <c r="I1132">
        <f>+INDEX(Sheet1!G:G, MATCH(Hoja1!G1132, Sheet1!I:I, 0))</f>
        <v>108635</v>
      </c>
      <c r="J1132" s="2">
        <f>+INDEX(Sheet1!H:H, MATCH(Hoja1!G1132, Sheet1!I:I, 0))</f>
        <v>1.6629545752306799E-2</v>
      </c>
      <c r="K1132" s="2">
        <f>+INDEX(Sheet1!L:L, MATCH(Hoja1!G1132,Sheet1!M:M, 0))</f>
        <v>12.7</v>
      </c>
    </row>
    <row r="1133" spans="1:11" ht="16" x14ac:dyDescent="0.25">
      <c r="A1133" t="s">
        <v>924</v>
      </c>
      <c r="B1133">
        <v>4</v>
      </c>
      <c r="C1133">
        <v>2022</v>
      </c>
      <c r="D1133" t="s">
        <v>938</v>
      </c>
      <c r="E1133">
        <v>4.4000000000000004</v>
      </c>
      <c r="F1133">
        <v>19673200</v>
      </c>
      <c r="G1133" s="1" t="str">
        <f t="shared" si="17"/>
        <v>New York2022</v>
      </c>
      <c r="H1133">
        <f>+INDEX(Sheet1!C:C, MATCH(Hoja1!G1133, Sheet1!D:D, 0))</f>
        <v>2052758.8</v>
      </c>
      <c r="I1133">
        <f>+INDEX(Sheet1!G:G, MATCH(Hoja1!G1133, Sheet1!I:I, 0))</f>
        <v>108635</v>
      </c>
      <c r="J1133" s="2">
        <f>+INDEX(Sheet1!H:H, MATCH(Hoja1!G1133, Sheet1!I:I, 0))</f>
        <v>1.6629545752306799E-2</v>
      </c>
      <c r="K1133" s="2">
        <f>+INDEX(Sheet1!L:L, MATCH(Hoja1!G1133,Sheet1!M:M, 0))</f>
        <v>12.7</v>
      </c>
    </row>
    <row r="1134" spans="1:11" ht="16" x14ac:dyDescent="0.25">
      <c r="A1134" t="s">
        <v>924</v>
      </c>
      <c r="B1134">
        <v>5</v>
      </c>
      <c r="C1134">
        <v>2022</v>
      </c>
      <c r="D1134" t="s">
        <v>939</v>
      </c>
      <c r="E1134">
        <v>4.3</v>
      </c>
      <c r="F1134">
        <v>19673200</v>
      </c>
      <c r="G1134" s="1" t="str">
        <f t="shared" si="17"/>
        <v>New York2022</v>
      </c>
      <c r="H1134">
        <f>+INDEX(Sheet1!C:C, MATCH(Hoja1!G1134, Sheet1!D:D, 0))</f>
        <v>2052758.8</v>
      </c>
      <c r="I1134">
        <f>+INDEX(Sheet1!G:G, MATCH(Hoja1!G1134, Sheet1!I:I, 0))</f>
        <v>108635</v>
      </c>
      <c r="J1134" s="2">
        <f>+INDEX(Sheet1!H:H, MATCH(Hoja1!G1134, Sheet1!I:I, 0))</f>
        <v>1.6629545752306799E-2</v>
      </c>
      <c r="K1134" s="2">
        <f>+INDEX(Sheet1!L:L, MATCH(Hoja1!G1134,Sheet1!M:M, 0))</f>
        <v>12.7</v>
      </c>
    </row>
    <row r="1135" spans="1:11" ht="16" x14ac:dyDescent="0.25">
      <c r="A1135" t="s">
        <v>924</v>
      </c>
      <c r="B1135">
        <v>6</v>
      </c>
      <c r="C1135">
        <v>2022</v>
      </c>
      <c r="D1135" t="s">
        <v>940</v>
      </c>
      <c r="E1135">
        <v>4.2</v>
      </c>
      <c r="F1135">
        <v>19673200</v>
      </c>
      <c r="G1135" s="1" t="str">
        <f t="shared" si="17"/>
        <v>New York2022</v>
      </c>
      <c r="H1135">
        <f>+INDEX(Sheet1!C:C, MATCH(Hoja1!G1135, Sheet1!D:D, 0))</f>
        <v>2052758.8</v>
      </c>
      <c r="I1135">
        <f>+INDEX(Sheet1!G:G, MATCH(Hoja1!G1135, Sheet1!I:I, 0))</f>
        <v>108635</v>
      </c>
      <c r="J1135" s="2">
        <f>+INDEX(Sheet1!H:H, MATCH(Hoja1!G1135, Sheet1!I:I, 0))</f>
        <v>1.6629545752306799E-2</v>
      </c>
      <c r="K1135" s="2">
        <f>+INDEX(Sheet1!L:L, MATCH(Hoja1!G1135,Sheet1!M:M, 0))</f>
        <v>12.7</v>
      </c>
    </row>
    <row r="1136" spans="1:11" ht="16" x14ac:dyDescent="0.25">
      <c r="A1136" t="s">
        <v>924</v>
      </c>
      <c r="B1136">
        <v>7</v>
      </c>
      <c r="C1136">
        <v>2022</v>
      </c>
      <c r="D1136" t="s">
        <v>941</v>
      </c>
      <c r="E1136">
        <v>4</v>
      </c>
      <c r="F1136">
        <v>19673200</v>
      </c>
      <c r="G1136" s="1" t="str">
        <f t="shared" si="17"/>
        <v>New York2022</v>
      </c>
      <c r="H1136">
        <f>+INDEX(Sheet1!C:C, MATCH(Hoja1!G1136, Sheet1!D:D, 0))</f>
        <v>2052758.8</v>
      </c>
      <c r="I1136">
        <f>+INDEX(Sheet1!G:G, MATCH(Hoja1!G1136, Sheet1!I:I, 0))</f>
        <v>108635</v>
      </c>
      <c r="J1136" s="2">
        <f>+INDEX(Sheet1!H:H, MATCH(Hoja1!G1136, Sheet1!I:I, 0))</f>
        <v>1.6629545752306799E-2</v>
      </c>
      <c r="K1136" s="2">
        <f>+INDEX(Sheet1!L:L, MATCH(Hoja1!G1136,Sheet1!M:M, 0))</f>
        <v>12.7</v>
      </c>
    </row>
    <row r="1137" spans="1:11" ht="16" x14ac:dyDescent="0.25">
      <c r="A1137" t="s">
        <v>924</v>
      </c>
      <c r="B1137">
        <v>8</v>
      </c>
      <c r="C1137">
        <v>2022</v>
      </c>
      <c r="D1137">
        <v>8</v>
      </c>
      <c r="E1137">
        <v>3.9</v>
      </c>
      <c r="F1137">
        <v>19673200</v>
      </c>
      <c r="G1137" s="1" t="str">
        <f t="shared" si="17"/>
        <v>New York2022</v>
      </c>
      <c r="H1137">
        <f>+INDEX(Sheet1!C:C, MATCH(Hoja1!G1137, Sheet1!D:D, 0))</f>
        <v>2052758.8</v>
      </c>
      <c r="I1137">
        <f>+INDEX(Sheet1!G:G, MATCH(Hoja1!G1137, Sheet1!I:I, 0))</f>
        <v>108635</v>
      </c>
      <c r="J1137" s="2">
        <f>+INDEX(Sheet1!H:H, MATCH(Hoja1!G1137, Sheet1!I:I, 0))</f>
        <v>1.6629545752306799E-2</v>
      </c>
      <c r="K1137" s="2">
        <f>+INDEX(Sheet1!L:L, MATCH(Hoja1!G1137,Sheet1!M:M, 0))</f>
        <v>12.7</v>
      </c>
    </row>
    <row r="1138" spans="1:11" ht="16" x14ac:dyDescent="0.25">
      <c r="A1138" t="s">
        <v>924</v>
      </c>
      <c r="B1138">
        <v>9</v>
      </c>
      <c r="C1138">
        <v>2022</v>
      </c>
      <c r="D1138" t="s">
        <v>942</v>
      </c>
      <c r="E1138">
        <v>4</v>
      </c>
      <c r="F1138">
        <v>19673200</v>
      </c>
      <c r="G1138" s="1" t="str">
        <f t="shared" si="17"/>
        <v>New York2022</v>
      </c>
      <c r="H1138">
        <f>+INDEX(Sheet1!C:C, MATCH(Hoja1!G1138, Sheet1!D:D, 0))</f>
        <v>2052758.8</v>
      </c>
      <c r="I1138">
        <f>+INDEX(Sheet1!G:G, MATCH(Hoja1!G1138, Sheet1!I:I, 0))</f>
        <v>108635</v>
      </c>
      <c r="J1138" s="2">
        <f>+INDEX(Sheet1!H:H, MATCH(Hoja1!G1138, Sheet1!I:I, 0))</f>
        <v>1.6629545752306799E-2</v>
      </c>
      <c r="K1138" s="2">
        <f>+INDEX(Sheet1!L:L, MATCH(Hoja1!G1138,Sheet1!M:M, 0))</f>
        <v>12.7</v>
      </c>
    </row>
    <row r="1139" spans="1:11" ht="16" x14ac:dyDescent="0.25">
      <c r="A1139" t="s">
        <v>924</v>
      </c>
      <c r="B1139">
        <v>10</v>
      </c>
      <c r="C1139">
        <v>2022</v>
      </c>
      <c r="D1139" t="s">
        <v>943</v>
      </c>
      <c r="E1139">
        <v>4.0999999999999996</v>
      </c>
      <c r="F1139">
        <v>19673200</v>
      </c>
      <c r="G1139" s="1" t="str">
        <f t="shared" si="17"/>
        <v>New York2022</v>
      </c>
      <c r="H1139">
        <f>+INDEX(Sheet1!C:C, MATCH(Hoja1!G1139, Sheet1!D:D, 0))</f>
        <v>2052758.8</v>
      </c>
      <c r="I1139">
        <f>+INDEX(Sheet1!G:G, MATCH(Hoja1!G1139, Sheet1!I:I, 0))</f>
        <v>108635</v>
      </c>
      <c r="J1139" s="2">
        <f>+INDEX(Sheet1!H:H, MATCH(Hoja1!G1139, Sheet1!I:I, 0))</f>
        <v>1.6629545752306799E-2</v>
      </c>
      <c r="K1139" s="2">
        <f>+INDEX(Sheet1!L:L, MATCH(Hoja1!G1139,Sheet1!M:M, 0))</f>
        <v>12.7</v>
      </c>
    </row>
    <row r="1140" spans="1:11" ht="16" x14ac:dyDescent="0.25">
      <c r="A1140" t="s">
        <v>924</v>
      </c>
      <c r="B1140">
        <v>11</v>
      </c>
      <c r="C1140">
        <v>2022</v>
      </c>
      <c r="D1140" t="s">
        <v>944</v>
      </c>
      <c r="E1140">
        <v>4.2</v>
      </c>
      <c r="F1140">
        <v>19673200</v>
      </c>
      <c r="G1140" s="1" t="str">
        <f t="shared" si="17"/>
        <v>New York2022</v>
      </c>
      <c r="H1140">
        <f>+INDEX(Sheet1!C:C, MATCH(Hoja1!G1140, Sheet1!D:D, 0))</f>
        <v>2052758.8</v>
      </c>
      <c r="I1140">
        <f>+INDEX(Sheet1!G:G, MATCH(Hoja1!G1140, Sheet1!I:I, 0))</f>
        <v>108635</v>
      </c>
      <c r="J1140" s="2">
        <f>+INDEX(Sheet1!H:H, MATCH(Hoja1!G1140, Sheet1!I:I, 0))</f>
        <v>1.6629545752306799E-2</v>
      </c>
      <c r="K1140" s="2">
        <f>+INDEX(Sheet1!L:L, MATCH(Hoja1!G1140,Sheet1!M:M, 0))</f>
        <v>12.7</v>
      </c>
    </row>
    <row r="1141" spans="1:11" ht="16" x14ac:dyDescent="0.25">
      <c r="A1141" t="s">
        <v>924</v>
      </c>
      <c r="B1141">
        <v>12</v>
      </c>
      <c r="C1141">
        <v>2022</v>
      </c>
      <c r="D1141" t="s">
        <v>945</v>
      </c>
      <c r="E1141">
        <v>4.2</v>
      </c>
      <c r="F1141">
        <v>19673200</v>
      </c>
      <c r="G1141" s="1" t="str">
        <f t="shared" si="17"/>
        <v>New York2022</v>
      </c>
      <c r="H1141">
        <f>+INDEX(Sheet1!C:C, MATCH(Hoja1!G1141, Sheet1!D:D, 0))</f>
        <v>2052758.8</v>
      </c>
      <c r="I1141">
        <f>+INDEX(Sheet1!G:G, MATCH(Hoja1!G1141, Sheet1!I:I, 0))</f>
        <v>108635</v>
      </c>
      <c r="J1141" s="2">
        <f>+INDEX(Sheet1!H:H, MATCH(Hoja1!G1141, Sheet1!I:I, 0))</f>
        <v>1.6629545752306799E-2</v>
      </c>
      <c r="K1141" s="2">
        <f>+INDEX(Sheet1!L:L, MATCH(Hoja1!G1141,Sheet1!M:M, 0))</f>
        <v>12.7</v>
      </c>
    </row>
    <row r="1142" spans="1:11" ht="16" x14ac:dyDescent="0.25">
      <c r="A1142" t="s">
        <v>924</v>
      </c>
      <c r="B1142">
        <v>1</v>
      </c>
      <c r="C1142">
        <v>2023</v>
      </c>
      <c r="D1142" t="s">
        <v>946</v>
      </c>
      <c r="E1142">
        <v>4.0999999999999996</v>
      </c>
      <c r="F1142">
        <v>19571216</v>
      </c>
      <c r="G1142" s="1" t="str">
        <f t="shared" si="17"/>
        <v>New York2023</v>
      </c>
      <c r="H1142">
        <f>+INDEX(Sheet1!C:C, MATCH(Hoja1!G1142, Sheet1!D:D, 0))</f>
        <v>2172009.6</v>
      </c>
      <c r="I1142">
        <f>+INDEX(Sheet1!G:G, MATCH(Hoja1!G1142, Sheet1!I:I, 0))</f>
        <v>110242</v>
      </c>
      <c r="J1142" s="2">
        <f>+INDEX(Sheet1!H:H, MATCH(Hoja1!G1142, Sheet1!I:I, 0))</f>
        <v>1.4792654301100014E-2</v>
      </c>
      <c r="K1142" s="2">
        <f>+INDEX(Sheet1!L:L, MATCH(Hoja1!G1142,Sheet1!M:M, 0))</f>
        <v>11</v>
      </c>
    </row>
    <row r="1143" spans="1:11" ht="16" x14ac:dyDescent="0.25">
      <c r="A1143" t="s">
        <v>924</v>
      </c>
      <c r="B1143">
        <v>2</v>
      </c>
      <c r="C1143">
        <v>2023</v>
      </c>
      <c r="D1143" t="s">
        <v>947</v>
      </c>
      <c r="E1143">
        <v>4</v>
      </c>
      <c r="F1143">
        <v>19571216</v>
      </c>
      <c r="G1143" s="1" t="str">
        <f t="shared" si="17"/>
        <v>New York2023</v>
      </c>
      <c r="H1143">
        <f>+INDEX(Sheet1!C:C, MATCH(Hoja1!G1143, Sheet1!D:D, 0))</f>
        <v>2172009.6</v>
      </c>
      <c r="I1143">
        <f>+INDEX(Sheet1!G:G, MATCH(Hoja1!G1143, Sheet1!I:I, 0))</f>
        <v>110242</v>
      </c>
      <c r="J1143" s="2">
        <f>+INDEX(Sheet1!H:H, MATCH(Hoja1!G1143, Sheet1!I:I, 0))</f>
        <v>1.4792654301100014E-2</v>
      </c>
      <c r="K1143" s="2">
        <f>+INDEX(Sheet1!L:L, MATCH(Hoja1!G1143,Sheet1!M:M, 0))</f>
        <v>11</v>
      </c>
    </row>
    <row r="1144" spans="1:11" ht="16" x14ac:dyDescent="0.25">
      <c r="A1144" t="s">
        <v>924</v>
      </c>
      <c r="B1144">
        <v>3</v>
      </c>
      <c r="C1144">
        <v>2023</v>
      </c>
      <c r="D1144" t="s">
        <v>888</v>
      </c>
      <c r="E1144">
        <v>4</v>
      </c>
      <c r="F1144">
        <v>19571216</v>
      </c>
      <c r="G1144" s="1" t="str">
        <f t="shared" si="17"/>
        <v>New York2023</v>
      </c>
      <c r="H1144">
        <f>+INDEX(Sheet1!C:C, MATCH(Hoja1!G1144, Sheet1!D:D, 0))</f>
        <v>2172009.6</v>
      </c>
      <c r="I1144">
        <f>+INDEX(Sheet1!G:G, MATCH(Hoja1!G1144, Sheet1!I:I, 0))</f>
        <v>110242</v>
      </c>
      <c r="J1144" s="2">
        <f>+INDEX(Sheet1!H:H, MATCH(Hoja1!G1144, Sheet1!I:I, 0))</f>
        <v>1.4792654301100014E-2</v>
      </c>
      <c r="K1144" s="2">
        <f>+INDEX(Sheet1!L:L, MATCH(Hoja1!G1144,Sheet1!M:M, 0))</f>
        <v>11</v>
      </c>
    </row>
    <row r="1145" spans="1:11" ht="16" x14ac:dyDescent="0.25">
      <c r="A1145" t="s">
        <v>924</v>
      </c>
      <c r="B1145">
        <v>4</v>
      </c>
      <c r="C1145">
        <v>2023</v>
      </c>
      <c r="D1145" t="s">
        <v>948</v>
      </c>
      <c r="E1145">
        <v>3.9</v>
      </c>
      <c r="F1145">
        <v>19571216</v>
      </c>
      <c r="G1145" s="1" t="str">
        <f t="shared" si="17"/>
        <v>New York2023</v>
      </c>
      <c r="H1145">
        <f>+INDEX(Sheet1!C:C, MATCH(Hoja1!G1145, Sheet1!D:D, 0))</f>
        <v>2172009.6</v>
      </c>
      <c r="I1145">
        <f>+INDEX(Sheet1!G:G, MATCH(Hoja1!G1145, Sheet1!I:I, 0))</f>
        <v>110242</v>
      </c>
      <c r="J1145" s="2">
        <f>+INDEX(Sheet1!H:H, MATCH(Hoja1!G1145, Sheet1!I:I, 0))</f>
        <v>1.4792654301100014E-2</v>
      </c>
      <c r="K1145" s="2">
        <f>+INDEX(Sheet1!L:L, MATCH(Hoja1!G1145,Sheet1!M:M, 0))</f>
        <v>11</v>
      </c>
    </row>
    <row r="1146" spans="1:11" ht="16" x14ac:dyDescent="0.25">
      <c r="A1146" t="s">
        <v>924</v>
      </c>
      <c r="B1146">
        <v>5</v>
      </c>
      <c r="C1146">
        <v>2023</v>
      </c>
      <c r="D1146" t="s">
        <v>949</v>
      </c>
      <c r="E1146">
        <v>3.9</v>
      </c>
      <c r="F1146">
        <v>19571216</v>
      </c>
      <c r="G1146" s="1" t="str">
        <f t="shared" si="17"/>
        <v>New York2023</v>
      </c>
      <c r="H1146">
        <f>+INDEX(Sheet1!C:C, MATCH(Hoja1!G1146, Sheet1!D:D, 0))</f>
        <v>2172009.6</v>
      </c>
      <c r="I1146">
        <f>+INDEX(Sheet1!G:G, MATCH(Hoja1!G1146, Sheet1!I:I, 0))</f>
        <v>110242</v>
      </c>
      <c r="J1146" s="2">
        <f>+INDEX(Sheet1!H:H, MATCH(Hoja1!G1146, Sheet1!I:I, 0))</f>
        <v>1.4792654301100014E-2</v>
      </c>
      <c r="K1146" s="2">
        <f>+INDEX(Sheet1!L:L, MATCH(Hoja1!G1146,Sheet1!M:M, 0))</f>
        <v>11</v>
      </c>
    </row>
    <row r="1147" spans="1:11" ht="16" x14ac:dyDescent="0.25">
      <c r="A1147" t="s">
        <v>924</v>
      </c>
      <c r="B1147">
        <v>6</v>
      </c>
      <c r="C1147">
        <v>2023</v>
      </c>
      <c r="D1147" t="s">
        <v>950</v>
      </c>
      <c r="E1147">
        <v>4</v>
      </c>
      <c r="F1147">
        <v>19571216</v>
      </c>
      <c r="G1147" s="1" t="str">
        <f t="shared" si="17"/>
        <v>New York2023</v>
      </c>
      <c r="H1147">
        <f>+INDEX(Sheet1!C:C, MATCH(Hoja1!G1147, Sheet1!D:D, 0))</f>
        <v>2172009.6</v>
      </c>
      <c r="I1147">
        <f>+INDEX(Sheet1!G:G, MATCH(Hoja1!G1147, Sheet1!I:I, 0))</f>
        <v>110242</v>
      </c>
      <c r="J1147" s="2">
        <f>+INDEX(Sheet1!H:H, MATCH(Hoja1!G1147, Sheet1!I:I, 0))</f>
        <v>1.4792654301100014E-2</v>
      </c>
      <c r="K1147" s="2">
        <f>+INDEX(Sheet1!L:L, MATCH(Hoja1!G1147,Sheet1!M:M, 0))</f>
        <v>11</v>
      </c>
    </row>
    <row r="1148" spans="1:11" ht="16" x14ac:dyDescent="0.25">
      <c r="A1148" t="s">
        <v>924</v>
      </c>
      <c r="B1148">
        <v>7</v>
      </c>
      <c r="C1148">
        <v>2023</v>
      </c>
      <c r="D1148" t="s">
        <v>951</v>
      </c>
      <c r="E1148">
        <v>4.0999999999999996</v>
      </c>
      <c r="F1148">
        <v>19571216</v>
      </c>
      <c r="G1148" s="1" t="str">
        <f t="shared" si="17"/>
        <v>New York2023</v>
      </c>
      <c r="H1148">
        <f>+INDEX(Sheet1!C:C, MATCH(Hoja1!G1148, Sheet1!D:D, 0))</f>
        <v>2172009.6</v>
      </c>
      <c r="I1148">
        <f>+INDEX(Sheet1!G:G, MATCH(Hoja1!G1148, Sheet1!I:I, 0))</f>
        <v>110242</v>
      </c>
      <c r="J1148" s="2">
        <f>+INDEX(Sheet1!H:H, MATCH(Hoja1!G1148, Sheet1!I:I, 0))</f>
        <v>1.4792654301100014E-2</v>
      </c>
      <c r="K1148" s="2">
        <f>+INDEX(Sheet1!L:L, MATCH(Hoja1!G1148,Sheet1!M:M, 0))</f>
        <v>11</v>
      </c>
    </row>
    <row r="1149" spans="1:11" ht="16" x14ac:dyDescent="0.25">
      <c r="A1149" t="s">
        <v>924</v>
      </c>
      <c r="B1149">
        <v>8</v>
      </c>
      <c r="C1149">
        <v>2023</v>
      </c>
      <c r="D1149" t="s">
        <v>952</v>
      </c>
      <c r="E1149">
        <v>4.3</v>
      </c>
      <c r="F1149">
        <v>19571216</v>
      </c>
      <c r="G1149" s="1" t="str">
        <f t="shared" si="17"/>
        <v>New York2023</v>
      </c>
      <c r="H1149">
        <f>+INDEX(Sheet1!C:C, MATCH(Hoja1!G1149, Sheet1!D:D, 0))</f>
        <v>2172009.6</v>
      </c>
      <c r="I1149">
        <f>+INDEX(Sheet1!G:G, MATCH(Hoja1!G1149, Sheet1!I:I, 0))</f>
        <v>110242</v>
      </c>
      <c r="J1149" s="2">
        <f>+INDEX(Sheet1!H:H, MATCH(Hoja1!G1149, Sheet1!I:I, 0))</f>
        <v>1.4792654301100014E-2</v>
      </c>
      <c r="K1149" s="2">
        <f>+INDEX(Sheet1!L:L, MATCH(Hoja1!G1149,Sheet1!M:M, 0))</f>
        <v>11</v>
      </c>
    </row>
    <row r="1150" spans="1:11" ht="16" x14ac:dyDescent="0.25">
      <c r="A1150" t="s">
        <v>924</v>
      </c>
      <c r="B1150">
        <v>9</v>
      </c>
      <c r="C1150">
        <v>2023</v>
      </c>
      <c r="D1150" t="s">
        <v>953</v>
      </c>
      <c r="E1150">
        <v>4.4000000000000004</v>
      </c>
      <c r="F1150">
        <v>19571216</v>
      </c>
      <c r="G1150" s="1" t="str">
        <f t="shared" si="17"/>
        <v>New York2023</v>
      </c>
      <c r="H1150">
        <f>+INDEX(Sheet1!C:C, MATCH(Hoja1!G1150, Sheet1!D:D, 0))</f>
        <v>2172009.6</v>
      </c>
      <c r="I1150">
        <f>+INDEX(Sheet1!G:G, MATCH(Hoja1!G1150, Sheet1!I:I, 0))</f>
        <v>110242</v>
      </c>
      <c r="J1150" s="2">
        <f>+INDEX(Sheet1!H:H, MATCH(Hoja1!G1150, Sheet1!I:I, 0))</f>
        <v>1.4792654301100014E-2</v>
      </c>
      <c r="K1150" s="2">
        <f>+INDEX(Sheet1!L:L, MATCH(Hoja1!G1150,Sheet1!M:M, 0))</f>
        <v>11</v>
      </c>
    </row>
    <row r="1151" spans="1:11" ht="16" x14ac:dyDescent="0.25">
      <c r="A1151" t="s">
        <v>924</v>
      </c>
      <c r="B1151">
        <v>10</v>
      </c>
      <c r="C1151">
        <v>2023</v>
      </c>
      <c r="D1151" t="s">
        <v>954</v>
      </c>
      <c r="E1151">
        <v>4.5999999999999996</v>
      </c>
      <c r="F1151">
        <v>19571216</v>
      </c>
      <c r="G1151" s="1" t="str">
        <f t="shared" si="17"/>
        <v>New York2023</v>
      </c>
      <c r="H1151">
        <f>+INDEX(Sheet1!C:C, MATCH(Hoja1!G1151, Sheet1!D:D, 0))</f>
        <v>2172009.6</v>
      </c>
      <c r="I1151">
        <f>+INDEX(Sheet1!G:G, MATCH(Hoja1!G1151, Sheet1!I:I, 0))</f>
        <v>110242</v>
      </c>
      <c r="J1151" s="2">
        <f>+INDEX(Sheet1!H:H, MATCH(Hoja1!G1151, Sheet1!I:I, 0))</f>
        <v>1.4792654301100014E-2</v>
      </c>
      <c r="K1151" s="2">
        <f>+INDEX(Sheet1!L:L, MATCH(Hoja1!G1151,Sheet1!M:M, 0))</f>
        <v>11</v>
      </c>
    </row>
    <row r="1152" spans="1:11" ht="16" x14ac:dyDescent="0.25">
      <c r="A1152" t="s">
        <v>924</v>
      </c>
      <c r="B1152">
        <v>11</v>
      </c>
      <c r="C1152">
        <v>2023</v>
      </c>
      <c r="D1152" t="s">
        <v>955</v>
      </c>
      <c r="E1152">
        <v>4.5999999999999996</v>
      </c>
      <c r="F1152">
        <v>19571216</v>
      </c>
      <c r="G1152" s="1" t="str">
        <f t="shared" si="17"/>
        <v>New York2023</v>
      </c>
      <c r="H1152">
        <f>+INDEX(Sheet1!C:C, MATCH(Hoja1!G1152, Sheet1!D:D, 0))</f>
        <v>2172009.6</v>
      </c>
      <c r="I1152">
        <f>+INDEX(Sheet1!G:G, MATCH(Hoja1!G1152, Sheet1!I:I, 0))</f>
        <v>110242</v>
      </c>
      <c r="J1152" s="2">
        <f>+INDEX(Sheet1!H:H, MATCH(Hoja1!G1152, Sheet1!I:I, 0))</f>
        <v>1.4792654301100014E-2</v>
      </c>
      <c r="K1152" s="2">
        <f>+INDEX(Sheet1!L:L, MATCH(Hoja1!G1152,Sheet1!M:M, 0))</f>
        <v>11</v>
      </c>
    </row>
    <row r="1153" spans="1:11" ht="16" x14ac:dyDescent="0.25">
      <c r="A1153" t="s">
        <v>924</v>
      </c>
      <c r="B1153">
        <v>12</v>
      </c>
      <c r="C1153">
        <v>2023</v>
      </c>
      <c r="D1153" t="s">
        <v>956</v>
      </c>
      <c r="E1153">
        <v>4.5999999999999996</v>
      </c>
      <c r="F1153">
        <v>19571216</v>
      </c>
      <c r="G1153" s="1" t="str">
        <f t="shared" si="17"/>
        <v>New York2023</v>
      </c>
      <c r="H1153">
        <f>+INDEX(Sheet1!C:C, MATCH(Hoja1!G1153, Sheet1!D:D, 0))</f>
        <v>2172009.6</v>
      </c>
      <c r="I1153">
        <f>+INDEX(Sheet1!G:G, MATCH(Hoja1!G1153, Sheet1!I:I, 0))</f>
        <v>110242</v>
      </c>
      <c r="J1153" s="2">
        <f>+INDEX(Sheet1!H:H, MATCH(Hoja1!G1153, Sheet1!I:I, 0))</f>
        <v>1.4792654301100014E-2</v>
      </c>
      <c r="K1153" s="2">
        <f>+INDEX(Sheet1!L:L, MATCH(Hoja1!G1153,Sheet1!M:M, 0))</f>
        <v>11</v>
      </c>
    </row>
    <row r="1154" spans="1:11" ht="16" x14ac:dyDescent="0.25">
      <c r="A1154" t="s">
        <v>957</v>
      </c>
      <c r="B1154">
        <v>1</v>
      </c>
      <c r="C1154">
        <v>2021</v>
      </c>
      <c r="D1154" t="s">
        <v>778</v>
      </c>
      <c r="E1154">
        <v>6.2</v>
      </c>
      <c r="F1154">
        <v>10567100</v>
      </c>
      <c r="G1154" s="1" t="str">
        <f t="shared" si="17"/>
        <v>North Carolina2021</v>
      </c>
      <c r="H1154">
        <f>+INDEX(Sheet1!C:C, MATCH(Hoja1!G1154, Sheet1!D:D, 0))</f>
        <v>662147.1</v>
      </c>
      <c r="I1154">
        <f>+INDEX(Sheet1!G:G, MATCH(Hoja1!G1154, Sheet1!I:I, 0))</f>
        <v>109767</v>
      </c>
      <c r="J1154" s="2">
        <f>+INDEX(Sheet1!H:H, MATCH(Hoja1!G1154, Sheet1!I:I, 0))</f>
        <v>6.3262815296989419E-2</v>
      </c>
      <c r="K1154" s="2">
        <f>+INDEX(Sheet1!L:L, MATCH(Hoja1!G1154,Sheet1!M:M, 0))</f>
        <v>11.8</v>
      </c>
    </row>
    <row r="1155" spans="1:11" ht="16" x14ac:dyDescent="0.25">
      <c r="A1155" t="s">
        <v>957</v>
      </c>
      <c r="B1155">
        <v>2</v>
      </c>
      <c r="C1155">
        <v>2021</v>
      </c>
      <c r="D1155" t="s">
        <v>958</v>
      </c>
      <c r="E1155">
        <v>6</v>
      </c>
      <c r="F1155">
        <v>10567100</v>
      </c>
      <c r="G1155" s="1" t="str">
        <f t="shared" ref="G1155:G1218" si="18">+A1155&amp;C1155</f>
        <v>North Carolina2021</v>
      </c>
      <c r="H1155">
        <f>+INDEX(Sheet1!C:C, MATCH(Hoja1!G1155, Sheet1!D:D, 0))</f>
        <v>662147.1</v>
      </c>
      <c r="I1155">
        <f>+INDEX(Sheet1!G:G, MATCH(Hoja1!G1155, Sheet1!I:I, 0))</f>
        <v>109767</v>
      </c>
      <c r="J1155" s="2">
        <f>+INDEX(Sheet1!H:H, MATCH(Hoja1!G1155, Sheet1!I:I, 0))</f>
        <v>6.3262815296989419E-2</v>
      </c>
      <c r="K1155" s="2">
        <f>+INDEX(Sheet1!L:L, MATCH(Hoja1!G1155,Sheet1!M:M, 0))</f>
        <v>11.8</v>
      </c>
    </row>
    <row r="1156" spans="1:11" ht="16" x14ac:dyDescent="0.25">
      <c r="A1156" t="s">
        <v>957</v>
      </c>
      <c r="B1156">
        <v>3</v>
      </c>
      <c r="C1156">
        <v>2021</v>
      </c>
      <c r="D1156" t="s">
        <v>959</v>
      </c>
      <c r="E1156">
        <v>5.4</v>
      </c>
      <c r="F1156">
        <v>10567100</v>
      </c>
      <c r="G1156" s="1" t="str">
        <f t="shared" si="18"/>
        <v>North Carolina2021</v>
      </c>
      <c r="H1156">
        <f>+INDEX(Sheet1!C:C, MATCH(Hoja1!G1156, Sheet1!D:D, 0))</f>
        <v>662147.1</v>
      </c>
      <c r="I1156">
        <f>+INDEX(Sheet1!G:G, MATCH(Hoja1!G1156, Sheet1!I:I, 0))</f>
        <v>109767</v>
      </c>
      <c r="J1156" s="2">
        <f>+INDEX(Sheet1!H:H, MATCH(Hoja1!G1156, Sheet1!I:I, 0))</f>
        <v>6.3262815296989419E-2</v>
      </c>
      <c r="K1156" s="2">
        <f>+INDEX(Sheet1!L:L, MATCH(Hoja1!G1156,Sheet1!M:M, 0))</f>
        <v>11.8</v>
      </c>
    </row>
    <row r="1157" spans="1:11" ht="16" x14ac:dyDescent="0.25">
      <c r="A1157" t="s">
        <v>957</v>
      </c>
      <c r="B1157">
        <v>4</v>
      </c>
      <c r="C1157">
        <v>2021</v>
      </c>
      <c r="D1157" t="s">
        <v>360</v>
      </c>
      <c r="E1157">
        <v>5.0999999999999996</v>
      </c>
      <c r="F1157">
        <v>10567100</v>
      </c>
      <c r="G1157" s="1" t="str">
        <f t="shared" si="18"/>
        <v>North Carolina2021</v>
      </c>
      <c r="H1157">
        <f>+INDEX(Sheet1!C:C, MATCH(Hoja1!G1157, Sheet1!D:D, 0))</f>
        <v>662147.1</v>
      </c>
      <c r="I1157">
        <f>+INDEX(Sheet1!G:G, MATCH(Hoja1!G1157, Sheet1!I:I, 0))</f>
        <v>109767</v>
      </c>
      <c r="J1157" s="2">
        <f>+INDEX(Sheet1!H:H, MATCH(Hoja1!G1157, Sheet1!I:I, 0))</f>
        <v>6.3262815296989419E-2</v>
      </c>
      <c r="K1157" s="2">
        <f>+INDEX(Sheet1!L:L, MATCH(Hoja1!G1157,Sheet1!M:M, 0))</f>
        <v>11.8</v>
      </c>
    </row>
    <row r="1158" spans="1:11" ht="16" x14ac:dyDescent="0.25">
      <c r="A1158" t="s">
        <v>957</v>
      </c>
      <c r="B1158">
        <v>5</v>
      </c>
      <c r="C1158">
        <v>2021</v>
      </c>
      <c r="D1158" t="s">
        <v>198</v>
      </c>
      <c r="E1158">
        <v>5.0999999999999996</v>
      </c>
      <c r="F1158">
        <v>10567100</v>
      </c>
      <c r="G1158" s="1" t="str">
        <f t="shared" si="18"/>
        <v>North Carolina2021</v>
      </c>
      <c r="H1158">
        <f>+INDEX(Sheet1!C:C, MATCH(Hoja1!G1158, Sheet1!D:D, 0))</f>
        <v>662147.1</v>
      </c>
      <c r="I1158">
        <f>+INDEX(Sheet1!G:G, MATCH(Hoja1!G1158, Sheet1!I:I, 0))</f>
        <v>109767</v>
      </c>
      <c r="J1158" s="2">
        <f>+INDEX(Sheet1!H:H, MATCH(Hoja1!G1158, Sheet1!I:I, 0))</f>
        <v>6.3262815296989419E-2</v>
      </c>
      <c r="K1158" s="2">
        <f>+INDEX(Sheet1!L:L, MATCH(Hoja1!G1158,Sheet1!M:M, 0))</f>
        <v>11.8</v>
      </c>
    </row>
    <row r="1159" spans="1:11" ht="16" x14ac:dyDescent="0.25">
      <c r="A1159" t="s">
        <v>957</v>
      </c>
      <c r="B1159">
        <v>6</v>
      </c>
      <c r="C1159">
        <v>2021</v>
      </c>
      <c r="D1159" t="s">
        <v>960</v>
      </c>
      <c r="E1159">
        <v>5.5</v>
      </c>
      <c r="F1159">
        <v>10567100</v>
      </c>
      <c r="G1159" s="1" t="str">
        <f t="shared" si="18"/>
        <v>North Carolina2021</v>
      </c>
      <c r="H1159">
        <f>+INDEX(Sheet1!C:C, MATCH(Hoja1!G1159, Sheet1!D:D, 0))</f>
        <v>662147.1</v>
      </c>
      <c r="I1159">
        <f>+INDEX(Sheet1!G:G, MATCH(Hoja1!G1159, Sheet1!I:I, 0))</f>
        <v>109767</v>
      </c>
      <c r="J1159" s="2">
        <f>+INDEX(Sheet1!H:H, MATCH(Hoja1!G1159, Sheet1!I:I, 0))</f>
        <v>6.3262815296989419E-2</v>
      </c>
      <c r="K1159" s="2">
        <f>+INDEX(Sheet1!L:L, MATCH(Hoja1!G1159,Sheet1!M:M, 0))</f>
        <v>11.8</v>
      </c>
    </row>
    <row r="1160" spans="1:11" ht="16" x14ac:dyDescent="0.25">
      <c r="A1160" t="s">
        <v>957</v>
      </c>
      <c r="B1160">
        <v>7</v>
      </c>
      <c r="C1160">
        <v>2021</v>
      </c>
      <c r="D1160" t="s">
        <v>961</v>
      </c>
      <c r="E1160">
        <v>5.0999999999999996</v>
      </c>
      <c r="F1160">
        <v>10567100</v>
      </c>
      <c r="G1160" s="1" t="str">
        <f t="shared" si="18"/>
        <v>North Carolina2021</v>
      </c>
      <c r="H1160">
        <f>+INDEX(Sheet1!C:C, MATCH(Hoja1!G1160, Sheet1!D:D, 0))</f>
        <v>662147.1</v>
      </c>
      <c r="I1160">
        <f>+INDEX(Sheet1!G:G, MATCH(Hoja1!G1160, Sheet1!I:I, 0))</f>
        <v>109767</v>
      </c>
      <c r="J1160" s="2">
        <f>+INDEX(Sheet1!H:H, MATCH(Hoja1!G1160, Sheet1!I:I, 0))</f>
        <v>6.3262815296989419E-2</v>
      </c>
      <c r="K1160" s="2">
        <f>+INDEX(Sheet1!L:L, MATCH(Hoja1!G1160,Sheet1!M:M, 0))</f>
        <v>11.8</v>
      </c>
    </row>
    <row r="1161" spans="1:11" ht="16" x14ac:dyDescent="0.25">
      <c r="A1161" t="s">
        <v>957</v>
      </c>
      <c r="B1161">
        <v>8</v>
      </c>
      <c r="C1161">
        <v>2021</v>
      </c>
      <c r="D1161">
        <v>25</v>
      </c>
      <c r="E1161">
        <v>4.9000000000000004</v>
      </c>
      <c r="F1161">
        <v>10567100</v>
      </c>
      <c r="G1161" s="1" t="str">
        <f t="shared" si="18"/>
        <v>North Carolina2021</v>
      </c>
      <c r="H1161">
        <f>+INDEX(Sheet1!C:C, MATCH(Hoja1!G1161, Sheet1!D:D, 0))</f>
        <v>662147.1</v>
      </c>
      <c r="I1161">
        <f>+INDEX(Sheet1!G:G, MATCH(Hoja1!G1161, Sheet1!I:I, 0))</f>
        <v>109767</v>
      </c>
      <c r="J1161" s="2">
        <f>+INDEX(Sheet1!H:H, MATCH(Hoja1!G1161, Sheet1!I:I, 0))</f>
        <v>6.3262815296989419E-2</v>
      </c>
      <c r="K1161" s="2">
        <f>+INDEX(Sheet1!L:L, MATCH(Hoja1!G1161,Sheet1!M:M, 0))</f>
        <v>11.8</v>
      </c>
    </row>
    <row r="1162" spans="1:11" ht="16" x14ac:dyDescent="0.25">
      <c r="A1162" t="s">
        <v>957</v>
      </c>
      <c r="B1162">
        <v>9</v>
      </c>
      <c r="C1162">
        <v>2021</v>
      </c>
      <c r="D1162">
        <v>26</v>
      </c>
      <c r="E1162">
        <v>4.2</v>
      </c>
      <c r="F1162">
        <v>10567100</v>
      </c>
      <c r="G1162" s="1" t="str">
        <f t="shared" si="18"/>
        <v>North Carolina2021</v>
      </c>
      <c r="H1162">
        <f>+INDEX(Sheet1!C:C, MATCH(Hoja1!G1162, Sheet1!D:D, 0))</f>
        <v>662147.1</v>
      </c>
      <c r="I1162">
        <f>+INDEX(Sheet1!G:G, MATCH(Hoja1!G1162, Sheet1!I:I, 0))</f>
        <v>109767</v>
      </c>
      <c r="J1162" s="2">
        <f>+INDEX(Sheet1!H:H, MATCH(Hoja1!G1162, Sheet1!I:I, 0))</f>
        <v>6.3262815296989419E-2</v>
      </c>
      <c r="K1162" s="2">
        <f>+INDEX(Sheet1!L:L, MATCH(Hoja1!G1162,Sheet1!M:M, 0))</f>
        <v>11.8</v>
      </c>
    </row>
    <row r="1163" spans="1:11" ht="16" x14ac:dyDescent="0.25">
      <c r="A1163" t="s">
        <v>957</v>
      </c>
      <c r="B1163">
        <v>10</v>
      </c>
      <c r="C1163">
        <v>2021</v>
      </c>
      <c r="D1163" t="s">
        <v>687</v>
      </c>
      <c r="E1163">
        <v>4.2</v>
      </c>
      <c r="F1163">
        <v>10567100</v>
      </c>
      <c r="G1163" s="1" t="str">
        <f t="shared" si="18"/>
        <v>North Carolina2021</v>
      </c>
      <c r="H1163">
        <f>+INDEX(Sheet1!C:C, MATCH(Hoja1!G1163, Sheet1!D:D, 0))</f>
        <v>662147.1</v>
      </c>
      <c r="I1163">
        <f>+INDEX(Sheet1!G:G, MATCH(Hoja1!G1163, Sheet1!I:I, 0))</f>
        <v>109767</v>
      </c>
      <c r="J1163" s="2">
        <f>+INDEX(Sheet1!H:H, MATCH(Hoja1!G1163, Sheet1!I:I, 0))</f>
        <v>6.3262815296989419E-2</v>
      </c>
      <c r="K1163" s="2">
        <f>+INDEX(Sheet1!L:L, MATCH(Hoja1!G1163,Sheet1!M:M, 0))</f>
        <v>11.8</v>
      </c>
    </row>
    <row r="1164" spans="1:11" ht="16" x14ac:dyDescent="0.25">
      <c r="A1164" t="s">
        <v>957</v>
      </c>
      <c r="B1164">
        <v>11</v>
      </c>
      <c r="C1164">
        <v>2021</v>
      </c>
      <c r="D1164" t="s">
        <v>840</v>
      </c>
      <c r="E1164">
        <v>3.9</v>
      </c>
      <c r="F1164">
        <v>10567100</v>
      </c>
      <c r="G1164" s="1" t="str">
        <f t="shared" si="18"/>
        <v>North Carolina2021</v>
      </c>
      <c r="H1164">
        <f>+INDEX(Sheet1!C:C, MATCH(Hoja1!G1164, Sheet1!D:D, 0))</f>
        <v>662147.1</v>
      </c>
      <c r="I1164">
        <f>+INDEX(Sheet1!G:G, MATCH(Hoja1!G1164, Sheet1!I:I, 0))</f>
        <v>109767</v>
      </c>
      <c r="J1164" s="2">
        <f>+INDEX(Sheet1!H:H, MATCH(Hoja1!G1164, Sheet1!I:I, 0))</f>
        <v>6.3262815296989419E-2</v>
      </c>
      <c r="K1164" s="2">
        <f>+INDEX(Sheet1!L:L, MATCH(Hoja1!G1164,Sheet1!M:M, 0))</f>
        <v>11.8</v>
      </c>
    </row>
    <row r="1165" spans="1:11" ht="16" x14ac:dyDescent="0.25">
      <c r="A1165" t="s">
        <v>957</v>
      </c>
      <c r="B1165">
        <v>12</v>
      </c>
      <c r="C1165">
        <v>2021</v>
      </c>
      <c r="D1165" t="s">
        <v>962</v>
      </c>
      <c r="E1165">
        <v>3.3</v>
      </c>
      <c r="F1165">
        <v>10567100</v>
      </c>
      <c r="G1165" s="1" t="str">
        <f t="shared" si="18"/>
        <v>North Carolina2021</v>
      </c>
      <c r="H1165">
        <f>+INDEX(Sheet1!C:C, MATCH(Hoja1!G1165, Sheet1!D:D, 0))</f>
        <v>662147.1</v>
      </c>
      <c r="I1165">
        <f>+INDEX(Sheet1!G:G, MATCH(Hoja1!G1165, Sheet1!I:I, 0))</f>
        <v>109767</v>
      </c>
      <c r="J1165" s="2">
        <f>+INDEX(Sheet1!H:H, MATCH(Hoja1!G1165, Sheet1!I:I, 0))</f>
        <v>6.3262815296989419E-2</v>
      </c>
      <c r="K1165" s="2">
        <f>+INDEX(Sheet1!L:L, MATCH(Hoja1!G1165,Sheet1!M:M, 0))</f>
        <v>11.8</v>
      </c>
    </row>
    <row r="1166" spans="1:11" ht="16" x14ac:dyDescent="0.25">
      <c r="A1166" t="s">
        <v>957</v>
      </c>
      <c r="B1166">
        <v>1</v>
      </c>
      <c r="C1166">
        <v>2022</v>
      </c>
      <c r="D1166" t="s">
        <v>963</v>
      </c>
      <c r="E1166">
        <v>4.0999999999999996</v>
      </c>
      <c r="F1166">
        <v>10695965</v>
      </c>
      <c r="G1166" s="1" t="str">
        <f t="shared" si="18"/>
        <v>North Carolina2022</v>
      </c>
      <c r="H1166">
        <f>+INDEX(Sheet1!C:C, MATCH(Hoja1!G1166, Sheet1!D:D, 0))</f>
        <v>728498.7</v>
      </c>
      <c r="I1166">
        <f>+INDEX(Sheet1!G:G, MATCH(Hoja1!G1166, Sheet1!I:I, 0))</f>
        <v>113300</v>
      </c>
      <c r="J1166" s="2">
        <f>+INDEX(Sheet1!H:H, MATCH(Hoja1!G1166, Sheet1!I:I, 0))</f>
        <v>3.2186358377290079E-2</v>
      </c>
      <c r="K1166" s="2">
        <f>+INDEX(Sheet1!L:L, MATCH(Hoja1!G1166,Sheet1!M:M, 0))</f>
        <v>14.2</v>
      </c>
    </row>
    <row r="1167" spans="1:11" ht="16" x14ac:dyDescent="0.25">
      <c r="A1167" t="s">
        <v>957</v>
      </c>
      <c r="B1167">
        <v>2</v>
      </c>
      <c r="C1167">
        <v>2022</v>
      </c>
      <c r="D1167" t="s">
        <v>964</v>
      </c>
      <c r="E1167">
        <v>3.9</v>
      </c>
      <c r="F1167">
        <v>10695965</v>
      </c>
      <c r="G1167" s="1" t="str">
        <f t="shared" si="18"/>
        <v>North Carolina2022</v>
      </c>
      <c r="H1167">
        <f>+INDEX(Sheet1!C:C, MATCH(Hoja1!G1167, Sheet1!D:D, 0))</f>
        <v>728498.7</v>
      </c>
      <c r="I1167">
        <f>+INDEX(Sheet1!G:G, MATCH(Hoja1!G1167, Sheet1!I:I, 0))</f>
        <v>113300</v>
      </c>
      <c r="J1167" s="2">
        <f>+INDEX(Sheet1!H:H, MATCH(Hoja1!G1167, Sheet1!I:I, 0))</f>
        <v>3.2186358377290079E-2</v>
      </c>
      <c r="K1167" s="2">
        <f>+INDEX(Sheet1!L:L, MATCH(Hoja1!G1167,Sheet1!M:M, 0))</f>
        <v>14.2</v>
      </c>
    </row>
    <row r="1168" spans="1:11" ht="16" x14ac:dyDescent="0.25">
      <c r="A1168" t="s">
        <v>957</v>
      </c>
      <c r="B1168">
        <v>3</v>
      </c>
      <c r="C1168">
        <v>2022</v>
      </c>
      <c r="D1168" t="s">
        <v>710</v>
      </c>
      <c r="E1168">
        <v>3.6</v>
      </c>
      <c r="F1168">
        <v>10695965</v>
      </c>
      <c r="G1168" s="1" t="str">
        <f t="shared" si="18"/>
        <v>North Carolina2022</v>
      </c>
      <c r="H1168">
        <f>+INDEX(Sheet1!C:C, MATCH(Hoja1!G1168, Sheet1!D:D, 0))</f>
        <v>728498.7</v>
      </c>
      <c r="I1168">
        <f>+INDEX(Sheet1!G:G, MATCH(Hoja1!G1168, Sheet1!I:I, 0))</f>
        <v>113300</v>
      </c>
      <c r="J1168" s="2">
        <f>+INDEX(Sheet1!H:H, MATCH(Hoja1!G1168, Sheet1!I:I, 0))</f>
        <v>3.2186358377290079E-2</v>
      </c>
      <c r="K1168" s="2">
        <f>+INDEX(Sheet1!L:L, MATCH(Hoja1!G1168,Sheet1!M:M, 0))</f>
        <v>14.2</v>
      </c>
    </row>
    <row r="1169" spans="1:11" ht="16" x14ac:dyDescent="0.25">
      <c r="A1169" t="s">
        <v>957</v>
      </c>
      <c r="B1169">
        <v>4</v>
      </c>
      <c r="C1169">
        <v>2022</v>
      </c>
      <c r="D1169" t="s">
        <v>965</v>
      </c>
      <c r="E1169">
        <v>3.3</v>
      </c>
      <c r="F1169">
        <v>10695965</v>
      </c>
      <c r="G1169" s="1" t="str">
        <f t="shared" si="18"/>
        <v>North Carolina2022</v>
      </c>
      <c r="H1169">
        <f>+INDEX(Sheet1!C:C, MATCH(Hoja1!G1169, Sheet1!D:D, 0))</f>
        <v>728498.7</v>
      </c>
      <c r="I1169">
        <f>+INDEX(Sheet1!G:G, MATCH(Hoja1!G1169, Sheet1!I:I, 0))</f>
        <v>113300</v>
      </c>
      <c r="J1169" s="2">
        <f>+INDEX(Sheet1!H:H, MATCH(Hoja1!G1169, Sheet1!I:I, 0))</f>
        <v>3.2186358377290079E-2</v>
      </c>
      <c r="K1169" s="2">
        <f>+INDEX(Sheet1!L:L, MATCH(Hoja1!G1169,Sheet1!M:M, 0))</f>
        <v>14.2</v>
      </c>
    </row>
    <row r="1170" spans="1:11" ht="16" x14ac:dyDescent="0.25">
      <c r="A1170" t="s">
        <v>957</v>
      </c>
      <c r="B1170">
        <v>5</v>
      </c>
      <c r="C1170">
        <v>2022</v>
      </c>
      <c r="D1170" t="s">
        <v>966</v>
      </c>
      <c r="E1170">
        <v>3.5</v>
      </c>
      <c r="F1170">
        <v>10695965</v>
      </c>
      <c r="G1170" s="1" t="str">
        <f t="shared" si="18"/>
        <v>North Carolina2022</v>
      </c>
      <c r="H1170">
        <f>+INDEX(Sheet1!C:C, MATCH(Hoja1!G1170, Sheet1!D:D, 0))</f>
        <v>728498.7</v>
      </c>
      <c r="I1170">
        <f>+INDEX(Sheet1!G:G, MATCH(Hoja1!G1170, Sheet1!I:I, 0))</f>
        <v>113300</v>
      </c>
      <c r="J1170" s="2">
        <f>+INDEX(Sheet1!H:H, MATCH(Hoja1!G1170, Sheet1!I:I, 0))</f>
        <v>3.2186358377290079E-2</v>
      </c>
      <c r="K1170" s="2">
        <f>+INDEX(Sheet1!L:L, MATCH(Hoja1!G1170,Sheet1!M:M, 0))</f>
        <v>14.2</v>
      </c>
    </row>
    <row r="1171" spans="1:11" ht="16" x14ac:dyDescent="0.25">
      <c r="A1171" t="s">
        <v>957</v>
      </c>
      <c r="B1171">
        <v>6</v>
      </c>
      <c r="C1171">
        <v>2022</v>
      </c>
      <c r="D1171" t="s">
        <v>967</v>
      </c>
      <c r="E1171">
        <v>3.9</v>
      </c>
      <c r="F1171">
        <v>10695965</v>
      </c>
      <c r="G1171" s="1" t="str">
        <f t="shared" si="18"/>
        <v>North Carolina2022</v>
      </c>
      <c r="H1171">
        <f>+INDEX(Sheet1!C:C, MATCH(Hoja1!G1171, Sheet1!D:D, 0))</f>
        <v>728498.7</v>
      </c>
      <c r="I1171">
        <f>+INDEX(Sheet1!G:G, MATCH(Hoja1!G1171, Sheet1!I:I, 0))</f>
        <v>113300</v>
      </c>
      <c r="J1171" s="2">
        <f>+INDEX(Sheet1!H:H, MATCH(Hoja1!G1171, Sheet1!I:I, 0))</f>
        <v>3.2186358377290079E-2</v>
      </c>
      <c r="K1171" s="2">
        <f>+INDEX(Sheet1!L:L, MATCH(Hoja1!G1171,Sheet1!M:M, 0))</f>
        <v>14.2</v>
      </c>
    </row>
    <row r="1172" spans="1:11" ht="16" x14ac:dyDescent="0.25">
      <c r="A1172" t="s">
        <v>957</v>
      </c>
      <c r="B1172">
        <v>7</v>
      </c>
      <c r="C1172">
        <v>2022</v>
      </c>
      <c r="D1172" t="s">
        <v>968</v>
      </c>
      <c r="E1172">
        <v>3.9</v>
      </c>
      <c r="F1172">
        <v>10695965</v>
      </c>
      <c r="G1172" s="1" t="str">
        <f t="shared" si="18"/>
        <v>North Carolina2022</v>
      </c>
      <c r="H1172">
        <f>+INDEX(Sheet1!C:C, MATCH(Hoja1!G1172, Sheet1!D:D, 0))</f>
        <v>728498.7</v>
      </c>
      <c r="I1172">
        <f>+INDEX(Sheet1!G:G, MATCH(Hoja1!G1172, Sheet1!I:I, 0))</f>
        <v>113300</v>
      </c>
      <c r="J1172" s="2">
        <f>+INDEX(Sheet1!H:H, MATCH(Hoja1!G1172, Sheet1!I:I, 0))</f>
        <v>3.2186358377290079E-2</v>
      </c>
      <c r="K1172" s="2">
        <f>+INDEX(Sheet1!L:L, MATCH(Hoja1!G1172,Sheet1!M:M, 0))</f>
        <v>14.2</v>
      </c>
    </row>
    <row r="1173" spans="1:11" ht="16" x14ac:dyDescent="0.25">
      <c r="A1173" t="s">
        <v>957</v>
      </c>
      <c r="B1173">
        <v>8</v>
      </c>
      <c r="C1173">
        <v>2022</v>
      </c>
      <c r="D1173" t="s">
        <v>969</v>
      </c>
      <c r="E1173">
        <v>4.0999999999999996</v>
      </c>
      <c r="F1173">
        <v>10695965</v>
      </c>
      <c r="G1173" s="1" t="str">
        <f t="shared" si="18"/>
        <v>North Carolina2022</v>
      </c>
      <c r="H1173">
        <f>+INDEX(Sheet1!C:C, MATCH(Hoja1!G1173, Sheet1!D:D, 0))</f>
        <v>728498.7</v>
      </c>
      <c r="I1173">
        <f>+INDEX(Sheet1!G:G, MATCH(Hoja1!G1173, Sheet1!I:I, 0))</f>
        <v>113300</v>
      </c>
      <c r="J1173" s="2">
        <f>+INDEX(Sheet1!H:H, MATCH(Hoja1!G1173, Sheet1!I:I, 0))</f>
        <v>3.2186358377290079E-2</v>
      </c>
      <c r="K1173" s="2">
        <f>+INDEX(Sheet1!L:L, MATCH(Hoja1!G1173,Sheet1!M:M, 0))</f>
        <v>14.2</v>
      </c>
    </row>
    <row r="1174" spans="1:11" ht="16" x14ac:dyDescent="0.25">
      <c r="A1174" t="s">
        <v>957</v>
      </c>
      <c r="B1174">
        <v>9</v>
      </c>
      <c r="C1174">
        <v>2022</v>
      </c>
      <c r="D1174" t="s">
        <v>966</v>
      </c>
      <c r="E1174">
        <v>3.4</v>
      </c>
      <c r="F1174">
        <v>10695965</v>
      </c>
      <c r="G1174" s="1" t="str">
        <f t="shared" si="18"/>
        <v>North Carolina2022</v>
      </c>
      <c r="H1174">
        <f>+INDEX(Sheet1!C:C, MATCH(Hoja1!G1174, Sheet1!D:D, 0))</f>
        <v>728498.7</v>
      </c>
      <c r="I1174">
        <f>+INDEX(Sheet1!G:G, MATCH(Hoja1!G1174, Sheet1!I:I, 0))</f>
        <v>113300</v>
      </c>
      <c r="J1174" s="2">
        <f>+INDEX(Sheet1!H:H, MATCH(Hoja1!G1174, Sheet1!I:I, 0))</f>
        <v>3.2186358377290079E-2</v>
      </c>
      <c r="K1174" s="2">
        <f>+INDEX(Sheet1!L:L, MATCH(Hoja1!G1174,Sheet1!M:M, 0))</f>
        <v>14.2</v>
      </c>
    </row>
    <row r="1175" spans="1:11" ht="16" x14ac:dyDescent="0.25">
      <c r="A1175" t="s">
        <v>957</v>
      </c>
      <c r="B1175">
        <v>10</v>
      </c>
      <c r="C1175">
        <v>2022</v>
      </c>
      <c r="D1175" t="s">
        <v>970</v>
      </c>
      <c r="E1175">
        <v>3.7</v>
      </c>
      <c r="F1175">
        <v>10695965</v>
      </c>
      <c r="G1175" s="1" t="str">
        <f t="shared" si="18"/>
        <v>North Carolina2022</v>
      </c>
      <c r="H1175">
        <f>+INDEX(Sheet1!C:C, MATCH(Hoja1!G1175, Sheet1!D:D, 0))</f>
        <v>728498.7</v>
      </c>
      <c r="I1175">
        <f>+INDEX(Sheet1!G:G, MATCH(Hoja1!G1175, Sheet1!I:I, 0))</f>
        <v>113300</v>
      </c>
      <c r="J1175" s="2">
        <f>+INDEX(Sheet1!H:H, MATCH(Hoja1!G1175, Sheet1!I:I, 0))</f>
        <v>3.2186358377290079E-2</v>
      </c>
      <c r="K1175" s="2">
        <f>+INDEX(Sheet1!L:L, MATCH(Hoja1!G1175,Sheet1!M:M, 0))</f>
        <v>14.2</v>
      </c>
    </row>
    <row r="1176" spans="1:11" ht="16" x14ac:dyDescent="0.25">
      <c r="A1176" t="s">
        <v>957</v>
      </c>
      <c r="B1176">
        <v>11</v>
      </c>
      <c r="C1176">
        <v>2022</v>
      </c>
      <c r="D1176" t="s">
        <v>971</v>
      </c>
      <c r="E1176">
        <v>3.6</v>
      </c>
      <c r="F1176">
        <v>10695965</v>
      </c>
      <c r="G1176" s="1" t="str">
        <f t="shared" si="18"/>
        <v>North Carolina2022</v>
      </c>
      <c r="H1176">
        <f>+INDEX(Sheet1!C:C, MATCH(Hoja1!G1176, Sheet1!D:D, 0))</f>
        <v>728498.7</v>
      </c>
      <c r="I1176">
        <f>+INDEX(Sheet1!G:G, MATCH(Hoja1!G1176, Sheet1!I:I, 0))</f>
        <v>113300</v>
      </c>
      <c r="J1176" s="2">
        <f>+INDEX(Sheet1!H:H, MATCH(Hoja1!G1176, Sheet1!I:I, 0))</f>
        <v>3.2186358377290079E-2</v>
      </c>
      <c r="K1176" s="2">
        <f>+INDEX(Sheet1!L:L, MATCH(Hoja1!G1176,Sheet1!M:M, 0))</f>
        <v>14.2</v>
      </c>
    </row>
    <row r="1177" spans="1:11" ht="16" x14ac:dyDescent="0.25">
      <c r="A1177" t="s">
        <v>957</v>
      </c>
      <c r="B1177">
        <v>12</v>
      </c>
      <c r="C1177">
        <v>2022</v>
      </c>
      <c r="D1177" t="s">
        <v>972</v>
      </c>
      <c r="E1177">
        <v>3.3</v>
      </c>
      <c r="F1177">
        <v>10695965</v>
      </c>
      <c r="G1177" s="1" t="str">
        <f t="shared" si="18"/>
        <v>North Carolina2022</v>
      </c>
      <c r="H1177">
        <f>+INDEX(Sheet1!C:C, MATCH(Hoja1!G1177, Sheet1!D:D, 0))</f>
        <v>728498.7</v>
      </c>
      <c r="I1177">
        <f>+INDEX(Sheet1!G:G, MATCH(Hoja1!G1177, Sheet1!I:I, 0))</f>
        <v>113300</v>
      </c>
      <c r="J1177" s="2">
        <f>+INDEX(Sheet1!H:H, MATCH(Hoja1!G1177, Sheet1!I:I, 0))</f>
        <v>3.2186358377290079E-2</v>
      </c>
      <c r="K1177" s="2">
        <f>+INDEX(Sheet1!L:L, MATCH(Hoja1!G1177,Sheet1!M:M, 0))</f>
        <v>14.2</v>
      </c>
    </row>
    <row r="1178" spans="1:11" ht="16" x14ac:dyDescent="0.25">
      <c r="A1178" t="s">
        <v>957</v>
      </c>
      <c r="B1178">
        <v>1</v>
      </c>
      <c r="C1178">
        <v>2023</v>
      </c>
      <c r="D1178" t="s">
        <v>973</v>
      </c>
      <c r="E1178">
        <v>3.8</v>
      </c>
      <c r="F1178">
        <v>10835491</v>
      </c>
      <c r="G1178" s="1" t="str">
        <f t="shared" si="18"/>
        <v>North Carolina2023</v>
      </c>
      <c r="H1178">
        <f>+INDEX(Sheet1!C:C, MATCH(Hoja1!G1178, Sheet1!D:D, 0))</f>
        <v>788103.2</v>
      </c>
      <c r="I1178">
        <f>+INDEX(Sheet1!G:G, MATCH(Hoja1!G1178, Sheet1!I:I, 0))</f>
        <v>116689</v>
      </c>
      <c r="J1178" s="2">
        <f>+INDEX(Sheet1!H:H, MATCH(Hoja1!G1178, Sheet1!I:I, 0))</f>
        <v>2.9911738746690203E-2</v>
      </c>
      <c r="K1178" s="2">
        <f>+INDEX(Sheet1!L:L, MATCH(Hoja1!G1178,Sheet1!M:M, 0))</f>
        <v>13.6</v>
      </c>
    </row>
    <row r="1179" spans="1:11" ht="16" x14ac:dyDescent="0.25">
      <c r="A1179" t="s">
        <v>957</v>
      </c>
      <c r="B1179">
        <v>2</v>
      </c>
      <c r="C1179">
        <v>2023</v>
      </c>
      <c r="D1179" t="s">
        <v>880</v>
      </c>
      <c r="E1179">
        <v>3.7</v>
      </c>
      <c r="F1179">
        <v>10835491</v>
      </c>
      <c r="G1179" s="1" t="str">
        <f t="shared" si="18"/>
        <v>North Carolina2023</v>
      </c>
      <c r="H1179">
        <f>+INDEX(Sheet1!C:C, MATCH(Hoja1!G1179, Sheet1!D:D, 0))</f>
        <v>788103.2</v>
      </c>
      <c r="I1179">
        <f>+INDEX(Sheet1!G:G, MATCH(Hoja1!G1179, Sheet1!I:I, 0))</f>
        <v>116689</v>
      </c>
      <c r="J1179" s="2">
        <f>+INDEX(Sheet1!H:H, MATCH(Hoja1!G1179, Sheet1!I:I, 0))</f>
        <v>2.9911738746690203E-2</v>
      </c>
      <c r="K1179" s="2">
        <f>+INDEX(Sheet1!L:L, MATCH(Hoja1!G1179,Sheet1!M:M, 0))</f>
        <v>13.6</v>
      </c>
    </row>
    <row r="1180" spans="1:11" ht="16" x14ac:dyDescent="0.25">
      <c r="A1180" t="s">
        <v>957</v>
      </c>
      <c r="B1180">
        <v>3</v>
      </c>
      <c r="C1180">
        <v>2023</v>
      </c>
      <c r="D1180" t="s">
        <v>974</v>
      </c>
      <c r="E1180">
        <v>3.5</v>
      </c>
      <c r="F1180">
        <v>10835491</v>
      </c>
      <c r="G1180" s="1" t="str">
        <f t="shared" si="18"/>
        <v>North Carolina2023</v>
      </c>
      <c r="H1180">
        <f>+INDEX(Sheet1!C:C, MATCH(Hoja1!G1180, Sheet1!D:D, 0))</f>
        <v>788103.2</v>
      </c>
      <c r="I1180">
        <f>+INDEX(Sheet1!G:G, MATCH(Hoja1!G1180, Sheet1!I:I, 0))</f>
        <v>116689</v>
      </c>
      <c r="J1180" s="2">
        <f>+INDEX(Sheet1!H:H, MATCH(Hoja1!G1180, Sheet1!I:I, 0))</f>
        <v>2.9911738746690203E-2</v>
      </c>
      <c r="K1180" s="2">
        <f>+INDEX(Sheet1!L:L, MATCH(Hoja1!G1180,Sheet1!M:M, 0))</f>
        <v>13.6</v>
      </c>
    </row>
    <row r="1181" spans="1:11" ht="16" x14ac:dyDescent="0.25">
      <c r="A1181" t="s">
        <v>957</v>
      </c>
      <c r="B1181">
        <v>4</v>
      </c>
      <c r="C1181">
        <v>2023</v>
      </c>
      <c r="D1181">
        <v>29</v>
      </c>
      <c r="E1181">
        <v>2.9</v>
      </c>
      <c r="F1181">
        <v>10835491</v>
      </c>
      <c r="G1181" s="1" t="str">
        <f t="shared" si="18"/>
        <v>North Carolina2023</v>
      </c>
      <c r="H1181">
        <f>+INDEX(Sheet1!C:C, MATCH(Hoja1!G1181, Sheet1!D:D, 0))</f>
        <v>788103.2</v>
      </c>
      <c r="I1181">
        <f>+INDEX(Sheet1!G:G, MATCH(Hoja1!G1181, Sheet1!I:I, 0))</f>
        <v>116689</v>
      </c>
      <c r="J1181" s="2">
        <f>+INDEX(Sheet1!H:H, MATCH(Hoja1!G1181, Sheet1!I:I, 0))</f>
        <v>2.9911738746690203E-2</v>
      </c>
      <c r="K1181" s="2">
        <f>+INDEX(Sheet1!L:L, MATCH(Hoja1!G1181,Sheet1!M:M, 0))</f>
        <v>13.6</v>
      </c>
    </row>
    <row r="1182" spans="1:11" ht="16" x14ac:dyDescent="0.25">
      <c r="A1182" t="s">
        <v>957</v>
      </c>
      <c r="B1182">
        <v>5</v>
      </c>
      <c r="C1182">
        <v>2023</v>
      </c>
      <c r="D1182" t="s">
        <v>498</v>
      </c>
      <c r="E1182">
        <v>3.4</v>
      </c>
      <c r="F1182">
        <v>10835491</v>
      </c>
      <c r="G1182" s="1" t="str">
        <f t="shared" si="18"/>
        <v>North Carolina2023</v>
      </c>
      <c r="H1182">
        <f>+INDEX(Sheet1!C:C, MATCH(Hoja1!G1182, Sheet1!D:D, 0))</f>
        <v>788103.2</v>
      </c>
      <c r="I1182">
        <f>+INDEX(Sheet1!G:G, MATCH(Hoja1!G1182, Sheet1!I:I, 0))</f>
        <v>116689</v>
      </c>
      <c r="J1182" s="2">
        <f>+INDEX(Sheet1!H:H, MATCH(Hoja1!G1182, Sheet1!I:I, 0))</f>
        <v>2.9911738746690203E-2</v>
      </c>
      <c r="K1182" s="2">
        <f>+INDEX(Sheet1!L:L, MATCH(Hoja1!G1182,Sheet1!M:M, 0))</f>
        <v>13.6</v>
      </c>
    </row>
    <row r="1183" spans="1:11" ht="16" x14ac:dyDescent="0.25">
      <c r="A1183" t="s">
        <v>957</v>
      </c>
      <c r="B1183">
        <v>6</v>
      </c>
      <c r="C1183">
        <v>2023</v>
      </c>
      <c r="D1183" t="s">
        <v>975</v>
      </c>
      <c r="E1183">
        <v>3.6</v>
      </c>
      <c r="F1183">
        <v>10835491</v>
      </c>
      <c r="G1183" s="1" t="str">
        <f t="shared" si="18"/>
        <v>North Carolina2023</v>
      </c>
      <c r="H1183">
        <f>+INDEX(Sheet1!C:C, MATCH(Hoja1!G1183, Sheet1!D:D, 0))</f>
        <v>788103.2</v>
      </c>
      <c r="I1183">
        <f>+INDEX(Sheet1!G:G, MATCH(Hoja1!G1183, Sheet1!I:I, 0))</f>
        <v>116689</v>
      </c>
      <c r="J1183" s="2">
        <f>+INDEX(Sheet1!H:H, MATCH(Hoja1!G1183, Sheet1!I:I, 0))</f>
        <v>2.9911738746690203E-2</v>
      </c>
      <c r="K1183" s="2">
        <f>+INDEX(Sheet1!L:L, MATCH(Hoja1!G1183,Sheet1!M:M, 0))</f>
        <v>13.6</v>
      </c>
    </row>
    <row r="1184" spans="1:11" ht="16" x14ac:dyDescent="0.25">
      <c r="A1184" t="s">
        <v>957</v>
      </c>
      <c r="B1184">
        <v>7</v>
      </c>
      <c r="C1184">
        <v>2023</v>
      </c>
      <c r="D1184" t="s">
        <v>976</v>
      </c>
      <c r="E1184">
        <v>3.6</v>
      </c>
      <c r="F1184">
        <v>10835491</v>
      </c>
      <c r="G1184" s="1" t="str">
        <f t="shared" si="18"/>
        <v>North Carolina2023</v>
      </c>
      <c r="H1184">
        <f>+INDEX(Sheet1!C:C, MATCH(Hoja1!G1184, Sheet1!D:D, 0))</f>
        <v>788103.2</v>
      </c>
      <c r="I1184">
        <f>+INDEX(Sheet1!G:G, MATCH(Hoja1!G1184, Sheet1!I:I, 0))</f>
        <v>116689</v>
      </c>
      <c r="J1184" s="2">
        <f>+INDEX(Sheet1!H:H, MATCH(Hoja1!G1184, Sheet1!I:I, 0))</f>
        <v>2.9911738746690203E-2</v>
      </c>
      <c r="K1184" s="2">
        <f>+INDEX(Sheet1!L:L, MATCH(Hoja1!G1184,Sheet1!M:M, 0))</f>
        <v>13.6</v>
      </c>
    </row>
    <row r="1185" spans="1:11" ht="16" x14ac:dyDescent="0.25">
      <c r="A1185" t="s">
        <v>957</v>
      </c>
      <c r="B1185">
        <v>8</v>
      </c>
      <c r="C1185">
        <v>2023</v>
      </c>
      <c r="D1185" t="s">
        <v>977</v>
      </c>
      <c r="E1185">
        <v>3.7</v>
      </c>
      <c r="F1185">
        <v>10835491</v>
      </c>
      <c r="G1185" s="1" t="str">
        <f t="shared" si="18"/>
        <v>North Carolina2023</v>
      </c>
      <c r="H1185">
        <f>+INDEX(Sheet1!C:C, MATCH(Hoja1!G1185, Sheet1!D:D, 0))</f>
        <v>788103.2</v>
      </c>
      <c r="I1185">
        <f>+INDEX(Sheet1!G:G, MATCH(Hoja1!G1185, Sheet1!I:I, 0))</f>
        <v>116689</v>
      </c>
      <c r="J1185" s="2">
        <f>+INDEX(Sheet1!H:H, MATCH(Hoja1!G1185, Sheet1!I:I, 0))</f>
        <v>2.9911738746690203E-2</v>
      </c>
      <c r="K1185" s="2">
        <f>+INDEX(Sheet1!L:L, MATCH(Hoja1!G1185,Sheet1!M:M, 0))</f>
        <v>13.6</v>
      </c>
    </row>
    <row r="1186" spans="1:11" ht="16" x14ac:dyDescent="0.25">
      <c r="A1186" t="s">
        <v>957</v>
      </c>
      <c r="B1186">
        <v>9</v>
      </c>
      <c r="C1186">
        <v>2023</v>
      </c>
      <c r="D1186" t="s">
        <v>616</v>
      </c>
      <c r="E1186">
        <v>3.2</v>
      </c>
      <c r="F1186">
        <v>10835491</v>
      </c>
      <c r="G1186" s="1" t="str">
        <f t="shared" si="18"/>
        <v>North Carolina2023</v>
      </c>
      <c r="H1186">
        <f>+INDEX(Sheet1!C:C, MATCH(Hoja1!G1186, Sheet1!D:D, 0))</f>
        <v>788103.2</v>
      </c>
      <c r="I1186">
        <f>+INDEX(Sheet1!G:G, MATCH(Hoja1!G1186, Sheet1!I:I, 0))</f>
        <v>116689</v>
      </c>
      <c r="J1186" s="2">
        <f>+INDEX(Sheet1!H:H, MATCH(Hoja1!G1186, Sheet1!I:I, 0))</f>
        <v>2.9911738746690203E-2</v>
      </c>
      <c r="K1186" s="2">
        <f>+INDEX(Sheet1!L:L, MATCH(Hoja1!G1186,Sheet1!M:M, 0))</f>
        <v>13.6</v>
      </c>
    </row>
    <row r="1187" spans="1:11" ht="16" x14ac:dyDescent="0.25">
      <c r="A1187" t="s">
        <v>957</v>
      </c>
      <c r="B1187">
        <v>10</v>
      </c>
      <c r="C1187">
        <v>2023</v>
      </c>
      <c r="D1187" t="s">
        <v>978</v>
      </c>
      <c r="E1187">
        <v>3.4</v>
      </c>
      <c r="F1187">
        <v>10835491</v>
      </c>
      <c r="G1187" s="1" t="str">
        <f t="shared" si="18"/>
        <v>North Carolina2023</v>
      </c>
      <c r="H1187">
        <f>+INDEX(Sheet1!C:C, MATCH(Hoja1!G1187, Sheet1!D:D, 0))</f>
        <v>788103.2</v>
      </c>
      <c r="I1187">
        <f>+INDEX(Sheet1!G:G, MATCH(Hoja1!G1187, Sheet1!I:I, 0))</f>
        <v>116689</v>
      </c>
      <c r="J1187" s="2">
        <f>+INDEX(Sheet1!H:H, MATCH(Hoja1!G1187, Sheet1!I:I, 0))</f>
        <v>2.9911738746690203E-2</v>
      </c>
      <c r="K1187" s="2">
        <f>+INDEX(Sheet1!L:L, MATCH(Hoja1!G1187,Sheet1!M:M, 0))</f>
        <v>13.6</v>
      </c>
    </row>
    <row r="1188" spans="1:11" ht="16" x14ac:dyDescent="0.25">
      <c r="A1188" t="s">
        <v>957</v>
      </c>
      <c r="B1188">
        <v>11</v>
      </c>
      <c r="C1188">
        <v>2023</v>
      </c>
      <c r="D1188" t="s">
        <v>979</v>
      </c>
      <c r="E1188">
        <v>3.4</v>
      </c>
      <c r="F1188">
        <v>10835491</v>
      </c>
      <c r="G1188" s="1" t="str">
        <f t="shared" si="18"/>
        <v>North Carolina2023</v>
      </c>
      <c r="H1188">
        <f>+INDEX(Sheet1!C:C, MATCH(Hoja1!G1188, Sheet1!D:D, 0))</f>
        <v>788103.2</v>
      </c>
      <c r="I1188">
        <f>+INDEX(Sheet1!G:G, MATCH(Hoja1!G1188, Sheet1!I:I, 0))</f>
        <v>116689</v>
      </c>
      <c r="J1188" s="2">
        <f>+INDEX(Sheet1!H:H, MATCH(Hoja1!G1188, Sheet1!I:I, 0))</f>
        <v>2.9911738746690203E-2</v>
      </c>
      <c r="K1188" s="2">
        <f>+INDEX(Sheet1!L:L, MATCH(Hoja1!G1188,Sheet1!M:M, 0))</f>
        <v>13.6</v>
      </c>
    </row>
    <row r="1189" spans="1:11" ht="16" x14ac:dyDescent="0.25">
      <c r="A1189" t="s">
        <v>957</v>
      </c>
      <c r="B1189">
        <v>12</v>
      </c>
      <c r="C1189">
        <v>2023</v>
      </c>
      <c r="D1189" t="s">
        <v>980</v>
      </c>
      <c r="E1189">
        <v>3.2</v>
      </c>
      <c r="F1189">
        <v>10835491</v>
      </c>
      <c r="G1189" s="1" t="str">
        <f t="shared" si="18"/>
        <v>North Carolina2023</v>
      </c>
      <c r="H1189">
        <f>+INDEX(Sheet1!C:C, MATCH(Hoja1!G1189, Sheet1!D:D, 0))</f>
        <v>788103.2</v>
      </c>
      <c r="I1189">
        <f>+INDEX(Sheet1!G:G, MATCH(Hoja1!G1189, Sheet1!I:I, 0))</f>
        <v>116689</v>
      </c>
      <c r="J1189" s="2">
        <f>+INDEX(Sheet1!H:H, MATCH(Hoja1!G1189, Sheet1!I:I, 0))</f>
        <v>2.9911738746690203E-2</v>
      </c>
      <c r="K1189" s="2">
        <f>+INDEX(Sheet1!L:L, MATCH(Hoja1!G1189,Sheet1!M:M, 0))</f>
        <v>13.6</v>
      </c>
    </row>
    <row r="1190" spans="1:11" ht="16" x14ac:dyDescent="0.25">
      <c r="A1190" t="s">
        <v>981</v>
      </c>
      <c r="B1190">
        <v>1</v>
      </c>
      <c r="C1190">
        <v>2021</v>
      </c>
      <c r="D1190" t="s">
        <v>982</v>
      </c>
      <c r="E1190">
        <v>4</v>
      </c>
      <c r="F1190">
        <v>777982</v>
      </c>
      <c r="G1190" s="1" t="str">
        <f t="shared" si="18"/>
        <v>North Dakota2021</v>
      </c>
      <c r="H1190">
        <f>+INDEX(Sheet1!C:C, MATCH(Hoja1!G1190, Sheet1!D:D, 0))</f>
        <v>63838.5</v>
      </c>
      <c r="I1190">
        <f>+INDEX(Sheet1!G:G, MATCH(Hoja1!G1190, Sheet1!I:I, 0))</f>
        <v>99804</v>
      </c>
      <c r="J1190" s="2">
        <f>+INDEX(Sheet1!H:H, MATCH(Hoja1!G1190, Sheet1!I:I, 0))</f>
        <v>1.0182392356120569E-2</v>
      </c>
      <c r="K1190" s="2">
        <f>+INDEX(Sheet1!L:L, MATCH(Hoja1!G1190,Sheet1!M:M, 0))</f>
        <v>8.5</v>
      </c>
    </row>
    <row r="1191" spans="1:11" ht="16" x14ac:dyDescent="0.25">
      <c r="A1191" t="s">
        <v>981</v>
      </c>
      <c r="B1191">
        <v>2</v>
      </c>
      <c r="C1191">
        <v>2021</v>
      </c>
      <c r="D1191" t="s">
        <v>14</v>
      </c>
      <c r="E1191">
        <v>3.8</v>
      </c>
      <c r="F1191">
        <v>777982</v>
      </c>
      <c r="G1191" s="1" t="str">
        <f t="shared" si="18"/>
        <v>North Dakota2021</v>
      </c>
      <c r="H1191">
        <f>+INDEX(Sheet1!C:C, MATCH(Hoja1!G1191, Sheet1!D:D, 0))</f>
        <v>63838.5</v>
      </c>
      <c r="I1191">
        <f>+INDEX(Sheet1!G:G, MATCH(Hoja1!G1191, Sheet1!I:I, 0))</f>
        <v>99804</v>
      </c>
      <c r="J1191" s="2">
        <f>+INDEX(Sheet1!H:H, MATCH(Hoja1!G1191, Sheet1!I:I, 0))</f>
        <v>1.0182392356120569E-2</v>
      </c>
      <c r="K1191" s="2">
        <f>+INDEX(Sheet1!L:L, MATCH(Hoja1!G1191,Sheet1!M:M, 0))</f>
        <v>8.5</v>
      </c>
    </row>
    <row r="1192" spans="1:11" ht="16" x14ac:dyDescent="0.25">
      <c r="A1192" t="s">
        <v>981</v>
      </c>
      <c r="B1192">
        <v>3</v>
      </c>
      <c r="C1192">
        <v>2021</v>
      </c>
      <c r="D1192" t="s">
        <v>302</v>
      </c>
      <c r="E1192">
        <v>3.6</v>
      </c>
      <c r="F1192">
        <v>777982</v>
      </c>
      <c r="G1192" s="1" t="str">
        <f t="shared" si="18"/>
        <v>North Dakota2021</v>
      </c>
      <c r="H1192">
        <f>+INDEX(Sheet1!C:C, MATCH(Hoja1!G1192, Sheet1!D:D, 0))</f>
        <v>63838.5</v>
      </c>
      <c r="I1192">
        <f>+INDEX(Sheet1!G:G, MATCH(Hoja1!G1192, Sheet1!I:I, 0))</f>
        <v>99804</v>
      </c>
      <c r="J1192" s="2">
        <f>+INDEX(Sheet1!H:H, MATCH(Hoja1!G1192, Sheet1!I:I, 0))</f>
        <v>1.0182392356120569E-2</v>
      </c>
      <c r="K1192" s="2">
        <f>+INDEX(Sheet1!L:L, MATCH(Hoja1!G1192,Sheet1!M:M, 0))</f>
        <v>8.5</v>
      </c>
    </row>
    <row r="1193" spans="1:11" ht="16" x14ac:dyDescent="0.25">
      <c r="A1193" t="s">
        <v>981</v>
      </c>
      <c r="B1193">
        <v>4</v>
      </c>
      <c r="C1193">
        <v>2021</v>
      </c>
      <c r="D1193" t="s">
        <v>847</v>
      </c>
      <c r="E1193">
        <v>3.4</v>
      </c>
      <c r="F1193">
        <v>777982</v>
      </c>
      <c r="G1193" s="1" t="str">
        <f t="shared" si="18"/>
        <v>North Dakota2021</v>
      </c>
      <c r="H1193">
        <f>+INDEX(Sheet1!C:C, MATCH(Hoja1!G1193, Sheet1!D:D, 0))</f>
        <v>63838.5</v>
      </c>
      <c r="I1193">
        <f>+INDEX(Sheet1!G:G, MATCH(Hoja1!G1193, Sheet1!I:I, 0))</f>
        <v>99804</v>
      </c>
      <c r="J1193" s="2">
        <f>+INDEX(Sheet1!H:H, MATCH(Hoja1!G1193, Sheet1!I:I, 0))</f>
        <v>1.0182392356120569E-2</v>
      </c>
      <c r="K1193" s="2">
        <f>+INDEX(Sheet1!L:L, MATCH(Hoja1!G1193,Sheet1!M:M, 0))</f>
        <v>8.5</v>
      </c>
    </row>
    <row r="1194" spans="1:11" ht="16" x14ac:dyDescent="0.25">
      <c r="A1194" t="s">
        <v>981</v>
      </c>
      <c r="B1194">
        <v>5</v>
      </c>
      <c r="C1194">
        <v>2021</v>
      </c>
      <c r="D1194" t="s">
        <v>983</v>
      </c>
      <c r="E1194">
        <v>3.2</v>
      </c>
      <c r="F1194">
        <v>777982</v>
      </c>
      <c r="G1194" s="1" t="str">
        <f t="shared" si="18"/>
        <v>North Dakota2021</v>
      </c>
      <c r="H1194">
        <f>+INDEX(Sheet1!C:C, MATCH(Hoja1!G1194, Sheet1!D:D, 0))</f>
        <v>63838.5</v>
      </c>
      <c r="I1194">
        <f>+INDEX(Sheet1!G:G, MATCH(Hoja1!G1194, Sheet1!I:I, 0))</f>
        <v>99804</v>
      </c>
      <c r="J1194" s="2">
        <f>+INDEX(Sheet1!H:H, MATCH(Hoja1!G1194, Sheet1!I:I, 0))</f>
        <v>1.0182392356120569E-2</v>
      </c>
      <c r="K1194" s="2">
        <f>+INDEX(Sheet1!L:L, MATCH(Hoja1!G1194,Sheet1!M:M, 0))</f>
        <v>8.5</v>
      </c>
    </row>
    <row r="1195" spans="1:11" ht="16" x14ac:dyDescent="0.25">
      <c r="A1195" t="s">
        <v>981</v>
      </c>
      <c r="B1195">
        <v>6</v>
      </c>
      <c r="C1195">
        <v>2021</v>
      </c>
      <c r="D1195" t="s">
        <v>297</v>
      </c>
      <c r="E1195">
        <v>3</v>
      </c>
      <c r="F1195">
        <v>777982</v>
      </c>
      <c r="G1195" s="1" t="str">
        <f t="shared" si="18"/>
        <v>North Dakota2021</v>
      </c>
      <c r="H1195">
        <f>+INDEX(Sheet1!C:C, MATCH(Hoja1!G1195, Sheet1!D:D, 0))</f>
        <v>63838.5</v>
      </c>
      <c r="I1195">
        <f>+INDEX(Sheet1!G:G, MATCH(Hoja1!G1195, Sheet1!I:I, 0))</f>
        <v>99804</v>
      </c>
      <c r="J1195" s="2">
        <f>+INDEX(Sheet1!H:H, MATCH(Hoja1!G1195, Sheet1!I:I, 0))</f>
        <v>1.0182392356120569E-2</v>
      </c>
      <c r="K1195" s="2">
        <f>+INDEX(Sheet1!L:L, MATCH(Hoja1!G1195,Sheet1!M:M, 0))</f>
        <v>8.5</v>
      </c>
    </row>
    <row r="1196" spans="1:11" ht="16" x14ac:dyDescent="0.25">
      <c r="A1196" t="s">
        <v>981</v>
      </c>
      <c r="B1196">
        <v>7</v>
      </c>
      <c r="C1196">
        <v>2021</v>
      </c>
      <c r="D1196" t="s">
        <v>360</v>
      </c>
      <c r="E1196">
        <v>2.8</v>
      </c>
      <c r="F1196">
        <v>777982</v>
      </c>
      <c r="G1196" s="1" t="str">
        <f t="shared" si="18"/>
        <v>North Dakota2021</v>
      </c>
      <c r="H1196">
        <f>+INDEX(Sheet1!C:C, MATCH(Hoja1!G1196, Sheet1!D:D, 0))</f>
        <v>63838.5</v>
      </c>
      <c r="I1196">
        <f>+INDEX(Sheet1!G:G, MATCH(Hoja1!G1196, Sheet1!I:I, 0))</f>
        <v>99804</v>
      </c>
      <c r="J1196" s="2">
        <f>+INDEX(Sheet1!H:H, MATCH(Hoja1!G1196, Sheet1!I:I, 0))</f>
        <v>1.0182392356120569E-2</v>
      </c>
      <c r="K1196" s="2">
        <f>+INDEX(Sheet1!L:L, MATCH(Hoja1!G1196,Sheet1!M:M, 0))</f>
        <v>8.5</v>
      </c>
    </row>
    <row r="1197" spans="1:11" ht="16" x14ac:dyDescent="0.25">
      <c r="A1197" t="s">
        <v>981</v>
      </c>
      <c r="B1197">
        <v>8</v>
      </c>
      <c r="C1197">
        <v>2021</v>
      </c>
      <c r="D1197" t="s">
        <v>499</v>
      </c>
      <c r="E1197">
        <v>2.7</v>
      </c>
      <c r="F1197">
        <v>777982</v>
      </c>
      <c r="G1197" s="1" t="str">
        <f t="shared" si="18"/>
        <v>North Dakota2021</v>
      </c>
      <c r="H1197">
        <f>+INDEX(Sheet1!C:C, MATCH(Hoja1!G1197, Sheet1!D:D, 0))</f>
        <v>63838.5</v>
      </c>
      <c r="I1197">
        <f>+INDEX(Sheet1!G:G, MATCH(Hoja1!G1197, Sheet1!I:I, 0))</f>
        <v>99804</v>
      </c>
      <c r="J1197" s="2">
        <f>+INDEX(Sheet1!H:H, MATCH(Hoja1!G1197, Sheet1!I:I, 0))</f>
        <v>1.0182392356120569E-2</v>
      </c>
      <c r="K1197" s="2">
        <f>+INDEX(Sheet1!L:L, MATCH(Hoja1!G1197,Sheet1!M:M, 0))</f>
        <v>8.5</v>
      </c>
    </row>
    <row r="1198" spans="1:11" ht="16" x14ac:dyDescent="0.25">
      <c r="A1198" t="s">
        <v>981</v>
      </c>
      <c r="B1198">
        <v>9</v>
      </c>
      <c r="C1198">
        <v>2021</v>
      </c>
      <c r="D1198" t="s">
        <v>984</v>
      </c>
      <c r="E1198">
        <v>2.5</v>
      </c>
      <c r="F1198">
        <v>777982</v>
      </c>
      <c r="G1198" s="1" t="str">
        <f t="shared" si="18"/>
        <v>North Dakota2021</v>
      </c>
      <c r="H1198">
        <f>+INDEX(Sheet1!C:C, MATCH(Hoja1!G1198, Sheet1!D:D, 0))</f>
        <v>63838.5</v>
      </c>
      <c r="I1198">
        <f>+INDEX(Sheet1!G:G, MATCH(Hoja1!G1198, Sheet1!I:I, 0))</f>
        <v>99804</v>
      </c>
      <c r="J1198" s="2">
        <f>+INDEX(Sheet1!H:H, MATCH(Hoja1!G1198, Sheet1!I:I, 0))</f>
        <v>1.0182392356120569E-2</v>
      </c>
      <c r="K1198" s="2">
        <f>+INDEX(Sheet1!L:L, MATCH(Hoja1!G1198,Sheet1!M:M, 0))</f>
        <v>8.5</v>
      </c>
    </row>
    <row r="1199" spans="1:11" ht="16" x14ac:dyDescent="0.25">
      <c r="A1199" t="s">
        <v>981</v>
      </c>
      <c r="B1199">
        <v>10</v>
      </c>
      <c r="C1199">
        <v>2021</v>
      </c>
      <c r="D1199" t="s">
        <v>985</v>
      </c>
      <c r="E1199">
        <v>2.4</v>
      </c>
      <c r="F1199">
        <v>777982</v>
      </c>
      <c r="G1199" s="1" t="str">
        <f t="shared" si="18"/>
        <v>North Dakota2021</v>
      </c>
      <c r="H1199">
        <f>+INDEX(Sheet1!C:C, MATCH(Hoja1!G1199, Sheet1!D:D, 0))</f>
        <v>63838.5</v>
      </c>
      <c r="I1199">
        <f>+INDEX(Sheet1!G:G, MATCH(Hoja1!G1199, Sheet1!I:I, 0))</f>
        <v>99804</v>
      </c>
      <c r="J1199" s="2">
        <f>+INDEX(Sheet1!H:H, MATCH(Hoja1!G1199, Sheet1!I:I, 0))</f>
        <v>1.0182392356120569E-2</v>
      </c>
      <c r="K1199" s="2">
        <f>+INDEX(Sheet1!L:L, MATCH(Hoja1!G1199,Sheet1!M:M, 0))</f>
        <v>8.5</v>
      </c>
    </row>
    <row r="1200" spans="1:11" ht="16" x14ac:dyDescent="0.25">
      <c r="A1200" t="s">
        <v>981</v>
      </c>
      <c r="B1200">
        <v>11</v>
      </c>
      <c r="C1200">
        <v>2021</v>
      </c>
      <c r="D1200" t="s">
        <v>986</v>
      </c>
      <c r="E1200">
        <v>2.2999999999999998</v>
      </c>
      <c r="F1200">
        <v>777982</v>
      </c>
      <c r="G1200" s="1" t="str">
        <f t="shared" si="18"/>
        <v>North Dakota2021</v>
      </c>
      <c r="H1200">
        <f>+INDEX(Sheet1!C:C, MATCH(Hoja1!G1200, Sheet1!D:D, 0))</f>
        <v>63838.5</v>
      </c>
      <c r="I1200">
        <f>+INDEX(Sheet1!G:G, MATCH(Hoja1!G1200, Sheet1!I:I, 0))</f>
        <v>99804</v>
      </c>
      <c r="J1200" s="2">
        <f>+INDEX(Sheet1!H:H, MATCH(Hoja1!G1200, Sheet1!I:I, 0))</f>
        <v>1.0182392356120569E-2</v>
      </c>
      <c r="K1200" s="2">
        <f>+INDEX(Sheet1!L:L, MATCH(Hoja1!G1200,Sheet1!M:M, 0))</f>
        <v>8.5</v>
      </c>
    </row>
    <row r="1201" spans="1:11" ht="16" x14ac:dyDescent="0.25">
      <c r="A1201" t="s">
        <v>981</v>
      </c>
      <c r="B1201">
        <v>12</v>
      </c>
      <c r="C1201">
        <v>2021</v>
      </c>
      <c r="D1201" t="s">
        <v>987</v>
      </c>
      <c r="E1201">
        <v>2.2999999999999998</v>
      </c>
      <c r="F1201">
        <v>777982</v>
      </c>
      <c r="G1201" s="1" t="str">
        <f t="shared" si="18"/>
        <v>North Dakota2021</v>
      </c>
      <c r="H1201">
        <f>+INDEX(Sheet1!C:C, MATCH(Hoja1!G1201, Sheet1!D:D, 0))</f>
        <v>63838.5</v>
      </c>
      <c r="I1201">
        <f>+INDEX(Sheet1!G:G, MATCH(Hoja1!G1201, Sheet1!I:I, 0))</f>
        <v>99804</v>
      </c>
      <c r="J1201" s="2">
        <f>+INDEX(Sheet1!H:H, MATCH(Hoja1!G1201, Sheet1!I:I, 0))</f>
        <v>1.0182392356120569E-2</v>
      </c>
      <c r="K1201" s="2">
        <f>+INDEX(Sheet1!L:L, MATCH(Hoja1!G1201,Sheet1!M:M, 0))</f>
        <v>8.5</v>
      </c>
    </row>
    <row r="1202" spans="1:11" ht="16" x14ac:dyDescent="0.25">
      <c r="A1202" t="s">
        <v>981</v>
      </c>
      <c r="B1202">
        <v>1</v>
      </c>
      <c r="C1202">
        <v>2022</v>
      </c>
      <c r="D1202" t="s">
        <v>819</v>
      </c>
      <c r="E1202">
        <v>2.2000000000000002</v>
      </c>
      <c r="F1202">
        <v>778912</v>
      </c>
      <c r="G1202" s="1" t="str">
        <f t="shared" si="18"/>
        <v>North Dakota2022</v>
      </c>
      <c r="H1202">
        <f>+INDEX(Sheet1!C:C, MATCH(Hoja1!G1202, Sheet1!D:D, 0))</f>
        <v>73780</v>
      </c>
      <c r="I1202">
        <f>+INDEX(Sheet1!G:G, MATCH(Hoja1!G1202, Sheet1!I:I, 0))</f>
        <v>99041</v>
      </c>
      <c r="J1202" s="2">
        <f>+INDEX(Sheet1!H:H, MATCH(Hoja1!G1202, Sheet1!I:I, 0))</f>
        <v>-7.6449841689711839E-3</v>
      </c>
      <c r="K1202" s="2">
        <f>+INDEX(Sheet1!L:L, MATCH(Hoja1!G1202,Sheet1!M:M, 0))</f>
        <v>9.6999999999999993</v>
      </c>
    </row>
    <row r="1203" spans="1:11" ht="16" x14ac:dyDescent="0.25">
      <c r="A1203" t="s">
        <v>981</v>
      </c>
      <c r="B1203">
        <v>2</v>
      </c>
      <c r="C1203">
        <v>2022</v>
      </c>
      <c r="D1203">
        <v>24</v>
      </c>
      <c r="E1203">
        <v>2.1</v>
      </c>
      <c r="F1203">
        <v>778912</v>
      </c>
      <c r="G1203" s="1" t="str">
        <f t="shared" si="18"/>
        <v>North Dakota2022</v>
      </c>
      <c r="H1203">
        <f>+INDEX(Sheet1!C:C, MATCH(Hoja1!G1203, Sheet1!D:D, 0))</f>
        <v>73780</v>
      </c>
      <c r="I1203">
        <f>+INDEX(Sheet1!G:G, MATCH(Hoja1!G1203, Sheet1!I:I, 0))</f>
        <v>99041</v>
      </c>
      <c r="J1203" s="2">
        <f>+INDEX(Sheet1!H:H, MATCH(Hoja1!G1203, Sheet1!I:I, 0))</f>
        <v>-7.6449841689711839E-3</v>
      </c>
      <c r="K1203" s="2">
        <f>+INDEX(Sheet1!L:L, MATCH(Hoja1!G1203,Sheet1!M:M, 0))</f>
        <v>9.6999999999999993</v>
      </c>
    </row>
    <row r="1204" spans="1:11" ht="16" x14ac:dyDescent="0.25">
      <c r="A1204" t="s">
        <v>981</v>
      </c>
      <c r="B1204">
        <v>3</v>
      </c>
      <c r="C1204">
        <v>2022</v>
      </c>
      <c r="D1204" t="s">
        <v>988</v>
      </c>
      <c r="E1204">
        <v>2</v>
      </c>
      <c r="F1204">
        <v>778912</v>
      </c>
      <c r="G1204" s="1" t="str">
        <f t="shared" si="18"/>
        <v>North Dakota2022</v>
      </c>
      <c r="H1204">
        <f>+INDEX(Sheet1!C:C, MATCH(Hoja1!G1204, Sheet1!D:D, 0))</f>
        <v>73780</v>
      </c>
      <c r="I1204">
        <f>+INDEX(Sheet1!G:G, MATCH(Hoja1!G1204, Sheet1!I:I, 0))</f>
        <v>99041</v>
      </c>
      <c r="J1204" s="2">
        <f>+INDEX(Sheet1!H:H, MATCH(Hoja1!G1204, Sheet1!I:I, 0))</f>
        <v>-7.6449841689711839E-3</v>
      </c>
      <c r="K1204" s="2">
        <f>+INDEX(Sheet1!L:L, MATCH(Hoja1!G1204,Sheet1!M:M, 0))</f>
        <v>9.6999999999999993</v>
      </c>
    </row>
    <row r="1205" spans="1:11" ht="16" x14ac:dyDescent="0.25">
      <c r="A1205" t="s">
        <v>981</v>
      </c>
      <c r="B1205">
        <v>4</v>
      </c>
      <c r="C1205">
        <v>2022</v>
      </c>
      <c r="D1205" t="s">
        <v>474</v>
      </c>
      <c r="E1205">
        <v>2</v>
      </c>
      <c r="F1205">
        <v>778912</v>
      </c>
      <c r="G1205" s="1" t="str">
        <f t="shared" si="18"/>
        <v>North Dakota2022</v>
      </c>
      <c r="H1205">
        <f>+INDEX(Sheet1!C:C, MATCH(Hoja1!G1205, Sheet1!D:D, 0))</f>
        <v>73780</v>
      </c>
      <c r="I1205">
        <f>+INDEX(Sheet1!G:G, MATCH(Hoja1!G1205, Sheet1!I:I, 0))</f>
        <v>99041</v>
      </c>
      <c r="J1205" s="2">
        <f>+INDEX(Sheet1!H:H, MATCH(Hoja1!G1205, Sheet1!I:I, 0))</f>
        <v>-7.6449841689711839E-3</v>
      </c>
      <c r="K1205" s="2">
        <f>+INDEX(Sheet1!L:L, MATCH(Hoja1!G1205,Sheet1!M:M, 0))</f>
        <v>9.6999999999999993</v>
      </c>
    </row>
    <row r="1206" spans="1:11" ht="16" x14ac:dyDescent="0.25">
      <c r="A1206" t="s">
        <v>981</v>
      </c>
      <c r="B1206">
        <v>5</v>
      </c>
      <c r="C1206">
        <v>2022</v>
      </c>
      <c r="D1206" t="s">
        <v>739</v>
      </c>
      <c r="E1206">
        <v>1.9</v>
      </c>
      <c r="F1206">
        <v>778912</v>
      </c>
      <c r="G1206" s="1" t="str">
        <f t="shared" si="18"/>
        <v>North Dakota2022</v>
      </c>
      <c r="H1206">
        <f>+INDEX(Sheet1!C:C, MATCH(Hoja1!G1206, Sheet1!D:D, 0))</f>
        <v>73780</v>
      </c>
      <c r="I1206">
        <f>+INDEX(Sheet1!G:G, MATCH(Hoja1!G1206, Sheet1!I:I, 0))</f>
        <v>99041</v>
      </c>
      <c r="J1206" s="2">
        <f>+INDEX(Sheet1!H:H, MATCH(Hoja1!G1206, Sheet1!I:I, 0))</f>
        <v>-7.6449841689711839E-3</v>
      </c>
      <c r="K1206" s="2">
        <f>+INDEX(Sheet1!L:L, MATCH(Hoja1!G1206,Sheet1!M:M, 0))</f>
        <v>9.6999999999999993</v>
      </c>
    </row>
    <row r="1207" spans="1:11" ht="16" x14ac:dyDescent="0.25">
      <c r="A1207" t="s">
        <v>981</v>
      </c>
      <c r="B1207">
        <v>6</v>
      </c>
      <c r="C1207">
        <v>2022</v>
      </c>
      <c r="D1207" t="s">
        <v>989</v>
      </c>
      <c r="E1207">
        <v>1.9</v>
      </c>
      <c r="F1207">
        <v>778912</v>
      </c>
      <c r="G1207" s="1" t="str">
        <f t="shared" si="18"/>
        <v>North Dakota2022</v>
      </c>
      <c r="H1207">
        <f>+INDEX(Sheet1!C:C, MATCH(Hoja1!G1207, Sheet1!D:D, 0))</f>
        <v>73780</v>
      </c>
      <c r="I1207">
        <f>+INDEX(Sheet1!G:G, MATCH(Hoja1!G1207, Sheet1!I:I, 0))</f>
        <v>99041</v>
      </c>
      <c r="J1207" s="2">
        <f>+INDEX(Sheet1!H:H, MATCH(Hoja1!G1207, Sheet1!I:I, 0))</f>
        <v>-7.6449841689711839E-3</v>
      </c>
      <c r="K1207" s="2">
        <f>+INDEX(Sheet1!L:L, MATCH(Hoja1!G1207,Sheet1!M:M, 0))</f>
        <v>9.6999999999999993</v>
      </c>
    </row>
    <row r="1208" spans="1:11" ht="16" x14ac:dyDescent="0.25">
      <c r="A1208" t="s">
        <v>981</v>
      </c>
      <c r="B1208">
        <v>7</v>
      </c>
      <c r="C1208">
        <v>2022</v>
      </c>
      <c r="D1208" t="s">
        <v>990</v>
      </c>
      <c r="E1208">
        <v>1.9</v>
      </c>
      <c r="F1208">
        <v>778912</v>
      </c>
      <c r="G1208" s="1" t="str">
        <f t="shared" si="18"/>
        <v>North Dakota2022</v>
      </c>
      <c r="H1208">
        <f>+INDEX(Sheet1!C:C, MATCH(Hoja1!G1208, Sheet1!D:D, 0))</f>
        <v>73780</v>
      </c>
      <c r="I1208">
        <f>+INDEX(Sheet1!G:G, MATCH(Hoja1!G1208, Sheet1!I:I, 0))</f>
        <v>99041</v>
      </c>
      <c r="J1208" s="2">
        <f>+INDEX(Sheet1!H:H, MATCH(Hoja1!G1208, Sheet1!I:I, 0))</f>
        <v>-7.6449841689711839E-3</v>
      </c>
      <c r="K1208" s="2">
        <f>+INDEX(Sheet1!L:L, MATCH(Hoja1!G1208,Sheet1!M:M, 0))</f>
        <v>9.6999999999999993</v>
      </c>
    </row>
    <row r="1209" spans="1:11" ht="16" x14ac:dyDescent="0.25">
      <c r="A1209" t="s">
        <v>981</v>
      </c>
      <c r="B1209">
        <v>8</v>
      </c>
      <c r="C1209">
        <v>2022</v>
      </c>
      <c r="D1209" t="s">
        <v>785</v>
      </c>
      <c r="E1209">
        <v>2</v>
      </c>
      <c r="F1209">
        <v>778912</v>
      </c>
      <c r="G1209" s="1" t="str">
        <f t="shared" si="18"/>
        <v>North Dakota2022</v>
      </c>
      <c r="H1209">
        <f>+INDEX(Sheet1!C:C, MATCH(Hoja1!G1209, Sheet1!D:D, 0))</f>
        <v>73780</v>
      </c>
      <c r="I1209">
        <f>+INDEX(Sheet1!G:G, MATCH(Hoja1!G1209, Sheet1!I:I, 0))</f>
        <v>99041</v>
      </c>
      <c r="J1209" s="2">
        <f>+INDEX(Sheet1!H:H, MATCH(Hoja1!G1209, Sheet1!I:I, 0))</f>
        <v>-7.6449841689711839E-3</v>
      </c>
      <c r="K1209" s="2">
        <f>+INDEX(Sheet1!L:L, MATCH(Hoja1!G1209,Sheet1!M:M, 0))</f>
        <v>9.6999999999999993</v>
      </c>
    </row>
    <row r="1210" spans="1:11" ht="16" x14ac:dyDescent="0.25">
      <c r="A1210" t="s">
        <v>981</v>
      </c>
      <c r="B1210">
        <v>9</v>
      </c>
      <c r="C1210">
        <v>2022</v>
      </c>
      <c r="D1210" t="s">
        <v>801</v>
      </c>
      <c r="E1210">
        <v>2</v>
      </c>
      <c r="F1210">
        <v>778912</v>
      </c>
      <c r="G1210" s="1" t="str">
        <f t="shared" si="18"/>
        <v>North Dakota2022</v>
      </c>
      <c r="H1210">
        <f>+INDEX(Sheet1!C:C, MATCH(Hoja1!G1210, Sheet1!D:D, 0))</f>
        <v>73780</v>
      </c>
      <c r="I1210">
        <f>+INDEX(Sheet1!G:G, MATCH(Hoja1!G1210, Sheet1!I:I, 0))</f>
        <v>99041</v>
      </c>
      <c r="J1210" s="2">
        <f>+INDEX(Sheet1!H:H, MATCH(Hoja1!G1210, Sheet1!I:I, 0))</f>
        <v>-7.6449841689711839E-3</v>
      </c>
      <c r="K1210" s="2">
        <f>+INDEX(Sheet1!L:L, MATCH(Hoja1!G1210,Sheet1!M:M, 0))</f>
        <v>9.6999999999999993</v>
      </c>
    </row>
    <row r="1211" spans="1:11" ht="16" x14ac:dyDescent="0.25">
      <c r="A1211" t="s">
        <v>981</v>
      </c>
      <c r="B1211">
        <v>10</v>
      </c>
      <c r="C1211">
        <v>2022</v>
      </c>
      <c r="D1211" t="s">
        <v>692</v>
      </c>
      <c r="E1211">
        <v>2</v>
      </c>
      <c r="F1211">
        <v>778912</v>
      </c>
      <c r="G1211" s="1" t="str">
        <f t="shared" si="18"/>
        <v>North Dakota2022</v>
      </c>
      <c r="H1211">
        <f>+INDEX(Sheet1!C:C, MATCH(Hoja1!G1211, Sheet1!D:D, 0))</f>
        <v>73780</v>
      </c>
      <c r="I1211">
        <f>+INDEX(Sheet1!G:G, MATCH(Hoja1!G1211, Sheet1!I:I, 0))</f>
        <v>99041</v>
      </c>
      <c r="J1211" s="2">
        <f>+INDEX(Sheet1!H:H, MATCH(Hoja1!G1211, Sheet1!I:I, 0))</f>
        <v>-7.6449841689711839E-3</v>
      </c>
      <c r="K1211" s="2">
        <f>+INDEX(Sheet1!L:L, MATCH(Hoja1!G1211,Sheet1!M:M, 0))</f>
        <v>9.6999999999999993</v>
      </c>
    </row>
    <row r="1212" spans="1:11" ht="16" x14ac:dyDescent="0.25">
      <c r="A1212" t="s">
        <v>981</v>
      </c>
      <c r="B1212">
        <v>11</v>
      </c>
      <c r="C1212">
        <v>2022</v>
      </c>
      <c r="D1212" t="s">
        <v>991</v>
      </c>
      <c r="E1212">
        <v>2</v>
      </c>
      <c r="F1212">
        <v>778912</v>
      </c>
      <c r="G1212" s="1" t="str">
        <f t="shared" si="18"/>
        <v>North Dakota2022</v>
      </c>
      <c r="H1212">
        <f>+INDEX(Sheet1!C:C, MATCH(Hoja1!G1212, Sheet1!D:D, 0))</f>
        <v>73780</v>
      </c>
      <c r="I1212">
        <f>+INDEX(Sheet1!G:G, MATCH(Hoja1!G1212, Sheet1!I:I, 0))</f>
        <v>99041</v>
      </c>
      <c r="J1212" s="2">
        <f>+INDEX(Sheet1!H:H, MATCH(Hoja1!G1212, Sheet1!I:I, 0))</f>
        <v>-7.6449841689711839E-3</v>
      </c>
      <c r="K1212" s="2">
        <f>+INDEX(Sheet1!L:L, MATCH(Hoja1!G1212,Sheet1!M:M, 0))</f>
        <v>9.6999999999999993</v>
      </c>
    </row>
    <row r="1213" spans="1:11" ht="16" x14ac:dyDescent="0.25">
      <c r="A1213" t="s">
        <v>981</v>
      </c>
      <c r="B1213">
        <v>12</v>
      </c>
      <c r="C1213">
        <v>2022</v>
      </c>
      <c r="D1213" t="s">
        <v>989</v>
      </c>
      <c r="E1213">
        <v>2</v>
      </c>
      <c r="F1213">
        <v>778912</v>
      </c>
      <c r="G1213" s="1" t="str">
        <f t="shared" si="18"/>
        <v>North Dakota2022</v>
      </c>
      <c r="H1213">
        <f>+INDEX(Sheet1!C:C, MATCH(Hoja1!G1213, Sheet1!D:D, 0))</f>
        <v>73780</v>
      </c>
      <c r="I1213">
        <f>+INDEX(Sheet1!G:G, MATCH(Hoja1!G1213, Sheet1!I:I, 0))</f>
        <v>99041</v>
      </c>
      <c r="J1213" s="2">
        <f>+INDEX(Sheet1!H:H, MATCH(Hoja1!G1213, Sheet1!I:I, 0))</f>
        <v>-7.6449841689711839E-3</v>
      </c>
      <c r="K1213" s="2">
        <f>+INDEX(Sheet1!L:L, MATCH(Hoja1!G1213,Sheet1!M:M, 0))</f>
        <v>9.6999999999999993</v>
      </c>
    </row>
    <row r="1214" spans="1:11" ht="16" x14ac:dyDescent="0.25">
      <c r="A1214" t="s">
        <v>981</v>
      </c>
      <c r="B1214">
        <v>1</v>
      </c>
      <c r="C1214">
        <v>2023</v>
      </c>
      <c r="D1214" t="s">
        <v>674</v>
      </c>
      <c r="E1214">
        <v>2</v>
      </c>
      <c r="F1214">
        <v>783926</v>
      </c>
      <c r="G1214" s="1" t="str">
        <f t="shared" si="18"/>
        <v>North Dakota2023</v>
      </c>
      <c r="H1214">
        <f>+INDEX(Sheet1!C:C, MATCH(Hoja1!G1214, Sheet1!D:D, 0))</f>
        <v>76043.3</v>
      </c>
      <c r="I1214">
        <f>+INDEX(Sheet1!G:G, MATCH(Hoja1!G1214, Sheet1!I:I, 0))</f>
        <v>106755</v>
      </c>
      <c r="J1214" s="2">
        <f>+INDEX(Sheet1!H:H, MATCH(Hoja1!G1214, Sheet1!I:I, 0))</f>
        <v>7.7886935713492395E-2</v>
      </c>
      <c r="K1214" s="2">
        <f>+INDEX(Sheet1!L:L, MATCH(Hoja1!G1214,Sheet1!M:M, 0))</f>
        <v>9.9</v>
      </c>
    </row>
    <row r="1215" spans="1:11" ht="16" x14ac:dyDescent="0.25">
      <c r="A1215" t="s">
        <v>981</v>
      </c>
      <c r="B1215">
        <v>2</v>
      </c>
      <c r="C1215">
        <v>2023</v>
      </c>
      <c r="D1215" t="s">
        <v>992</v>
      </c>
      <c r="E1215">
        <v>2</v>
      </c>
      <c r="F1215">
        <v>783926</v>
      </c>
      <c r="G1215" s="1" t="str">
        <f t="shared" si="18"/>
        <v>North Dakota2023</v>
      </c>
      <c r="H1215">
        <f>+INDEX(Sheet1!C:C, MATCH(Hoja1!G1215, Sheet1!D:D, 0))</f>
        <v>76043.3</v>
      </c>
      <c r="I1215">
        <f>+INDEX(Sheet1!G:G, MATCH(Hoja1!G1215, Sheet1!I:I, 0))</f>
        <v>106755</v>
      </c>
      <c r="J1215" s="2">
        <f>+INDEX(Sheet1!H:H, MATCH(Hoja1!G1215, Sheet1!I:I, 0))</f>
        <v>7.7886935713492395E-2</v>
      </c>
      <c r="K1215" s="2">
        <f>+INDEX(Sheet1!L:L, MATCH(Hoja1!G1215,Sheet1!M:M, 0))</f>
        <v>9.9</v>
      </c>
    </row>
    <row r="1216" spans="1:11" ht="16" x14ac:dyDescent="0.25">
      <c r="A1216" t="s">
        <v>981</v>
      </c>
      <c r="B1216">
        <v>3</v>
      </c>
      <c r="C1216">
        <v>2023</v>
      </c>
      <c r="D1216" t="s">
        <v>541</v>
      </c>
      <c r="E1216">
        <v>1.9</v>
      </c>
      <c r="F1216">
        <v>783926</v>
      </c>
      <c r="G1216" s="1" t="str">
        <f t="shared" si="18"/>
        <v>North Dakota2023</v>
      </c>
      <c r="H1216">
        <f>+INDEX(Sheet1!C:C, MATCH(Hoja1!G1216, Sheet1!D:D, 0))</f>
        <v>76043.3</v>
      </c>
      <c r="I1216">
        <f>+INDEX(Sheet1!G:G, MATCH(Hoja1!G1216, Sheet1!I:I, 0))</f>
        <v>106755</v>
      </c>
      <c r="J1216" s="2">
        <f>+INDEX(Sheet1!H:H, MATCH(Hoja1!G1216, Sheet1!I:I, 0))</f>
        <v>7.7886935713492395E-2</v>
      </c>
      <c r="K1216" s="2">
        <f>+INDEX(Sheet1!L:L, MATCH(Hoja1!G1216,Sheet1!M:M, 0))</f>
        <v>9.9</v>
      </c>
    </row>
    <row r="1217" spans="1:11" ht="16" x14ac:dyDescent="0.25">
      <c r="A1217" t="s">
        <v>981</v>
      </c>
      <c r="B1217">
        <v>4</v>
      </c>
      <c r="C1217">
        <v>2023</v>
      </c>
      <c r="D1217" t="s">
        <v>993</v>
      </c>
      <c r="E1217">
        <v>1.9</v>
      </c>
      <c r="F1217">
        <v>783926</v>
      </c>
      <c r="G1217" s="1" t="str">
        <f t="shared" si="18"/>
        <v>North Dakota2023</v>
      </c>
      <c r="H1217">
        <f>+INDEX(Sheet1!C:C, MATCH(Hoja1!G1217, Sheet1!D:D, 0))</f>
        <v>76043.3</v>
      </c>
      <c r="I1217">
        <f>+INDEX(Sheet1!G:G, MATCH(Hoja1!G1217, Sheet1!I:I, 0))</f>
        <v>106755</v>
      </c>
      <c r="J1217" s="2">
        <f>+INDEX(Sheet1!H:H, MATCH(Hoja1!G1217, Sheet1!I:I, 0))</f>
        <v>7.7886935713492395E-2</v>
      </c>
      <c r="K1217" s="2">
        <f>+INDEX(Sheet1!L:L, MATCH(Hoja1!G1217,Sheet1!M:M, 0))</f>
        <v>9.9</v>
      </c>
    </row>
    <row r="1218" spans="1:11" ht="16" x14ac:dyDescent="0.25">
      <c r="A1218" t="s">
        <v>981</v>
      </c>
      <c r="B1218">
        <v>5</v>
      </c>
      <c r="C1218">
        <v>2023</v>
      </c>
      <c r="D1218" t="s">
        <v>207</v>
      </c>
      <c r="E1218">
        <v>1.8</v>
      </c>
      <c r="F1218">
        <v>783926</v>
      </c>
      <c r="G1218" s="1" t="str">
        <f t="shared" si="18"/>
        <v>North Dakota2023</v>
      </c>
      <c r="H1218">
        <f>+INDEX(Sheet1!C:C, MATCH(Hoja1!G1218, Sheet1!D:D, 0))</f>
        <v>76043.3</v>
      </c>
      <c r="I1218">
        <f>+INDEX(Sheet1!G:G, MATCH(Hoja1!G1218, Sheet1!I:I, 0))</f>
        <v>106755</v>
      </c>
      <c r="J1218" s="2">
        <f>+INDEX(Sheet1!H:H, MATCH(Hoja1!G1218, Sheet1!I:I, 0))</f>
        <v>7.7886935713492395E-2</v>
      </c>
      <c r="K1218" s="2">
        <f>+INDEX(Sheet1!L:L, MATCH(Hoja1!G1218,Sheet1!M:M, 0))</f>
        <v>9.9</v>
      </c>
    </row>
    <row r="1219" spans="1:11" ht="16" x14ac:dyDescent="0.25">
      <c r="A1219" t="s">
        <v>981</v>
      </c>
      <c r="B1219">
        <v>6</v>
      </c>
      <c r="C1219">
        <v>2023</v>
      </c>
      <c r="D1219" t="s">
        <v>692</v>
      </c>
      <c r="E1219">
        <v>1.8</v>
      </c>
      <c r="F1219">
        <v>783926</v>
      </c>
      <c r="G1219" s="1" t="str">
        <f t="shared" ref="G1219:G1282" si="19">+A1219&amp;C1219</f>
        <v>North Dakota2023</v>
      </c>
      <c r="H1219">
        <f>+INDEX(Sheet1!C:C, MATCH(Hoja1!G1219, Sheet1!D:D, 0))</f>
        <v>76043.3</v>
      </c>
      <c r="I1219">
        <f>+INDEX(Sheet1!G:G, MATCH(Hoja1!G1219, Sheet1!I:I, 0))</f>
        <v>106755</v>
      </c>
      <c r="J1219" s="2">
        <f>+INDEX(Sheet1!H:H, MATCH(Hoja1!G1219, Sheet1!I:I, 0))</f>
        <v>7.7886935713492395E-2</v>
      </c>
      <c r="K1219" s="2">
        <f>+INDEX(Sheet1!L:L, MATCH(Hoja1!G1219,Sheet1!M:M, 0))</f>
        <v>9.9</v>
      </c>
    </row>
    <row r="1220" spans="1:11" ht="16" x14ac:dyDescent="0.25">
      <c r="A1220" t="s">
        <v>981</v>
      </c>
      <c r="B1220">
        <v>7</v>
      </c>
      <c r="C1220">
        <v>2023</v>
      </c>
      <c r="D1220" t="s">
        <v>994</v>
      </c>
      <c r="E1220">
        <v>1.8</v>
      </c>
      <c r="F1220">
        <v>783926</v>
      </c>
      <c r="G1220" s="1" t="str">
        <f t="shared" si="19"/>
        <v>North Dakota2023</v>
      </c>
      <c r="H1220">
        <f>+INDEX(Sheet1!C:C, MATCH(Hoja1!G1220, Sheet1!D:D, 0))</f>
        <v>76043.3</v>
      </c>
      <c r="I1220">
        <f>+INDEX(Sheet1!G:G, MATCH(Hoja1!G1220, Sheet1!I:I, 0))</f>
        <v>106755</v>
      </c>
      <c r="J1220" s="2">
        <f>+INDEX(Sheet1!H:H, MATCH(Hoja1!G1220, Sheet1!I:I, 0))</f>
        <v>7.7886935713492395E-2</v>
      </c>
      <c r="K1220" s="2">
        <f>+INDEX(Sheet1!L:L, MATCH(Hoja1!G1220,Sheet1!M:M, 0))</f>
        <v>9.9</v>
      </c>
    </row>
    <row r="1221" spans="1:11" ht="16" x14ac:dyDescent="0.25">
      <c r="A1221" t="s">
        <v>981</v>
      </c>
      <c r="B1221">
        <v>8</v>
      </c>
      <c r="C1221">
        <v>2023</v>
      </c>
      <c r="D1221" t="s">
        <v>995</v>
      </c>
      <c r="E1221">
        <v>1.8</v>
      </c>
      <c r="F1221">
        <v>783926</v>
      </c>
      <c r="G1221" s="1" t="str">
        <f t="shared" si="19"/>
        <v>North Dakota2023</v>
      </c>
      <c r="H1221">
        <f>+INDEX(Sheet1!C:C, MATCH(Hoja1!G1221, Sheet1!D:D, 0))</f>
        <v>76043.3</v>
      </c>
      <c r="I1221">
        <f>+INDEX(Sheet1!G:G, MATCH(Hoja1!G1221, Sheet1!I:I, 0))</f>
        <v>106755</v>
      </c>
      <c r="J1221" s="2">
        <f>+INDEX(Sheet1!H:H, MATCH(Hoja1!G1221, Sheet1!I:I, 0))</f>
        <v>7.7886935713492395E-2</v>
      </c>
      <c r="K1221" s="2">
        <f>+INDEX(Sheet1!L:L, MATCH(Hoja1!G1221,Sheet1!M:M, 0))</f>
        <v>9.9</v>
      </c>
    </row>
    <row r="1222" spans="1:11" ht="16" x14ac:dyDescent="0.25">
      <c r="A1222" t="s">
        <v>981</v>
      </c>
      <c r="B1222">
        <v>9</v>
      </c>
      <c r="C1222">
        <v>2023</v>
      </c>
      <c r="D1222" t="s">
        <v>314</v>
      </c>
      <c r="E1222">
        <v>1.9</v>
      </c>
      <c r="F1222">
        <v>783926</v>
      </c>
      <c r="G1222" s="1" t="str">
        <f t="shared" si="19"/>
        <v>North Dakota2023</v>
      </c>
      <c r="H1222">
        <f>+INDEX(Sheet1!C:C, MATCH(Hoja1!G1222, Sheet1!D:D, 0))</f>
        <v>76043.3</v>
      </c>
      <c r="I1222">
        <f>+INDEX(Sheet1!G:G, MATCH(Hoja1!G1222, Sheet1!I:I, 0))</f>
        <v>106755</v>
      </c>
      <c r="J1222" s="2">
        <f>+INDEX(Sheet1!H:H, MATCH(Hoja1!G1222, Sheet1!I:I, 0))</f>
        <v>7.7886935713492395E-2</v>
      </c>
      <c r="K1222" s="2">
        <f>+INDEX(Sheet1!L:L, MATCH(Hoja1!G1222,Sheet1!M:M, 0))</f>
        <v>9.9</v>
      </c>
    </row>
    <row r="1223" spans="1:11" ht="16" x14ac:dyDescent="0.25">
      <c r="A1223" t="s">
        <v>981</v>
      </c>
      <c r="B1223">
        <v>10</v>
      </c>
      <c r="C1223">
        <v>2023</v>
      </c>
      <c r="D1223" t="s">
        <v>996</v>
      </c>
      <c r="E1223">
        <v>1.9</v>
      </c>
      <c r="F1223">
        <v>783926</v>
      </c>
      <c r="G1223" s="1" t="str">
        <f t="shared" si="19"/>
        <v>North Dakota2023</v>
      </c>
      <c r="H1223">
        <f>+INDEX(Sheet1!C:C, MATCH(Hoja1!G1223, Sheet1!D:D, 0))</f>
        <v>76043.3</v>
      </c>
      <c r="I1223">
        <f>+INDEX(Sheet1!G:G, MATCH(Hoja1!G1223, Sheet1!I:I, 0))</f>
        <v>106755</v>
      </c>
      <c r="J1223" s="2">
        <f>+INDEX(Sheet1!H:H, MATCH(Hoja1!G1223, Sheet1!I:I, 0))</f>
        <v>7.7886935713492395E-2</v>
      </c>
      <c r="K1223" s="2">
        <f>+INDEX(Sheet1!L:L, MATCH(Hoja1!G1223,Sheet1!M:M, 0))</f>
        <v>9.9</v>
      </c>
    </row>
    <row r="1224" spans="1:11" ht="16" x14ac:dyDescent="0.25">
      <c r="A1224" t="s">
        <v>981</v>
      </c>
      <c r="B1224">
        <v>11</v>
      </c>
      <c r="C1224">
        <v>2023</v>
      </c>
      <c r="D1224" t="s">
        <v>997</v>
      </c>
      <c r="E1224">
        <v>1.9</v>
      </c>
      <c r="F1224">
        <v>783926</v>
      </c>
      <c r="G1224" s="1" t="str">
        <f t="shared" si="19"/>
        <v>North Dakota2023</v>
      </c>
      <c r="H1224">
        <f>+INDEX(Sheet1!C:C, MATCH(Hoja1!G1224, Sheet1!D:D, 0))</f>
        <v>76043.3</v>
      </c>
      <c r="I1224">
        <f>+INDEX(Sheet1!G:G, MATCH(Hoja1!G1224, Sheet1!I:I, 0))</f>
        <v>106755</v>
      </c>
      <c r="J1224" s="2">
        <f>+INDEX(Sheet1!H:H, MATCH(Hoja1!G1224, Sheet1!I:I, 0))</f>
        <v>7.7886935713492395E-2</v>
      </c>
      <c r="K1224" s="2">
        <f>+INDEX(Sheet1!L:L, MATCH(Hoja1!G1224,Sheet1!M:M, 0))</f>
        <v>9.9</v>
      </c>
    </row>
    <row r="1225" spans="1:11" ht="16" x14ac:dyDescent="0.25">
      <c r="A1225" t="s">
        <v>981</v>
      </c>
      <c r="B1225">
        <v>12</v>
      </c>
      <c r="C1225">
        <v>2023</v>
      </c>
      <c r="D1225" t="s">
        <v>998</v>
      </c>
      <c r="E1225">
        <v>1.9</v>
      </c>
      <c r="F1225">
        <v>783926</v>
      </c>
      <c r="G1225" s="1" t="str">
        <f t="shared" si="19"/>
        <v>North Dakota2023</v>
      </c>
      <c r="H1225">
        <f>+INDEX(Sheet1!C:C, MATCH(Hoja1!G1225, Sheet1!D:D, 0))</f>
        <v>76043.3</v>
      </c>
      <c r="I1225">
        <f>+INDEX(Sheet1!G:G, MATCH(Hoja1!G1225, Sheet1!I:I, 0))</f>
        <v>106755</v>
      </c>
      <c r="J1225" s="2">
        <f>+INDEX(Sheet1!H:H, MATCH(Hoja1!G1225, Sheet1!I:I, 0))</f>
        <v>7.7886935713492395E-2</v>
      </c>
      <c r="K1225" s="2">
        <f>+INDEX(Sheet1!L:L, MATCH(Hoja1!G1225,Sheet1!M:M, 0))</f>
        <v>9.9</v>
      </c>
    </row>
    <row r="1226" spans="1:11" ht="16" x14ac:dyDescent="0.25">
      <c r="A1226" t="s">
        <v>999</v>
      </c>
      <c r="B1226">
        <v>1</v>
      </c>
      <c r="C1226">
        <v>2021</v>
      </c>
      <c r="D1226" t="s">
        <v>1000</v>
      </c>
      <c r="E1226">
        <v>6</v>
      </c>
      <c r="F1226">
        <v>11765227</v>
      </c>
      <c r="G1226" s="1" t="str">
        <f t="shared" si="19"/>
        <v>Ohio2021</v>
      </c>
      <c r="H1226">
        <f>+INDEX(Sheet1!C:C, MATCH(Hoja1!G1226, Sheet1!D:D, 0))</f>
        <v>763595.8</v>
      </c>
      <c r="I1226">
        <f>+INDEX(Sheet1!G:G, MATCH(Hoja1!G1226, Sheet1!I:I, 0))</f>
        <v>105871</v>
      </c>
      <c r="J1226" s="2">
        <f>+INDEX(Sheet1!H:H, MATCH(Hoja1!G1226, Sheet1!I:I, 0))</f>
        <v>5.3767828882540884E-2</v>
      </c>
      <c r="K1226" s="2">
        <f>+INDEX(Sheet1!L:L, MATCH(Hoja1!G1226,Sheet1!M:M, 0))</f>
        <v>11.6</v>
      </c>
    </row>
    <row r="1227" spans="1:11" ht="16" x14ac:dyDescent="0.25">
      <c r="A1227" t="s">
        <v>999</v>
      </c>
      <c r="B1227">
        <v>2</v>
      </c>
      <c r="C1227">
        <v>2021</v>
      </c>
      <c r="D1227" t="s">
        <v>1001</v>
      </c>
      <c r="E1227">
        <v>5.9</v>
      </c>
      <c r="F1227">
        <v>11765227</v>
      </c>
      <c r="G1227" s="1" t="str">
        <f t="shared" si="19"/>
        <v>Ohio2021</v>
      </c>
      <c r="H1227">
        <f>+INDEX(Sheet1!C:C, MATCH(Hoja1!G1227, Sheet1!D:D, 0))</f>
        <v>763595.8</v>
      </c>
      <c r="I1227">
        <f>+INDEX(Sheet1!G:G, MATCH(Hoja1!G1227, Sheet1!I:I, 0))</f>
        <v>105871</v>
      </c>
      <c r="J1227" s="2">
        <f>+INDEX(Sheet1!H:H, MATCH(Hoja1!G1227, Sheet1!I:I, 0))</f>
        <v>5.3767828882540884E-2</v>
      </c>
      <c r="K1227" s="2">
        <f>+INDEX(Sheet1!L:L, MATCH(Hoja1!G1227,Sheet1!M:M, 0))</f>
        <v>11.6</v>
      </c>
    </row>
    <row r="1228" spans="1:11" ht="16" x14ac:dyDescent="0.25">
      <c r="A1228" t="s">
        <v>999</v>
      </c>
      <c r="B1228">
        <v>3</v>
      </c>
      <c r="C1228">
        <v>2021</v>
      </c>
      <c r="D1228" t="s">
        <v>162</v>
      </c>
      <c r="E1228">
        <v>5.8</v>
      </c>
      <c r="F1228">
        <v>11765227</v>
      </c>
      <c r="G1228" s="1" t="str">
        <f t="shared" si="19"/>
        <v>Ohio2021</v>
      </c>
      <c r="H1228">
        <f>+INDEX(Sheet1!C:C, MATCH(Hoja1!G1228, Sheet1!D:D, 0))</f>
        <v>763595.8</v>
      </c>
      <c r="I1228">
        <f>+INDEX(Sheet1!G:G, MATCH(Hoja1!G1228, Sheet1!I:I, 0))</f>
        <v>105871</v>
      </c>
      <c r="J1228" s="2">
        <f>+INDEX(Sheet1!H:H, MATCH(Hoja1!G1228, Sheet1!I:I, 0))</f>
        <v>5.3767828882540884E-2</v>
      </c>
      <c r="K1228" s="2">
        <f>+INDEX(Sheet1!L:L, MATCH(Hoja1!G1228,Sheet1!M:M, 0))</f>
        <v>11.6</v>
      </c>
    </row>
    <row r="1229" spans="1:11" ht="16" x14ac:dyDescent="0.25">
      <c r="A1229" t="s">
        <v>999</v>
      </c>
      <c r="B1229">
        <v>4</v>
      </c>
      <c r="C1229">
        <v>2021</v>
      </c>
      <c r="D1229" t="s">
        <v>437</v>
      </c>
      <c r="E1229">
        <v>5.7</v>
      </c>
      <c r="F1229">
        <v>11765227</v>
      </c>
      <c r="G1229" s="1" t="str">
        <f t="shared" si="19"/>
        <v>Ohio2021</v>
      </c>
      <c r="H1229">
        <f>+INDEX(Sheet1!C:C, MATCH(Hoja1!G1229, Sheet1!D:D, 0))</f>
        <v>763595.8</v>
      </c>
      <c r="I1229">
        <f>+INDEX(Sheet1!G:G, MATCH(Hoja1!G1229, Sheet1!I:I, 0))</f>
        <v>105871</v>
      </c>
      <c r="J1229" s="2">
        <f>+INDEX(Sheet1!H:H, MATCH(Hoja1!G1229, Sheet1!I:I, 0))</f>
        <v>5.3767828882540884E-2</v>
      </c>
      <c r="K1229" s="2">
        <f>+INDEX(Sheet1!L:L, MATCH(Hoja1!G1229,Sheet1!M:M, 0))</f>
        <v>11.6</v>
      </c>
    </row>
    <row r="1230" spans="1:11" ht="16" x14ac:dyDescent="0.25">
      <c r="A1230" t="s">
        <v>999</v>
      </c>
      <c r="B1230">
        <v>5</v>
      </c>
      <c r="C1230">
        <v>2021</v>
      </c>
      <c r="D1230" t="s">
        <v>653</v>
      </c>
      <c r="E1230">
        <v>5.5</v>
      </c>
      <c r="F1230">
        <v>11765227</v>
      </c>
      <c r="G1230" s="1" t="str">
        <f t="shared" si="19"/>
        <v>Ohio2021</v>
      </c>
      <c r="H1230">
        <f>+INDEX(Sheet1!C:C, MATCH(Hoja1!G1230, Sheet1!D:D, 0))</f>
        <v>763595.8</v>
      </c>
      <c r="I1230">
        <f>+INDEX(Sheet1!G:G, MATCH(Hoja1!G1230, Sheet1!I:I, 0))</f>
        <v>105871</v>
      </c>
      <c r="J1230" s="2">
        <f>+INDEX(Sheet1!H:H, MATCH(Hoja1!G1230, Sheet1!I:I, 0))</f>
        <v>5.3767828882540884E-2</v>
      </c>
      <c r="K1230" s="2">
        <f>+INDEX(Sheet1!L:L, MATCH(Hoja1!G1230,Sheet1!M:M, 0))</f>
        <v>11.6</v>
      </c>
    </row>
    <row r="1231" spans="1:11" ht="16" x14ac:dyDescent="0.25">
      <c r="A1231" t="s">
        <v>999</v>
      </c>
      <c r="B1231">
        <v>6</v>
      </c>
      <c r="C1231">
        <v>2021</v>
      </c>
      <c r="D1231" t="s">
        <v>1001</v>
      </c>
      <c r="E1231">
        <v>5.3</v>
      </c>
      <c r="F1231">
        <v>11765227</v>
      </c>
      <c r="G1231" s="1" t="str">
        <f t="shared" si="19"/>
        <v>Ohio2021</v>
      </c>
      <c r="H1231">
        <f>+INDEX(Sheet1!C:C, MATCH(Hoja1!G1231, Sheet1!D:D, 0))</f>
        <v>763595.8</v>
      </c>
      <c r="I1231">
        <f>+INDEX(Sheet1!G:G, MATCH(Hoja1!G1231, Sheet1!I:I, 0))</f>
        <v>105871</v>
      </c>
      <c r="J1231" s="2">
        <f>+INDEX(Sheet1!H:H, MATCH(Hoja1!G1231, Sheet1!I:I, 0))</f>
        <v>5.3767828882540884E-2</v>
      </c>
      <c r="K1231" s="2">
        <f>+INDEX(Sheet1!L:L, MATCH(Hoja1!G1231,Sheet1!M:M, 0))</f>
        <v>11.6</v>
      </c>
    </row>
    <row r="1232" spans="1:11" ht="16" x14ac:dyDescent="0.25">
      <c r="A1232" t="s">
        <v>999</v>
      </c>
      <c r="B1232">
        <v>7</v>
      </c>
      <c r="C1232">
        <v>2021</v>
      </c>
      <c r="D1232" t="s">
        <v>1002</v>
      </c>
      <c r="E1232">
        <v>5.0999999999999996</v>
      </c>
      <c r="F1232">
        <v>11765227</v>
      </c>
      <c r="G1232" s="1" t="str">
        <f t="shared" si="19"/>
        <v>Ohio2021</v>
      </c>
      <c r="H1232">
        <f>+INDEX(Sheet1!C:C, MATCH(Hoja1!G1232, Sheet1!D:D, 0))</f>
        <v>763595.8</v>
      </c>
      <c r="I1232">
        <f>+INDEX(Sheet1!G:G, MATCH(Hoja1!G1232, Sheet1!I:I, 0))</f>
        <v>105871</v>
      </c>
      <c r="J1232" s="2">
        <f>+INDEX(Sheet1!H:H, MATCH(Hoja1!G1232, Sheet1!I:I, 0))</f>
        <v>5.3767828882540884E-2</v>
      </c>
      <c r="K1232" s="2">
        <f>+INDEX(Sheet1!L:L, MATCH(Hoja1!G1232,Sheet1!M:M, 0))</f>
        <v>11.6</v>
      </c>
    </row>
    <row r="1233" spans="1:11" ht="16" x14ac:dyDescent="0.25">
      <c r="A1233" t="s">
        <v>999</v>
      </c>
      <c r="B1233">
        <v>8</v>
      </c>
      <c r="C1233">
        <v>2021</v>
      </c>
      <c r="D1233" t="s">
        <v>467</v>
      </c>
      <c r="E1233">
        <v>4.9000000000000004</v>
      </c>
      <c r="F1233">
        <v>11765227</v>
      </c>
      <c r="G1233" s="1" t="str">
        <f t="shared" si="19"/>
        <v>Ohio2021</v>
      </c>
      <c r="H1233">
        <f>+INDEX(Sheet1!C:C, MATCH(Hoja1!G1233, Sheet1!D:D, 0))</f>
        <v>763595.8</v>
      </c>
      <c r="I1233">
        <f>+INDEX(Sheet1!G:G, MATCH(Hoja1!G1233, Sheet1!I:I, 0))</f>
        <v>105871</v>
      </c>
      <c r="J1233" s="2">
        <f>+INDEX(Sheet1!H:H, MATCH(Hoja1!G1233, Sheet1!I:I, 0))</f>
        <v>5.3767828882540884E-2</v>
      </c>
      <c r="K1233" s="2">
        <f>+INDEX(Sheet1!L:L, MATCH(Hoja1!G1233,Sheet1!M:M, 0))</f>
        <v>11.6</v>
      </c>
    </row>
    <row r="1234" spans="1:11" ht="16" x14ac:dyDescent="0.25">
      <c r="A1234" t="s">
        <v>999</v>
      </c>
      <c r="B1234">
        <v>9</v>
      </c>
      <c r="C1234">
        <v>2021</v>
      </c>
      <c r="D1234" t="s">
        <v>160</v>
      </c>
      <c r="E1234">
        <v>4.7</v>
      </c>
      <c r="F1234">
        <v>11765227</v>
      </c>
      <c r="G1234" s="1" t="str">
        <f t="shared" si="19"/>
        <v>Ohio2021</v>
      </c>
      <c r="H1234">
        <f>+INDEX(Sheet1!C:C, MATCH(Hoja1!G1234, Sheet1!D:D, 0))</f>
        <v>763595.8</v>
      </c>
      <c r="I1234">
        <f>+INDEX(Sheet1!G:G, MATCH(Hoja1!G1234, Sheet1!I:I, 0))</f>
        <v>105871</v>
      </c>
      <c r="J1234" s="2">
        <f>+INDEX(Sheet1!H:H, MATCH(Hoja1!G1234, Sheet1!I:I, 0))</f>
        <v>5.3767828882540884E-2</v>
      </c>
      <c r="K1234" s="2">
        <f>+INDEX(Sheet1!L:L, MATCH(Hoja1!G1234,Sheet1!M:M, 0))</f>
        <v>11.6</v>
      </c>
    </row>
    <row r="1235" spans="1:11" ht="16" x14ac:dyDescent="0.25">
      <c r="A1235" t="s">
        <v>999</v>
      </c>
      <c r="B1235">
        <v>10</v>
      </c>
      <c r="C1235">
        <v>2021</v>
      </c>
      <c r="D1235" t="s">
        <v>61</v>
      </c>
      <c r="E1235">
        <v>4.5</v>
      </c>
      <c r="F1235">
        <v>11765227</v>
      </c>
      <c r="G1235" s="1" t="str">
        <f t="shared" si="19"/>
        <v>Ohio2021</v>
      </c>
      <c r="H1235">
        <f>+INDEX(Sheet1!C:C, MATCH(Hoja1!G1235, Sheet1!D:D, 0))</f>
        <v>763595.8</v>
      </c>
      <c r="I1235">
        <f>+INDEX(Sheet1!G:G, MATCH(Hoja1!G1235, Sheet1!I:I, 0))</f>
        <v>105871</v>
      </c>
      <c r="J1235" s="2">
        <f>+INDEX(Sheet1!H:H, MATCH(Hoja1!G1235, Sheet1!I:I, 0))</f>
        <v>5.3767828882540884E-2</v>
      </c>
      <c r="K1235" s="2">
        <f>+INDEX(Sheet1!L:L, MATCH(Hoja1!G1235,Sheet1!M:M, 0))</f>
        <v>11.6</v>
      </c>
    </row>
    <row r="1236" spans="1:11" ht="16" x14ac:dyDescent="0.25">
      <c r="A1236" t="s">
        <v>999</v>
      </c>
      <c r="B1236">
        <v>11</v>
      </c>
      <c r="C1236">
        <v>2021</v>
      </c>
      <c r="D1236" t="s">
        <v>851</v>
      </c>
      <c r="E1236">
        <v>4.3</v>
      </c>
      <c r="F1236">
        <v>11765227</v>
      </c>
      <c r="G1236" s="1" t="str">
        <f t="shared" si="19"/>
        <v>Ohio2021</v>
      </c>
      <c r="H1236">
        <f>+INDEX(Sheet1!C:C, MATCH(Hoja1!G1236, Sheet1!D:D, 0))</f>
        <v>763595.8</v>
      </c>
      <c r="I1236">
        <f>+INDEX(Sheet1!G:G, MATCH(Hoja1!G1236, Sheet1!I:I, 0))</f>
        <v>105871</v>
      </c>
      <c r="J1236" s="2">
        <f>+INDEX(Sheet1!H:H, MATCH(Hoja1!G1236, Sheet1!I:I, 0))</f>
        <v>5.3767828882540884E-2</v>
      </c>
      <c r="K1236" s="2">
        <f>+INDEX(Sheet1!L:L, MATCH(Hoja1!G1236,Sheet1!M:M, 0))</f>
        <v>11.6</v>
      </c>
    </row>
    <row r="1237" spans="1:11" ht="16" x14ac:dyDescent="0.25">
      <c r="A1237" t="s">
        <v>999</v>
      </c>
      <c r="B1237">
        <v>12</v>
      </c>
      <c r="C1237">
        <v>2021</v>
      </c>
      <c r="D1237" t="s">
        <v>1003</v>
      </c>
      <c r="E1237">
        <v>4.2</v>
      </c>
      <c r="F1237">
        <v>11765227</v>
      </c>
      <c r="G1237" s="1" t="str">
        <f t="shared" si="19"/>
        <v>Ohio2021</v>
      </c>
      <c r="H1237">
        <f>+INDEX(Sheet1!C:C, MATCH(Hoja1!G1237, Sheet1!D:D, 0))</f>
        <v>763595.8</v>
      </c>
      <c r="I1237">
        <f>+INDEX(Sheet1!G:G, MATCH(Hoja1!G1237, Sheet1!I:I, 0))</f>
        <v>105871</v>
      </c>
      <c r="J1237" s="2">
        <f>+INDEX(Sheet1!H:H, MATCH(Hoja1!G1237, Sheet1!I:I, 0))</f>
        <v>5.3767828882540884E-2</v>
      </c>
      <c r="K1237" s="2">
        <f>+INDEX(Sheet1!L:L, MATCH(Hoja1!G1237,Sheet1!M:M, 0))</f>
        <v>11.6</v>
      </c>
    </row>
    <row r="1238" spans="1:11" ht="16" x14ac:dyDescent="0.25">
      <c r="A1238" t="s">
        <v>999</v>
      </c>
      <c r="B1238">
        <v>1</v>
      </c>
      <c r="C1238">
        <v>2022</v>
      </c>
      <c r="D1238" t="s">
        <v>293</v>
      </c>
      <c r="E1238">
        <v>4.0999999999999996</v>
      </c>
      <c r="F1238">
        <v>11759697</v>
      </c>
      <c r="G1238" s="1" t="str">
        <f t="shared" si="19"/>
        <v>Ohio2022</v>
      </c>
      <c r="H1238">
        <f>+INDEX(Sheet1!C:C, MATCH(Hoja1!G1238, Sheet1!D:D, 0))</f>
        <v>832660.7</v>
      </c>
      <c r="I1238">
        <f>+INDEX(Sheet1!G:G, MATCH(Hoja1!G1238, Sheet1!I:I, 0))</f>
        <v>106604</v>
      </c>
      <c r="J1238" s="2">
        <f>+INDEX(Sheet1!H:H, MATCH(Hoja1!G1238, Sheet1!I:I, 0))</f>
        <v>6.9235201329920374E-3</v>
      </c>
      <c r="K1238" s="2">
        <f>+INDEX(Sheet1!L:L, MATCH(Hoja1!G1238,Sheet1!M:M, 0))</f>
        <v>9.9</v>
      </c>
    </row>
    <row r="1239" spans="1:11" ht="16" x14ac:dyDescent="0.25">
      <c r="A1239" t="s">
        <v>999</v>
      </c>
      <c r="B1239">
        <v>2</v>
      </c>
      <c r="C1239">
        <v>2022</v>
      </c>
      <c r="D1239" t="s">
        <v>552</v>
      </c>
      <c r="E1239">
        <v>4</v>
      </c>
      <c r="F1239">
        <v>11759697</v>
      </c>
      <c r="G1239" s="1" t="str">
        <f t="shared" si="19"/>
        <v>Ohio2022</v>
      </c>
      <c r="H1239">
        <f>+INDEX(Sheet1!C:C, MATCH(Hoja1!G1239, Sheet1!D:D, 0))</f>
        <v>832660.7</v>
      </c>
      <c r="I1239">
        <f>+INDEX(Sheet1!G:G, MATCH(Hoja1!G1239, Sheet1!I:I, 0))</f>
        <v>106604</v>
      </c>
      <c r="J1239" s="2">
        <f>+INDEX(Sheet1!H:H, MATCH(Hoja1!G1239, Sheet1!I:I, 0))</f>
        <v>6.9235201329920374E-3</v>
      </c>
      <c r="K1239" s="2">
        <f>+INDEX(Sheet1!L:L, MATCH(Hoja1!G1239,Sheet1!M:M, 0))</f>
        <v>9.9</v>
      </c>
    </row>
    <row r="1240" spans="1:11" ht="16" x14ac:dyDescent="0.25">
      <c r="A1240" t="s">
        <v>999</v>
      </c>
      <c r="B1240">
        <v>3</v>
      </c>
      <c r="C1240">
        <v>2022</v>
      </c>
      <c r="D1240" t="s">
        <v>669</v>
      </c>
      <c r="E1240">
        <v>3.9</v>
      </c>
      <c r="F1240">
        <v>11759697</v>
      </c>
      <c r="G1240" s="1" t="str">
        <f t="shared" si="19"/>
        <v>Ohio2022</v>
      </c>
      <c r="H1240">
        <f>+INDEX(Sheet1!C:C, MATCH(Hoja1!G1240, Sheet1!D:D, 0))</f>
        <v>832660.7</v>
      </c>
      <c r="I1240">
        <f>+INDEX(Sheet1!G:G, MATCH(Hoja1!G1240, Sheet1!I:I, 0))</f>
        <v>106604</v>
      </c>
      <c r="J1240" s="2">
        <f>+INDEX(Sheet1!H:H, MATCH(Hoja1!G1240, Sheet1!I:I, 0))</f>
        <v>6.9235201329920374E-3</v>
      </c>
      <c r="K1240" s="2">
        <f>+INDEX(Sheet1!L:L, MATCH(Hoja1!G1240,Sheet1!M:M, 0))</f>
        <v>9.9</v>
      </c>
    </row>
    <row r="1241" spans="1:11" ht="16" x14ac:dyDescent="0.25">
      <c r="A1241" t="s">
        <v>999</v>
      </c>
      <c r="B1241">
        <v>4</v>
      </c>
      <c r="C1241">
        <v>2022</v>
      </c>
      <c r="D1241" t="s">
        <v>143</v>
      </c>
      <c r="E1241">
        <v>3.9</v>
      </c>
      <c r="F1241">
        <v>11759697</v>
      </c>
      <c r="G1241" s="1" t="str">
        <f t="shared" si="19"/>
        <v>Ohio2022</v>
      </c>
      <c r="H1241">
        <f>+INDEX(Sheet1!C:C, MATCH(Hoja1!G1241, Sheet1!D:D, 0))</f>
        <v>832660.7</v>
      </c>
      <c r="I1241">
        <f>+INDEX(Sheet1!G:G, MATCH(Hoja1!G1241, Sheet1!I:I, 0))</f>
        <v>106604</v>
      </c>
      <c r="J1241" s="2">
        <f>+INDEX(Sheet1!H:H, MATCH(Hoja1!G1241, Sheet1!I:I, 0))</f>
        <v>6.9235201329920374E-3</v>
      </c>
      <c r="K1241" s="2">
        <f>+INDEX(Sheet1!L:L, MATCH(Hoja1!G1241,Sheet1!M:M, 0))</f>
        <v>9.9</v>
      </c>
    </row>
    <row r="1242" spans="1:11" ht="16" x14ac:dyDescent="0.25">
      <c r="A1242" t="s">
        <v>999</v>
      </c>
      <c r="B1242">
        <v>5</v>
      </c>
      <c r="C1242">
        <v>2022</v>
      </c>
      <c r="D1242" t="s">
        <v>670</v>
      </c>
      <c r="E1242">
        <v>3.9</v>
      </c>
      <c r="F1242">
        <v>11759697</v>
      </c>
      <c r="G1242" s="1" t="str">
        <f t="shared" si="19"/>
        <v>Ohio2022</v>
      </c>
      <c r="H1242">
        <f>+INDEX(Sheet1!C:C, MATCH(Hoja1!G1242, Sheet1!D:D, 0))</f>
        <v>832660.7</v>
      </c>
      <c r="I1242">
        <f>+INDEX(Sheet1!G:G, MATCH(Hoja1!G1242, Sheet1!I:I, 0))</f>
        <v>106604</v>
      </c>
      <c r="J1242" s="2">
        <f>+INDEX(Sheet1!H:H, MATCH(Hoja1!G1242, Sheet1!I:I, 0))</f>
        <v>6.9235201329920374E-3</v>
      </c>
      <c r="K1242" s="2">
        <f>+INDEX(Sheet1!L:L, MATCH(Hoja1!G1242,Sheet1!M:M, 0))</f>
        <v>9.9</v>
      </c>
    </row>
    <row r="1243" spans="1:11" ht="16" x14ac:dyDescent="0.25">
      <c r="A1243" t="s">
        <v>999</v>
      </c>
      <c r="B1243">
        <v>6</v>
      </c>
      <c r="C1243">
        <v>2022</v>
      </c>
      <c r="D1243" t="s">
        <v>1004</v>
      </c>
      <c r="E1243">
        <v>3.9</v>
      </c>
      <c r="F1243">
        <v>11759697</v>
      </c>
      <c r="G1243" s="1" t="str">
        <f t="shared" si="19"/>
        <v>Ohio2022</v>
      </c>
      <c r="H1243">
        <f>+INDEX(Sheet1!C:C, MATCH(Hoja1!G1243, Sheet1!D:D, 0))</f>
        <v>832660.7</v>
      </c>
      <c r="I1243">
        <f>+INDEX(Sheet1!G:G, MATCH(Hoja1!G1243, Sheet1!I:I, 0))</f>
        <v>106604</v>
      </c>
      <c r="J1243" s="2">
        <f>+INDEX(Sheet1!H:H, MATCH(Hoja1!G1243, Sheet1!I:I, 0))</f>
        <v>6.9235201329920374E-3</v>
      </c>
      <c r="K1243" s="2">
        <f>+INDEX(Sheet1!L:L, MATCH(Hoja1!G1243,Sheet1!M:M, 0))</f>
        <v>9.9</v>
      </c>
    </row>
    <row r="1244" spans="1:11" ht="16" x14ac:dyDescent="0.25">
      <c r="A1244" t="s">
        <v>999</v>
      </c>
      <c r="B1244">
        <v>7</v>
      </c>
      <c r="C1244">
        <v>2022</v>
      </c>
      <c r="D1244" t="s">
        <v>478</v>
      </c>
      <c r="E1244">
        <v>4</v>
      </c>
      <c r="F1244">
        <v>11759697</v>
      </c>
      <c r="G1244" s="1" t="str">
        <f t="shared" si="19"/>
        <v>Ohio2022</v>
      </c>
      <c r="H1244">
        <f>+INDEX(Sheet1!C:C, MATCH(Hoja1!G1244, Sheet1!D:D, 0))</f>
        <v>832660.7</v>
      </c>
      <c r="I1244">
        <f>+INDEX(Sheet1!G:G, MATCH(Hoja1!G1244, Sheet1!I:I, 0))</f>
        <v>106604</v>
      </c>
      <c r="J1244" s="2">
        <f>+INDEX(Sheet1!H:H, MATCH(Hoja1!G1244, Sheet1!I:I, 0))</f>
        <v>6.9235201329920374E-3</v>
      </c>
      <c r="K1244" s="2">
        <f>+INDEX(Sheet1!L:L, MATCH(Hoja1!G1244,Sheet1!M:M, 0))</f>
        <v>9.9</v>
      </c>
    </row>
    <row r="1245" spans="1:11" ht="16" x14ac:dyDescent="0.25">
      <c r="A1245" t="s">
        <v>999</v>
      </c>
      <c r="B1245">
        <v>8</v>
      </c>
      <c r="C1245">
        <v>2022</v>
      </c>
      <c r="D1245" t="s">
        <v>1005</v>
      </c>
      <c r="E1245">
        <v>4.0999999999999996</v>
      </c>
      <c r="F1245">
        <v>11759697</v>
      </c>
      <c r="G1245" s="1" t="str">
        <f t="shared" si="19"/>
        <v>Ohio2022</v>
      </c>
      <c r="H1245">
        <f>+INDEX(Sheet1!C:C, MATCH(Hoja1!G1245, Sheet1!D:D, 0))</f>
        <v>832660.7</v>
      </c>
      <c r="I1245">
        <f>+INDEX(Sheet1!G:G, MATCH(Hoja1!G1245, Sheet1!I:I, 0))</f>
        <v>106604</v>
      </c>
      <c r="J1245" s="2">
        <f>+INDEX(Sheet1!H:H, MATCH(Hoja1!G1245, Sheet1!I:I, 0))</f>
        <v>6.9235201329920374E-3</v>
      </c>
      <c r="K1245" s="2">
        <f>+INDEX(Sheet1!L:L, MATCH(Hoja1!G1245,Sheet1!M:M, 0))</f>
        <v>9.9</v>
      </c>
    </row>
    <row r="1246" spans="1:11" ht="16" x14ac:dyDescent="0.25">
      <c r="A1246" t="s">
        <v>999</v>
      </c>
      <c r="B1246">
        <v>9</v>
      </c>
      <c r="C1246">
        <v>2022</v>
      </c>
      <c r="D1246" t="s">
        <v>1006</v>
      </c>
      <c r="E1246">
        <v>4.0999999999999996</v>
      </c>
      <c r="F1246">
        <v>11759697</v>
      </c>
      <c r="G1246" s="1" t="str">
        <f t="shared" si="19"/>
        <v>Ohio2022</v>
      </c>
      <c r="H1246">
        <f>+INDEX(Sheet1!C:C, MATCH(Hoja1!G1246, Sheet1!D:D, 0))</f>
        <v>832660.7</v>
      </c>
      <c r="I1246">
        <f>+INDEX(Sheet1!G:G, MATCH(Hoja1!G1246, Sheet1!I:I, 0))</f>
        <v>106604</v>
      </c>
      <c r="J1246" s="2">
        <f>+INDEX(Sheet1!H:H, MATCH(Hoja1!G1246, Sheet1!I:I, 0))</f>
        <v>6.9235201329920374E-3</v>
      </c>
      <c r="K1246" s="2">
        <f>+INDEX(Sheet1!L:L, MATCH(Hoja1!G1246,Sheet1!M:M, 0))</f>
        <v>9.9</v>
      </c>
    </row>
    <row r="1247" spans="1:11" ht="16" x14ac:dyDescent="0.25">
      <c r="A1247" t="s">
        <v>999</v>
      </c>
      <c r="B1247">
        <v>10</v>
      </c>
      <c r="C1247">
        <v>2022</v>
      </c>
      <c r="D1247" t="s">
        <v>1007</v>
      </c>
      <c r="E1247">
        <v>4.0999999999999996</v>
      </c>
      <c r="F1247">
        <v>11759697</v>
      </c>
      <c r="G1247" s="1" t="str">
        <f t="shared" si="19"/>
        <v>Ohio2022</v>
      </c>
      <c r="H1247">
        <f>+INDEX(Sheet1!C:C, MATCH(Hoja1!G1247, Sheet1!D:D, 0))</f>
        <v>832660.7</v>
      </c>
      <c r="I1247">
        <f>+INDEX(Sheet1!G:G, MATCH(Hoja1!G1247, Sheet1!I:I, 0))</f>
        <v>106604</v>
      </c>
      <c r="J1247" s="2">
        <f>+INDEX(Sheet1!H:H, MATCH(Hoja1!G1247, Sheet1!I:I, 0))</f>
        <v>6.9235201329920374E-3</v>
      </c>
      <c r="K1247" s="2">
        <f>+INDEX(Sheet1!L:L, MATCH(Hoja1!G1247,Sheet1!M:M, 0))</f>
        <v>9.9</v>
      </c>
    </row>
    <row r="1248" spans="1:11" ht="16" x14ac:dyDescent="0.25">
      <c r="A1248" t="s">
        <v>999</v>
      </c>
      <c r="B1248">
        <v>11</v>
      </c>
      <c r="C1248">
        <v>2022</v>
      </c>
      <c r="D1248" t="s">
        <v>803</v>
      </c>
      <c r="E1248">
        <v>4</v>
      </c>
      <c r="F1248">
        <v>11759697</v>
      </c>
      <c r="G1248" s="1" t="str">
        <f t="shared" si="19"/>
        <v>Ohio2022</v>
      </c>
      <c r="H1248">
        <f>+INDEX(Sheet1!C:C, MATCH(Hoja1!G1248, Sheet1!D:D, 0))</f>
        <v>832660.7</v>
      </c>
      <c r="I1248">
        <f>+INDEX(Sheet1!G:G, MATCH(Hoja1!G1248, Sheet1!I:I, 0))</f>
        <v>106604</v>
      </c>
      <c r="J1248" s="2">
        <f>+INDEX(Sheet1!H:H, MATCH(Hoja1!G1248, Sheet1!I:I, 0))</f>
        <v>6.9235201329920374E-3</v>
      </c>
      <c r="K1248" s="2">
        <f>+INDEX(Sheet1!L:L, MATCH(Hoja1!G1248,Sheet1!M:M, 0))</f>
        <v>9.9</v>
      </c>
    </row>
    <row r="1249" spans="1:11" ht="16" x14ac:dyDescent="0.25">
      <c r="A1249" t="s">
        <v>999</v>
      </c>
      <c r="B1249">
        <v>12</v>
      </c>
      <c r="C1249">
        <v>2022</v>
      </c>
      <c r="D1249" t="s">
        <v>738</v>
      </c>
      <c r="E1249">
        <v>3.9</v>
      </c>
      <c r="F1249">
        <v>11759697</v>
      </c>
      <c r="G1249" s="1" t="str">
        <f t="shared" si="19"/>
        <v>Ohio2022</v>
      </c>
      <c r="H1249">
        <f>+INDEX(Sheet1!C:C, MATCH(Hoja1!G1249, Sheet1!D:D, 0))</f>
        <v>832660.7</v>
      </c>
      <c r="I1249">
        <f>+INDEX(Sheet1!G:G, MATCH(Hoja1!G1249, Sheet1!I:I, 0))</f>
        <v>106604</v>
      </c>
      <c r="J1249" s="2">
        <f>+INDEX(Sheet1!H:H, MATCH(Hoja1!G1249, Sheet1!I:I, 0))</f>
        <v>6.9235201329920374E-3</v>
      </c>
      <c r="K1249" s="2">
        <f>+INDEX(Sheet1!L:L, MATCH(Hoja1!G1249,Sheet1!M:M, 0))</f>
        <v>9.9</v>
      </c>
    </row>
    <row r="1250" spans="1:11" ht="16" x14ac:dyDescent="0.25">
      <c r="A1250" t="s">
        <v>999</v>
      </c>
      <c r="B1250">
        <v>1</v>
      </c>
      <c r="C1250">
        <v>2023</v>
      </c>
      <c r="D1250" t="s">
        <v>1008</v>
      </c>
      <c r="E1250">
        <v>3.8</v>
      </c>
      <c r="F1250">
        <v>11785935</v>
      </c>
      <c r="G1250" s="1" t="str">
        <f t="shared" si="19"/>
        <v>Ohio2023</v>
      </c>
      <c r="H1250">
        <f>+INDEX(Sheet1!C:C, MATCH(Hoja1!G1250, Sheet1!D:D, 0))</f>
        <v>884834.2</v>
      </c>
      <c r="I1250">
        <f>+INDEX(Sheet1!G:G, MATCH(Hoja1!G1250, Sheet1!I:I, 0))</f>
        <v>108836</v>
      </c>
      <c r="J1250" s="2">
        <f>+INDEX(Sheet1!H:H, MATCH(Hoja1!G1250, Sheet1!I:I, 0))</f>
        <v>2.0937300664140183E-2</v>
      </c>
      <c r="K1250" s="2">
        <f>+INDEX(Sheet1!L:L, MATCH(Hoja1!G1250,Sheet1!M:M, 0))</f>
        <v>11.1</v>
      </c>
    </row>
    <row r="1251" spans="1:11" ht="16" x14ac:dyDescent="0.25">
      <c r="A1251" t="s">
        <v>999</v>
      </c>
      <c r="B1251">
        <v>2</v>
      </c>
      <c r="C1251">
        <v>2023</v>
      </c>
      <c r="D1251" t="s">
        <v>341</v>
      </c>
      <c r="E1251">
        <v>3.7</v>
      </c>
      <c r="F1251">
        <v>11785935</v>
      </c>
      <c r="G1251" s="1" t="str">
        <f t="shared" si="19"/>
        <v>Ohio2023</v>
      </c>
      <c r="H1251">
        <f>+INDEX(Sheet1!C:C, MATCH(Hoja1!G1251, Sheet1!D:D, 0))</f>
        <v>884834.2</v>
      </c>
      <c r="I1251">
        <f>+INDEX(Sheet1!G:G, MATCH(Hoja1!G1251, Sheet1!I:I, 0))</f>
        <v>108836</v>
      </c>
      <c r="J1251" s="2">
        <f>+INDEX(Sheet1!H:H, MATCH(Hoja1!G1251, Sheet1!I:I, 0))</f>
        <v>2.0937300664140183E-2</v>
      </c>
      <c r="K1251" s="2">
        <f>+INDEX(Sheet1!L:L, MATCH(Hoja1!G1251,Sheet1!M:M, 0))</f>
        <v>11.1</v>
      </c>
    </row>
    <row r="1252" spans="1:11" ht="16" x14ac:dyDescent="0.25">
      <c r="A1252" t="s">
        <v>999</v>
      </c>
      <c r="B1252">
        <v>3</v>
      </c>
      <c r="C1252">
        <v>2023</v>
      </c>
      <c r="D1252" t="s">
        <v>667</v>
      </c>
      <c r="E1252">
        <v>3.5</v>
      </c>
      <c r="F1252">
        <v>11785935</v>
      </c>
      <c r="G1252" s="1" t="str">
        <f t="shared" si="19"/>
        <v>Ohio2023</v>
      </c>
      <c r="H1252">
        <f>+INDEX(Sheet1!C:C, MATCH(Hoja1!G1252, Sheet1!D:D, 0))</f>
        <v>884834.2</v>
      </c>
      <c r="I1252">
        <f>+INDEX(Sheet1!G:G, MATCH(Hoja1!G1252, Sheet1!I:I, 0))</f>
        <v>108836</v>
      </c>
      <c r="J1252" s="2">
        <f>+INDEX(Sheet1!H:H, MATCH(Hoja1!G1252, Sheet1!I:I, 0))</f>
        <v>2.0937300664140183E-2</v>
      </c>
      <c r="K1252" s="2">
        <f>+INDEX(Sheet1!L:L, MATCH(Hoja1!G1252,Sheet1!M:M, 0))</f>
        <v>11.1</v>
      </c>
    </row>
    <row r="1253" spans="1:11" ht="16" x14ac:dyDescent="0.25">
      <c r="A1253" t="s">
        <v>999</v>
      </c>
      <c r="B1253">
        <v>4</v>
      </c>
      <c r="C1253">
        <v>2023</v>
      </c>
      <c r="D1253" t="s">
        <v>1009</v>
      </c>
      <c r="E1253">
        <v>3.4</v>
      </c>
      <c r="F1253">
        <v>11785935</v>
      </c>
      <c r="G1253" s="1" t="str">
        <f t="shared" si="19"/>
        <v>Ohio2023</v>
      </c>
      <c r="H1253">
        <f>+INDEX(Sheet1!C:C, MATCH(Hoja1!G1253, Sheet1!D:D, 0))</f>
        <v>884834.2</v>
      </c>
      <c r="I1253">
        <f>+INDEX(Sheet1!G:G, MATCH(Hoja1!G1253, Sheet1!I:I, 0))</f>
        <v>108836</v>
      </c>
      <c r="J1253" s="2">
        <f>+INDEX(Sheet1!H:H, MATCH(Hoja1!G1253, Sheet1!I:I, 0))</f>
        <v>2.0937300664140183E-2</v>
      </c>
      <c r="K1253" s="2">
        <f>+INDEX(Sheet1!L:L, MATCH(Hoja1!G1253,Sheet1!M:M, 0))</f>
        <v>11.1</v>
      </c>
    </row>
    <row r="1254" spans="1:11" ht="16" x14ac:dyDescent="0.25">
      <c r="A1254" t="s">
        <v>999</v>
      </c>
      <c r="B1254">
        <v>5</v>
      </c>
      <c r="C1254">
        <v>2023</v>
      </c>
      <c r="D1254" t="s">
        <v>297</v>
      </c>
      <c r="E1254">
        <v>3.3</v>
      </c>
      <c r="F1254">
        <v>11785935</v>
      </c>
      <c r="G1254" s="1" t="str">
        <f t="shared" si="19"/>
        <v>Ohio2023</v>
      </c>
      <c r="H1254">
        <f>+INDEX(Sheet1!C:C, MATCH(Hoja1!G1254, Sheet1!D:D, 0))</f>
        <v>884834.2</v>
      </c>
      <c r="I1254">
        <f>+INDEX(Sheet1!G:G, MATCH(Hoja1!G1254, Sheet1!I:I, 0))</f>
        <v>108836</v>
      </c>
      <c r="J1254" s="2">
        <f>+INDEX(Sheet1!H:H, MATCH(Hoja1!G1254, Sheet1!I:I, 0))</f>
        <v>2.0937300664140183E-2</v>
      </c>
      <c r="K1254" s="2">
        <f>+INDEX(Sheet1!L:L, MATCH(Hoja1!G1254,Sheet1!M:M, 0))</f>
        <v>11.1</v>
      </c>
    </row>
    <row r="1255" spans="1:11" ht="16" x14ac:dyDescent="0.25">
      <c r="A1255" t="s">
        <v>999</v>
      </c>
      <c r="B1255">
        <v>6</v>
      </c>
      <c r="C1255">
        <v>2023</v>
      </c>
      <c r="D1255" t="s">
        <v>1010</v>
      </c>
      <c r="E1255">
        <v>3.3</v>
      </c>
      <c r="F1255">
        <v>11785935</v>
      </c>
      <c r="G1255" s="1" t="str">
        <f t="shared" si="19"/>
        <v>Ohio2023</v>
      </c>
      <c r="H1255">
        <f>+INDEX(Sheet1!C:C, MATCH(Hoja1!G1255, Sheet1!D:D, 0))</f>
        <v>884834.2</v>
      </c>
      <c r="I1255">
        <f>+INDEX(Sheet1!G:G, MATCH(Hoja1!G1255, Sheet1!I:I, 0))</f>
        <v>108836</v>
      </c>
      <c r="J1255" s="2">
        <f>+INDEX(Sheet1!H:H, MATCH(Hoja1!G1255, Sheet1!I:I, 0))</f>
        <v>2.0937300664140183E-2</v>
      </c>
      <c r="K1255" s="2">
        <f>+INDEX(Sheet1!L:L, MATCH(Hoja1!G1255,Sheet1!M:M, 0))</f>
        <v>11.1</v>
      </c>
    </row>
    <row r="1256" spans="1:11" ht="16" x14ac:dyDescent="0.25">
      <c r="A1256" t="s">
        <v>999</v>
      </c>
      <c r="B1256">
        <v>7</v>
      </c>
      <c r="C1256">
        <v>2023</v>
      </c>
      <c r="D1256" t="s">
        <v>1011</v>
      </c>
      <c r="E1256">
        <v>3.4</v>
      </c>
      <c r="F1256">
        <v>11785935</v>
      </c>
      <c r="G1256" s="1" t="str">
        <f t="shared" si="19"/>
        <v>Ohio2023</v>
      </c>
      <c r="H1256">
        <f>+INDEX(Sheet1!C:C, MATCH(Hoja1!G1256, Sheet1!D:D, 0))</f>
        <v>884834.2</v>
      </c>
      <c r="I1256">
        <f>+INDEX(Sheet1!G:G, MATCH(Hoja1!G1256, Sheet1!I:I, 0))</f>
        <v>108836</v>
      </c>
      <c r="J1256" s="2">
        <f>+INDEX(Sheet1!H:H, MATCH(Hoja1!G1256, Sheet1!I:I, 0))</f>
        <v>2.0937300664140183E-2</v>
      </c>
      <c r="K1256" s="2">
        <f>+INDEX(Sheet1!L:L, MATCH(Hoja1!G1256,Sheet1!M:M, 0))</f>
        <v>11.1</v>
      </c>
    </row>
    <row r="1257" spans="1:11" ht="16" x14ac:dyDescent="0.25">
      <c r="A1257" t="s">
        <v>999</v>
      </c>
      <c r="B1257">
        <v>8</v>
      </c>
      <c r="C1257">
        <v>2023</v>
      </c>
      <c r="D1257" t="s">
        <v>801</v>
      </c>
      <c r="E1257">
        <v>3.5</v>
      </c>
      <c r="F1257">
        <v>11785935</v>
      </c>
      <c r="G1257" s="1" t="str">
        <f t="shared" si="19"/>
        <v>Ohio2023</v>
      </c>
      <c r="H1257">
        <f>+INDEX(Sheet1!C:C, MATCH(Hoja1!G1257, Sheet1!D:D, 0))</f>
        <v>884834.2</v>
      </c>
      <c r="I1257">
        <f>+INDEX(Sheet1!G:G, MATCH(Hoja1!G1257, Sheet1!I:I, 0))</f>
        <v>108836</v>
      </c>
      <c r="J1257" s="2">
        <f>+INDEX(Sheet1!H:H, MATCH(Hoja1!G1257, Sheet1!I:I, 0))</f>
        <v>2.0937300664140183E-2</v>
      </c>
      <c r="K1257" s="2">
        <f>+INDEX(Sheet1!L:L, MATCH(Hoja1!G1257,Sheet1!M:M, 0))</f>
        <v>11.1</v>
      </c>
    </row>
    <row r="1258" spans="1:11" ht="16" x14ac:dyDescent="0.25">
      <c r="A1258" t="s">
        <v>999</v>
      </c>
      <c r="B1258">
        <v>9</v>
      </c>
      <c r="C1258">
        <v>2023</v>
      </c>
      <c r="D1258" t="s">
        <v>873</v>
      </c>
      <c r="E1258">
        <v>3.6</v>
      </c>
      <c r="F1258">
        <v>11785935</v>
      </c>
      <c r="G1258" s="1" t="str">
        <f t="shared" si="19"/>
        <v>Ohio2023</v>
      </c>
      <c r="H1258">
        <f>+INDEX(Sheet1!C:C, MATCH(Hoja1!G1258, Sheet1!D:D, 0))</f>
        <v>884834.2</v>
      </c>
      <c r="I1258">
        <f>+INDEX(Sheet1!G:G, MATCH(Hoja1!G1258, Sheet1!I:I, 0))</f>
        <v>108836</v>
      </c>
      <c r="J1258" s="2">
        <f>+INDEX(Sheet1!H:H, MATCH(Hoja1!G1258, Sheet1!I:I, 0))</f>
        <v>2.0937300664140183E-2</v>
      </c>
      <c r="K1258" s="2">
        <f>+INDEX(Sheet1!L:L, MATCH(Hoja1!G1258,Sheet1!M:M, 0))</f>
        <v>11.1</v>
      </c>
    </row>
    <row r="1259" spans="1:11" ht="16" x14ac:dyDescent="0.25">
      <c r="A1259" t="s">
        <v>999</v>
      </c>
      <c r="B1259">
        <v>10</v>
      </c>
      <c r="C1259">
        <v>2023</v>
      </c>
      <c r="D1259" t="s">
        <v>193</v>
      </c>
      <c r="E1259">
        <v>3.6</v>
      </c>
      <c r="F1259">
        <v>11785935</v>
      </c>
      <c r="G1259" s="1" t="str">
        <f t="shared" si="19"/>
        <v>Ohio2023</v>
      </c>
      <c r="H1259">
        <f>+INDEX(Sheet1!C:C, MATCH(Hoja1!G1259, Sheet1!D:D, 0))</f>
        <v>884834.2</v>
      </c>
      <c r="I1259">
        <f>+INDEX(Sheet1!G:G, MATCH(Hoja1!G1259, Sheet1!I:I, 0))</f>
        <v>108836</v>
      </c>
      <c r="J1259" s="2">
        <f>+INDEX(Sheet1!H:H, MATCH(Hoja1!G1259, Sheet1!I:I, 0))</f>
        <v>2.0937300664140183E-2</v>
      </c>
      <c r="K1259" s="2">
        <f>+INDEX(Sheet1!L:L, MATCH(Hoja1!G1259,Sheet1!M:M, 0))</f>
        <v>11.1</v>
      </c>
    </row>
    <row r="1260" spans="1:11" ht="16" x14ac:dyDescent="0.25">
      <c r="A1260" t="s">
        <v>999</v>
      </c>
      <c r="B1260">
        <v>11</v>
      </c>
      <c r="C1260">
        <v>2023</v>
      </c>
      <c r="D1260" t="s">
        <v>1012</v>
      </c>
      <c r="E1260">
        <v>3.6</v>
      </c>
      <c r="F1260">
        <v>11785935</v>
      </c>
      <c r="G1260" s="1" t="str">
        <f t="shared" si="19"/>
        <v>Ohio2023</v>
      </c>
      <c r="H1260">
        <f>+INDEX(Sheet1!C:C, MATCH(Hoja1!G1260, Sheet1!D:D, 0))</f>
        <v>884834.2</v>
      </c>
      <c r="I1260">
        <f>+INDEX(Sheet1!G:G, MATCH(Hoja1!G1260, Sheet1!I:I, 0))</f>
        <v>108836</v>
      </c>
      <c r="J1260" s="2">
        <f>+INDEX(Sheet1!H:H, MATCH(Hoja1!G1260, Sheet1!I:I, 0))</f>
        <v>2.0937300664140183E-2</v>
      </c>
      <c r="K1260" s="2">
        <f>+INDEX(Sheet1!L:L, MATCH(Hoja1!G1260,Sheet1!M:M, 0))</f>
        <v>11.1</v>
      </c>
    </row>
    <row r="1261" spans="1:11" ht="16" x14ac:dyDescent="0.25">
      <c r="A1261" t="s">
        <v>999</v>
      </c>
      <c r="B1261">
        <v>12</v>
      </c>
      <c r="C1261">
        <v>2023</v>
      </c>
      <c r="D1261" t="s">
        <v>1013</v>
      </c>
      <c r="E1261">
        <v>3.6</v>
      </c>
      <c r="F1261">
        <v>11785935</v>
      </c>
      <c r="G1261" s="1" t="str">
        <f t="shared" si="19"/>
        <v>Ohio2023</v>
      </c>
      <c r="H1261">
        <f>+INDEX(Sheet1!C:C, MATCH(Hoja1!G1261, Sheet1!D:D, 0))</f>
        <v>884834.2</v>
      </c>
      <c r="I1261">
        <f>+INDEX(Sheet1!G:G, MATCH(Hoja1!G1261, Sheet1!I:I, 0))</f>
        <v>108836</v>
      </c>
      <c r="J1261" s="2">
        <f>+INDEX(Sheet1!H:H, MATCH(Hoja1!G1261, Sheet1!I:I, 0))</f>
        <v>2.0937300664140183E-2</v>
      </c>
      <c r="K1261" s="2">
        <f>+INDEX(Sheet1!L:L, MATCH(Hoja1!G1261,Sheet1!M:M, 0))</f>
        <v>11.1</v>
      </c>
    </row>
    <row r="1262" spans="1:11" ht="16" x14ac:dyDescent="0.25">
      <c r="A1262" t="s">
        <v>1014</v>
      </c>
      <c r="B1262">
        <v>1</v>
      </c>
      <c r="C1262">
        <v>2021</v>
      </c>
      <c r="D1262" t="s">
        <v>1015</v>
      </c>
      <c r="E1262">
        <v>5</v>
      </c>
      <c r="F1262">
        <v>3991634</v>
      </c>
      <c r="G1262" s="1" t="str">
        <f t="shared" si="19"/>
        <v>Oklahoma2021</v>
      </c>
      <c r="H1262">
        <f>+INDEX(Sheet1!C:C, MATCH(Hoja1!G1262, Sheet1!D:D, 0))</f>
        <v>217786.5</v>
      </c>
      <c r="I1262">
        <f>+INDEX(Sheet1!G:G, MATCH(Hoja1!G1262, Sheet1!I:I, 0))</f>
        <v>100828</v>
      </c>
      <c r="J1262" s="2">
        <f>+INDEX(Sheet1!H:H, MATCH(Hoja1!G1262, Sheet1!I:I, 0))</f>
        <v>1.3428215333896192E-2</v>
      </c>
      <c r="K1262" s="2">
        <f>+INDEX(Sheet1!L:L, MATCH(Hoja1!G1262,Sheet1!M:M, 0))</f>
        <v>15.1</v>
      </c>
    </row>
    <row r="1263" spans="1:11" ht="16" x14ac:dyDescent="0.25">
      <c r="A1263" t="s">
        <v>1014</v>
      </c>
      <c r="B1263">
        <v>2</v>
      </c>
      <c r="C1263">
        <v>2021</v>
      </c>
      <c r="D1263" t="s">
        <v>803</v>
      </c>
      <c r="E1263">
        <v>4.9000000000000004</v>
      </c>
      <c r="F1263">
        <v>3991634</v>
      </c>
      <c r="G1263" s="1" t="str">
        <f t="shared" si="19"/>
        <v>Oklahoma2021</v>
      </c>
      <c r="H1263">
        <f>+INDEX(Sheet1!C:C, MATCH(Hoja1!G1263, Sheet1!D:D, 0))</f>
        <v>217786.5</v>
      </c>
      <c r="I1263">
        <f>+INDEX(Sheet1!G:G, MATCH(Hoja1!G1263, Sheet1!I:I, 0))</f>
        <v>100828</v>
      </c>
      <c r="J1263" s="2">
        <f>+INDEX(Sheet1!H:H, MATCH(Hoja1!G1263, Sheet1!I:I, 0))</f>
        <v>1.3428215333896192E-2</v>
      </c>
      <c r="K1263" s="2">
        <f>+INDEX(Sheet1!L:L, MATCH(Hoja1!G1263,Sheet1!M:M, 0))</f>
        <v>15.1</v>
      </c>
    </row>
    <row r="1264" spans="1:11" ht="16" x14ac:dyDescent="0.25">
      <c r="A1264" t="s">
        <v>1014</v>
      </c>
      <c r="B1264">
        <v>3</v>
      </c>
      <c r="C1264">
        <v>2021</v>
      </c>
      <c r="D1264" t="s">
        <v>1016</v>
      </c>
      <c r="E1264">
        <v>4.8</v>
      </c>
      <c r="F1264">
        <v>3991634</v>
      </c>
      <c r="G1264" s="1" t="str">
        <f t="shared" si="19"/>
        <v>Oklahoma2021</v>
      </c>
      <c r="H1264">
        <f>+INDEX(Sheet1!C:C, MATCH(Hoja1!G1264, Sheet1!D:D, 0))</f>
        <v>217786.5</v>
      </c>
      <c r="I1264">
        <f>+INDEX(Sheet1!G:G, MATCH(Hoja1!G1264, Sheet1!I:I, 0))</f>
        <v>100828</v>
      </c>
      <c r="J1264" s="2">
        <f>+INDEX(Sheet1!H:H, MATCH(Hoja1!G1264, Sheet1!I:I, 0))</f>
        <v>1.3428215333896192E-2</v>
      </c>
      <c r="K1264" s="2">
        <f>+INDEX(Sheet1!L:L, MATCH(Hoja1!G1264,Sheet1!M:M, 0))</f>
        <v>15.1</v>
      </c>
    </row>
    <row r="1265" spans="1:11" ht="16" x14ac:dyDescent="0.25">
      <c r="A1265" t="s">
        <v>1014</v>
      </c>
      <c r="B1265">
        <v>4</v>
      </c>
      <c r="C1265">
        <v>2021</v>
      </c>
      <c r="D1265" t="s">
        <v>1017</v>
      </c>
      <c r="E1265">
        <v>4.7</v>
      </c>
      <c r="F1265">
        <v>3991634</v>
      </c>
      <c r="G1265" s="1" t="str">
        <f t="shared" si="19"/>
        <v>Oklahoma2021</v>
      </c>
      <c r="H1265">
        <f>+INDEX(Sheet1!C:C, MATCH(Hoja1!G1265, Sheet1!D:D, 0))</f>
        <v>217786.5</v>
      </c>
      <c r="I1265">
        <f>+INDEX(Sheet1!G:G, MATCH(Hoja1!G1265, Sheet1!I:I, 0))</f>
        <v>100828</v>
      </c>
      <c r="J1265" s="2">
        <f>+INDEX(Sheet1!H:H, MATCH(Hoja1!G1265, Sheet1!I:I, 0))</f>
        <v>1.3428215333896192E-2</v>
      </c>
      <c r="K1265" s="2">
        <f>+INDEX(Sheet1!L:L, MATCH(Hoja1!G1265,Sheet1!M:M, 0))</f>
        <v>15.1</v>
      </c>
    </row>
    <row r="1266" spans="1:11" ht="16" x14ac:dyDescent="0.25">
      <c r="A1266" t="s">
        <v>1014</v>
      </c>
      <c r="B1266">
        <v>5</v>
      </c>
      <c r="C1266">
        <v>2021</v>
      </c>
      <c r="D1266" t="s">
        <v>676</v>
      </c>
      <c r="E1266">
        <v>4.5</v>
      </c>
      <c r="F1266">
        <v>3991634</v>
      </c>
      <c r="G1266" s="1" t="str">
        <f t="shared" si="19"/>
        <v>Oklahoma2021</v>
      </c>
      <c r="H1266">
        <f>+INDEX(Sheet1!C:C, MATCH(Hoja1!G1266, Sheet1!D:D, 0))</f>
        <v>217786.5</v>
      </c>
      <c r="I1266">
        <f>+INDEX(Sheet1!G:G, MATCH(Hoja1!G1266, Sheet1!I:I, 0))</f>
        <v>100828</v>
      </c>
      <c r="J1266" s="2">
        <f>+INDEX(Sheet1!H:H, MATCH(Hoja1!G1266, Sheet1!I:I, 0))</f>
        <v>1.3428215333896192E-2</v>
      </c>
      <c r="K1266" s="2">
        <f>+INDEX(Sheet1!L:L, MATCH(Hoja1!G1266,Sheet1!M:M, 0))</f>
        <v>15.1</v>
      </c>
    </row>
    <row r="1267" spans="1:11" ht="16" x14ac:dyDescent="0.25">
      <c r="A1267" t="s">
        <v>1014</v>
      </c>
      <c r="B1267">
        <v>6</v>
      </c>
      <c r="C1267">
        <v>2021</v>
      </c>
      <c r="D1267" t="s">
        <v>229</v>
      </c>
      <c r="E1267">
        <v>4.3</v>
      </c>
      <c r="F1267">
        <v>3991634</v>
      </c>
      <c r="G1267" s="1" t="str">
        <f t="shared" si="19"/>
        <v>Oklahoma2021</v>
      </c>
      <c r="H1267">
        <f>+INDEX(Sheet1!C:C, MATCH(Hoja1!G1267, Sheet1!D:D, 0))</f>
        <v>217786.5</v>
      </c>
      <c r="I1267">
        <f>+INDEX(Sheet1!G:G, MATCH(Hoja1!G1267, Sheet1!I:I, 0))</f>
        <v>100828</v>
      </c>
      <c r="J1267" s="2">
        <f>+INDEX(Sheet1!H:H, MATCH(Hoja1!G1267, Sheet1!I:I, 0))</f>
        <v>1.3428215333896192E-2</v>
      </c>
      <c r="K1267" s="2">
        <f>+INDEX(Sheet1!L:L, MATCH(Hoja1!G1267,Sheet1!M:M, 0))</f>
        <v>15.1</v>
      </c>
    </row>
    <row r="1268" spans="1:11" ht="16" x14ac:dyDescent="0.25">
      <c r="A1268" t="s">
        <v>1014</v>
      </c>
      <c r="B1268">
        <v>7</v>
      </c>
      <c r="C1268">
        <v>2021</v>
      </c>
      <c r="D1268" t="s">
        <v>68</v>
      </c>
      <c r="E1268">
        <v>4</v>
      </c>
      <c r="F1268">
        <v>3991634</v>
      </c>
      <c r="G1268" s="1" t="str">
        <f t="shared" si="19"/>
        <v>Oklahoma2021</v>
      </c>
      <c r="H1268">
        <f>+INDEX(Sheet1!C:C, MATCH(Hoja1!G1268, Sheet1!D:D, 0))</f>
        <v>217786.5</v>
      </c>
      <c r="I1268">
        <f>+INDEX(Sheet1!G:G, MATCH(Hoja1!G1268, Sheet1!I:I, 0))</f>
        <v>100828</v>
      </c>
      <c r="J1268" s="2">
        <f>+INDEX(Sheet1!H:H, MATCH(Hoja1!G1268, Sheet1!I:I, 0))</f>
        <v>1.3428215333896192E-2</v>
      </c>
      <c r="K1268" s="2">
        <f>+INDEX(Sheet1!L:L, MATCH(Hoja1!G1268,Sheet1!M:M, 0))</f>
        <v>15.1</v>
      </c>
    </row>
    <row r="1269" spans="1:11" ht="16" x14ac:dyDescent="0.25">
      <c r="A1269" t="s">
        <v>1014</v>
      </c>
      <c r="B1269">
        <v>8</v>
      </c>
      <c r="C1269">
        <v>2021</v>
      </c>
      <c r="D1269" t="s">
        <v>1018</v>
      </c>
      <c r="E1269">
        <v>3.7</v>
      </c>
      <c r="F1269">
        <v>3991634</v>
      </c>
      <c r="G1269" s="1" t="str">
        <f t="shared" si="19"/>
        <v>Oklahoma2021</v>
      </c>
      <c r="H1269">
        <f>+INDEX(Sheet1!C:C, MATCH(Hoja1!G1269, Sheet1!D:D, 0))</f>
        <v>217786.5</v>
      </c>
      <c r="I1269">
        <f>+INDEX(Sheet1!G:G, MATCH(Hoja1!G1269, Sheet1!I:I, 0))</f>
        <v>100828</v>
      </c>
      <c r="J1269" s="2">
        <f>+INDEX(Sheet1!H:H, MATCH(Hoja1!G1269, Sheet1!I:I, 0))</f>
        <v>1.3428215333896192E-2</v>
      </c>
      <c r="K1269" s="2">
        <f>+INDEX(Sheet1!L:L, MATCH(Hoja1!G1269,Sheet1!M:M, 0))</f>
        <v>15.1</v>
      </c>
    </row>
    <row r="1270" spans="1:11" ht="16" x14ac:dyDescent="0.25">
      <c r="A1270" t="s">
        <v>1014</v>
      </c>
      <c r="B1270">
        <v>9</v>
      </c>
      <c r="C1270">
        <v>2021</v>
      </c>
      <c r="D1270" t="s">
        <v>1019</v>
      </c>
      <c r="E1270">
        <v>3.4</v>
      </c>
      <c r="F1270">
        <v>3991634</v>
      </c>
      <c r="G1270" s="1" t="str">
        <f t="shared" si="19"/>
        <v>Oklahoma2021</v>
      </c>
      <c r="H1270">
        <f>+INDEX(Sheet1!C:C, MATCH(Hoja1!G1270, Sheet1!D:D, 0))</f>
        <v>217786.5</v>
      </c>
      <c r="I1270">
        <f>+INDEX(Sheet1!G:G, MATCH(Hoja1!G1270, Sheet1!I:I, 0))</f>
        <v>100828</v>
      </c>
      <c r="J1270" s="2">
        <f>+INDEX(Sheet1!H:H, MATCH(Hoja1!G1270, Sheet1!I:I, 0))</f>
        <v>1.3428215333896192E-2</v>
      </c>
      <c r="K1270" s="2">
        <f>+INDEX(Sheet1!L:L, MATCH(Hoja1!G1270,Sheet1!M:M, 0))</f>
        <v>15.1</v>
      </c>
    </row>
    <row r="1271" spans="1:11" ht="16" x14ac:dyDescent="0.25">
      <c r="A1271" t="s">
        <v>1014</v>
      </c>
      <c r="B1271">
        <v>10</v>
      </c>
      <c r="C1271">
        <v>2021</v>
      </c>
      <c r="D1271" t="s">
        <v>977</v>
      </c>
      <c r="E1271">
        <v>3.2</v>
      </c>
      <c r="F1271">
        <v>3991634</v>
      </c>
      <c r="G1271" s="1" t="str">
        <f t="shared" si="19"/>
        <v>Oklahoma2021</v>
      </c>
      <c r="H1271">
        <f>+INDEX(Sheet1!C:C, MATCH(Hoja1!G1271, Sheet1!D:D, 0))</f>
        <v>217786.5</v>
      </c>
      <c r="I1271">
        <f>+INDEX(Sheet1!G:G, MATCH(Hoja1!G1271, Sheet1!I:I, 0))</f>
        <v>100828</v>
      </c>
      <c r="J1271" s="2">
        <f>+INDEX(Sheet1!H:H, MATCH(Hoja1!G1271, Sheet1!I:I, 0))</f>
        <v>1.3428215333896192E-2</v>
      </c>
      <c r="K1271" s="2">
        <f>+INDEX(Sheet1!L:L, MATCH(Hoja1!G1271,Sheet1!M:M, 0))</f>
        <v>15.1</v>
      </c>
    </row>
    <row r="1272" spans="1:11" ht="16" x14ac:dyDescent="0.25">
      <c r="A1272" t="s">
        <v>1014</v>
      </c>
      <c r="B1272">
        <v>11</v>
      </c>
      <c r="C1272">
        <v>2021</v>
      </c>
      <c r="D1272" t="s">
        <v>1020</v>
      </c>
      <c r="E1272">
        <v>3</v>
      </c>
      <c r="F1272">
        <v>3991634</v>
      </c>
      <c r="G1272" s="1" t="str">
        <f t="shared" si="19"/>
        <v>Oklahoma2021</v>
      </c>
      <c r="H1272">
        <f>+INDEX(Sheet1!C:C, MATCH(Hoja1!G1272, Sheet1!D:D, 0))</f>
        <v>217786.5</v>
      </c>
      <c r="I1272">
        <f>+INDEX(Sheet1!G:G, MATCH(Hoja1!G1272, Sheet1!I:I, 0))</f>
        <v>100828</v>
      </c>
      <c r="J1272" s="2">
        <f>+INDEX(Sheet1!H:H, MATCH(Hoja1!G1272, Sheet1!I:I, 0))</f>
        <v>1.3428215333896192E-2</v>
      </c>
      <c r="K1272" s="2">
        <f>+INDEX(Sheet1!L:L, MATCH(Hoja1!G1272,Sheet1!M:M, 0))</f>
        <v>15.1</v>
      </c>
    </row>
    <row r="1273" spans="1:11" ht="16" x14ac:dyDescent="0.25">
      <c r="A1273" t="s">
        <v>1014</v>
      </c>
      <c r="B1273">
        <v>12</v>
      </c>
      <c r="C1273">
        <v>2021</v>
      </c>
      <c r="D1273" t="s">
        <v>1021</v>
      </c>
      <c r="E1273">
        <v>2.9</v>
      </c>
      <c r="F1273">
        <v>3991634</v>
      </c>
      <c r="G1273" s="1" t="str">
        <f t="shared" si="19"/>
        <v>Oklahoma2021</v>
      </c>
      <c r="H1273">
        <f>+INDEX(Sheet1!C:C, MATCH(Hoja1!G1273, Sheet1!D:D, 0))</f>
        <v>217786.5</v>
      </c>
      <c r="I1273">
        <f>+INDEX(Sheet1!G:G, MATCH(Hoja1!G1273, Sheet1!I:I, 0))</f>
        <v>100828</v>
      </c>
      <c r="J1273" s="2">
        <f>+INDEX(Sheet1!H:H, MATCH(Hoja1!G1273, Sheet1!I:I, 0))</f>
        <v>1.3428215333896192E-2</v>
      </c>
      <c r="K1273" s="2">
        <f>+INDEX(Sheet1!L:L, MATCH(Hoja1!G1273,Sheet1!M:M, 0))</f>
        <v>15.1</v>
      </c>
    </row>
    <row r="1274" spans="1:11" ht="16" x14ac:dyDescent="0.25">
      <c r="A1274" t="s">
        <v>1014</v>
      </c>
      <c r="B1274">
        <v>1</v>
      </c>
      <c r="C1274">
        <v>2022</v>
      </c>
      <c r="D1274" t="s">
        <v>24</v>
      </c>
      <c r="E1274">
        <v>2.9</v>
      </c>
      <c r="F1274">
        <v>4019271</v>
      </c>
      <c r="G1274" s="1" t="str">
        <f t="shared" si="19"/>
        <v>Oklahoma2022</v>
      </c>
      <c r="H1274">
        <f>+INDEX(Sheet1!C:C, MATCH(Hoja1!G1274, Sheet1!D:D, 0))</f>
        <v>245976.2</v>
      </c>
      <c r="I1274">
        <f>+INDEX(Sheet1!G:G, MATCH(Hoja1!G1274, Sheet1!I:I, 0))</f>
        <v>100728</v>
      </c>
      <c r="J1274" s="2">
        <f>+INDEX(Sheet1!H:H, MATCH(Hoja1!G1274, Sheet1!I:I, 0))</f>
        <v>-9.9178799539810362E-4</v>
      </c>
      <c r="K1274" s="2">
        <f>+INDEX(Sheet1!L:L, MATCH(Hoja1!G1274,Sheet1!M:M, 0))</f>
        <v>16.899999999999999</v>
      </c>
    </row>
    <row r="1275" spans="1:11" ht="16" x14ac:dyDescent="0.25">
      <c r="A1275" t="s">
        <v>1014</v>
      </c>
      <c r="B1275">
        <v>2</v>
      </c>
      <c r="C1275">
        <v>2022</v>
      </c>
      <c r="D1275" t="s">
        <v>750</v>
      </c>
      <c r="E1275">
        <v>2.9</v>
      </c>
      <c r="F1275">
        <v>4019271</v>
      </c>
      <c r="G1275" s="1" t="str">
        <f t="shared" si="19"/>
        <v>Oklahoma2022</v>
      </c>
      <c r="H1275">
        <f>+INDEX(Sheet1!C:C, MATCH(Hoja1!G1275, Sheet1!D:D, 0))</f>
        <v>245976.2</v>
      </c>
      <c r="I1275">
        <f>+INDEX(Sheet1!G:G, MATCH(Hoja1!G1275, Sheet1!I:I, 0))</f>
        <v>100728</v>
      </c>
      <c r="J1275" s="2">
        <f>+INDEX(Sheet1!H:H, MATCH(Hoja1!G1275, Sheet1!I:I, 0))</f>
        <v>-9.9178799539810362E-4</v>
      </c>
      <c r="K1275" s="2">
        <f>+INDEX(Sheet1!L:L, MATCH(Hoja1!G1275,Sheet1!M:M, 0))</f>
        <v>16.899999999999999</v>
      </c>
    </row>
    <row r="1276" spans="1:11" ht="16" x14ac:dyDescent="0.25">
      <c r="A1276" t="s">
        <v>1014</v>
      </c>
      <c r="B1276">
        <v>3</v>
      </c>
      <c r="C1276">
        <v>2022</v>
      </c>
      <c r="D1276" t="s">
        <v>1022</v>
      </c>
      <c r="E1276">
        <v>2.9</v>
      </c>
      <c r="F1276">
        <v>4019271</v>
      </c>
      <c r="G1276" s="1" t="str">
        <f t="shared" si="19"/>
        <v>Oklahoma2022</v>
      </c>
      <c r="H1276">
        <f>+INDEX(Sheet1!C:C, MATCH(Hoja1!G1276, Sheet1!D:D, 0))</f>
        <v>245976.2</v>
      </c>
      <c r="I1276">
        <f>+INDEX(Sheet1!G:G, MATCH(Hoja1!G1276, Sheet1!I:I, 0))</f>
        <v>100728</v>
      </c>
      <c r="J1276" s="2">
        <f>+INDEX(Sheet1!H:H, MATCH(Hoja1!G1276, Sheet1!I:I, 0))</f>
        <v>-9.9178799539810362E-4</v>
      </c>
      <c r="K1276" s="2">
        <f>+INDEX(Sheet1!L:L, MATCH(Hoja1!G1276,Sheet1!M:M, 0))</f>
        <v>16.899999999999999</v>
      </c>
    </row>
    <row r="1277" spans="1:11" ht="16" x14ac:dyDescent="0.25">
      <c r="A1277" t="s">
        <v>1014</v>
      </c>
      <c r="B1277">
        <v>4</v>
      </c>
      <c r="C1277">
        <v>2022</v>
      </c>
      <c r="D1277" t="s">
        <v>1023</v>
      </c>
      <c r="E1277">
        <v>2.9</v>
      </c>
      <c r="F1277">
        <v>4019271</v>
      </c>
      <c r="G1277" s="1" t="str">
        <f t="shared" si="19"/>
        <v>Oklahoma2022</v>
      </c>
      <c r="H1277">
        <f>+INDEX(Sheet1!C:C, MATCH(Hoja1!G1277, Sheet1!D:D, 0))</f>
        <v>245976.2</v>
      </c>
      <c r="I1277">
        <f>+INDEX(Sheet1!G:G, MATCH(Hoja1!G1277, Sheet1!I:I, 0))</f>
        <v>100728</v>
      </c>
      <c r="J1277" s="2">
        <f>+INDEX(Sheet1!H:H, MATCH(Hoja1!G1277, Sheet1!I:I, 0))</f>
        <v>-9.9178799539810362E-4</v>
      </c>
      <c r="K1277" s="2">
        <f>+INDEX(Sheet1!L:L, MATCH(Hoja1!G1277,Sheet1!M:M, 0))</f>
        <v>16.899999999999999</v>
      </c>
    </row>
    <row r="1278" spans="1:11" ht="16" x14ac:dyDescent="0.25">
      <c r="A1278" t="s">
        <v>1014</v>
      </c>
      <c r="B1278">
        <v>5</v>
      </c>
      <c r="C1278">
        <v>2022</v>
      </c>
      <c r="D1278" t="s">
        <v>1024</v>
      </c>
      <c r="E1278">
        <v>2.9</v>
      </c>
      <c r="F1278">
        <v>4019271</v>
      </c>
      <c r="G1278" s="1" t="str">
        <f t="shared" si="19"/>
        <v>Oklahoma2022</v>
      </c>
      <c r="H1278">
        <f>+INDEX(Sheet1!C:C, MATCH(Hoja1!G1278, Sheet1!D:D, 0))</f>
        <v>245976.2</v>
      </c>
      <c r="I1278">
        <f>+INDEX(Sheet1!G:G, MATCH(Hoja1!G1278, Sheet1!I:I, 0))</f>
        <v>100728</v>
      </c>
      <c r="J1278" s="2">
        <f>+INDEX(Sheet1!H:H, MATCH(Hoja1!G1278, Sheet1!I:I, 0))</f>
        <v>-9.9178799539810362E-4</v>
      </c>
      <c r="K1278" s="2">
        <f>+INDEX(Sheet1!L:L, MATCH(Hoja1!G1278,Sheet1!M:M, 0))</f>
        <v>16.899999999999999</v>
      </c>
    </row>
    <row r="1279" spans="1:11" ht="16" x14ac:dyDescent="0.25">
      <c r="A1279" t="s">
        <v>1014</v>
      </c>
      <c r="B1279">
        <v>6</v>
      </c>
      <c r="C1279">
        <v>2022</v>
      </c>
      <c r="D1279" t="s">
        <v>1025</v>
      </c>
      <c r="E1279">
        <v>3</v>
      </c>
      <c r="F1279">
        <v>4019271</v>
      </c>
      <c r="G1279" s="1" t="str">
        <f t="shared" si="19"/>
        <v>Oklahoma2022</v>
      </c>
      <c r="H1279">
        <f>+INDEX(Sheet1!C:C, MATCH(Hoja1!G1279, Sheet1!D:D, 0))</f>
        <v>245976.2</v>
      </c>
      <c r="I1279">
        <f>+INDEX(Sheet1!G:G, MATCH(Hoja1!G1279, Sheet1!I:I, 0))</f>
        <v>100728</v>
      </c>
      <c r="J1279" s="2">
        <f>+INDEX(Sheet1!H:H, MATCH(Hoja1!G1279, Sheet1!I:I, 0))</f>
        <v>-9.9178799539810362E-4</v>
      </c>
      <c r="K1279" s="2">
        <f>+INDEX(Sheet1!L:L, MATCH(Hoja1!G1279,Sheet1!M:M, 0))</f>
        <v>16.899999999999999</v>
      </c>
    </row>
    <row r="1280" spans="1:11" ht="16" x14ac:dyDescent="0.25">
      <c r="A1280" t="s">
        <v>1014</v>
      </c>
      <c r="B1280">
        <v>7</v>
      </c>
      <c r="C1280">
        <v>2022</v>
      </c>
      <c r="D1280" t="s">
        <v>1019</v>
      </c>
      <c r="E1280">
        <v>3.1</v>
      </c>
      <c r="F1280">
        <v>4019271</v>
      </c>
      <c r="G1280" s="1" t="str">
        <f t="shared" si="19"/>
        <v>Oklahoma2022</v>
      </c>
      <c r="H1280">
        <f>+INDEX(Sheet1!C:C, MATCH(Hoja1!G1280, Sheet1!D:D, 0))</f>
        <v>245976.2</v>
      </c>
      <c r="I1280">
        <f>+INDEX(Sheet1!G:G, MATCH(Hoja1!G1280, Sheet1!I:I, 0))</f>
        <v>100728</v>
      </c>
      <c r="J1280" s="2">
        <f>+INDEX(Sheet1!H:H, MATCH(Hoja1!G1280, Sheet1!I:I, 0))</f>
        <v>-9.9178799539810362E-4</v>
      </c>
      <c r="K1280" s="2">
        <f>+INDEX(Sheet1!L:L, MATCH(Hoja1!G1280,Sheet1!M:M, 0))</f>
        <v>16.899999999999999</v>
      </c>
    </row>
    <row r="1281" spans="1:11" ht="16" x14ac:dyDescent="0.25">
      <c r="A1281" t="s">
        <v>1014</v>
      </c>
      <c r="B1281">
        <v>8</v>
      </c>
      <c r="C1281">
        <v>2022</v>
      </c>
      <c r="D1281" t="s">
        <v>1026</v>
      </c>
      <c r="E1281">
        <v>3.2</v>
      </c>
      <c r="F1281">
        <v>4019271</v>
      </c>
      <c r="G1281" s="1" t="str">
        <f t="shared" si="19"/>
        <v>Oklahoma2022</v>
      </c>
      <c r="H1281">
        <f>+INDEX(Sheet1!C:C, MATCH(Hoja1!G1281, Sheet1!D:D, 0))</f>
        <v>245976.2</v>
      </c>
      <c r="I1281">
        <f>+INDEX(Sheet1!G:G, MATCH(Hoja1!G1281, Sheet1!I:I, 0))</f>
        <v>100728</v>
      </c>
      <c r="J1281" s="2">
        <f>+INDEX(Sheet1!H:H, MATCH(Hoja1!G1281, Sheet1!I:I, 0))</f>
        <v>-9.9178799539810362E-4</v>
      </c>
      <c r="K1281" s="2">
        <f>+INDEX(Sheet1!L:L, MATCH(Hoja1!G1281,Sheet1!M:M, 0))</f>
        <v>16.899999999999999</v>
      </c>
    </row>
    <row r="1282" spans="1:11" ht="16" x14ac:dyDescent="0.25">
      <c r="A1282" t="s">
        <v>1014</v>
      </c>
      <c r="B1282">
        <v>9</v>
      </c>
      <c r="C1282">
        <v>2022</v>
      </c>
      <c r="D1282" t="s">
        <v>1027</v>
      </c>
      <c r="E1282">
        <v>3.2</v>
      </c>
      <c r="F1282">
        <v>4019271</v>
      </c>
      <c r="G1282" s="1" t="str">
        <f t="shared" si="19"/>
        <v>Oklahoma2022</v>
      </c>
      <c r="H1282">
        <f>+INDEX(Sheet1!C:C, MATCH(Hoja1!G1282, Sheet1!D:D, 0))</f>
        <v>245976.2</v>
      </c>
      <c r="I1282">
        <f>+INDEX(Sheet1!G:G, MATCH(Hoja1!G1282, Sheet1!I:I, 0))</f>
        <v>100728</v>
      </c>
      <c r="J1282" s="2">
        <f>+INDEX(Sheet1!H:H, MATCH(Hoja1!G1282, Sheet1!I:I, 0))</f>
        <v>-9.9178799539810362E-4</v>
      </c>
      <c r="K1282" s="2">
        <f>+INDEX(Sheet1!L:L, MATCH(Hoja1!G1282,Sheet1!M:M, 0))</f>
        <v>16.899999999999999</v>
      </c>
    </row>
    <row r="1283" spans="1:11" ht="16" x14ac:dyDescent="0.25">
      <c r="A1283" t="s">
        <v>1014</v>
      </c>
      <c r="B1283">
        <v>10</v>
      </c>
      <c r="C1283">
        <v>2022</v>
      </c>
      <c r="D1283" t="s">
        <v>1028</v>
      </c>
      <c r="E1283">
        <v>3.2</v>
      </c>
      <c r="F1283">
        <v>4019271</v>
      </c>
      <c r="G1283" s="1" t="str">
        <f t="shared" ref="G1283:G1346" si="20">+A1283&amp;C1283</f>
        <v>Oklahoma2022</v>
      </c>
      <c r="H1283">
        <f>+INDEX(Sheet1!C:C, MATCH(Hoja1!G1283, Sheet1!D:D, 0))</f>
        <v>245976.2</v>
      </c>
      <c r="I1283">
        <f>+INDEX(Sheet1!G:G, MATCH(Hoja1!G1283, Sheet1!I:I, 0))</f>
        <v>100728</v>
      </c>
      <c r="J1283" s="2">
        <f>+INDEX(Sheet1!H:H, MATCH(Hoja1!G1283, Sheet1!I:I, 0))</f>
        <v>-9.9178799539810362E-4</v>
      </c>
      <c r="K1283" s="2">
        <f>+INDEX(Sheet1!L:L, MATCH(Hoja1!G1283,Sheet1!M:M, 0))</f>
        <v>16.899999999999999</v>
      </c>
    </row>
    <row r="1284" spans="1:11" ht="16" x14ac:dyDescent="0.25">
      <c r="A1284" t="s">
        <v>1014</v>
      </c>
      <c r="B1284">
        <v>11</v>
      </c>
      <c r="C1284">
        <v>2022</v>
      </c>
      <c r="D1284" t="s">
        <v>1029</v>
      </c>
      <c r="E1284">
        <v>3.2</v>
      </c>
      <c r="F1284">
        <v>4019271</v>
      </c>
      <c r="G1284" s="1" t="str">
        <f t="shared" si="20"/>
        <v>Oklahoma2022</v>
      </c>
      <c r="H1284">
        <f>+INDEX(Sheet1!C:C, MATCH(Hoja1!G1284, Sheet1!D:D, 0))</f>
        <v>245976.2</v>
      </c>
      <c r="I1284">
        <f>+INDEX(Sheet1!G:G, MATCH(Hoja1!G1284, Sheet1!I:I, 0))</f>
        <v>100728</v>
      </c>
      <c r="J1284" s="2">
        <f>+INDEX(Sheet1!H:H, MATCH(Hoja1!G1284, Sheet1!I:I, 0))</f>
        <v>-9.9178799539810362E-4</v>
      </c>
      <c r="K1284" s="2">
        <f>+INDEX(Sheet1!L:L, MATCH(Hoja1!G1284,Sheet1!M:M, 0))</f>
        <v>16.899999999999999</v>
      </c>
    </row>
    <row r="1285" spans="1:11" ht="16" x14ac:dyDescent="0.25">
      <c r="A1285" t="s">
        <v>1014</v>
      </c>
      <c r="B1285">
        <v>12</v>
      </c>
      <c r="C1285">
        <v>2022</v>
      </c>
      <c r="D1285" t="s">
        <v>1030</v>
      </c>
      <c r="E1285">
        <v>3.1</v>
      </c>
      <c r="F1285">
        <v>4019271</v>
      </c>
      <c r="G1285" s="1" t="str">
        <f t="shared" si="20"/>
        <v>Oklahoma2022</v>
      </c>
      <c r="H1285">
        <f>+INDEX(Sheet1!C:C, MATCH(Hoja1!G1285, Sheet1!D:D, 0))</f>
        <v>245976.2</v>
      </c>
      <c r="I1285">
        <f>+INDEX(Sheet1!G:G, MATCH(Hoja1!G1285, Sheet1!I:I, 0))</f>
        <v>100728</v>
      </c>
      <c r="J1285" s="2">
        <f>+INDEX(Sheet1!H:H, MATCH(Hoja1!G1285, Sheet1!I:I, 0))</f>
        <v>-9.9178799539810362E-4</v>
      </c>
      <c r="K1285" s="2">
        <f>+INDEX(Sheet1!L:L, MATCH(Hoja1!G1285,Sheet1!M:M, 0))</f>
        <v>16.899999999999999</v>
      </c>
    </row>
    <row r="1286" spans="1:11" ht="16" x14ac:dyDescent="0.25">
      <c r="A1286" t="s">
        <v>1014</v>
      </c>
      <c r="B1286">
        <v>1</v>
      </c>
      <c r="C1286">
        <v>2023</v>
      </c>
      <c r="D1286" t="s">
        <v>1031</v>
      </c>
      <c r="E1286">
        <v>3.1</v>
      </c>
      <c r="F1286">
        <v>4053824</v>
      </c>
      <c r="G1286" s="1" t="str">
        <f t="shared" si="20"/>
        <v>Oklahoma2023</v>
      </c>
      <c r="H1286">
        <f>+INDEX(Sheet1!C:C, MATCH(Hoja1!G1286, Sheet1!D:D, 0))</f>
        <v>256689.4</v>
      </c>
      <c r="I1286">
        <f>+INDEX(Sheet1!G:G, MATCH(Hoja1!G1286, Sheet1!I:I, 0))</f>
        <v>107990</v>
      </c>
      <c r="J1286" s="2">
        <f>+INDEX(Sheet1!H:H, MATCH(Hoja1!G1286, Sheet1!I:I, 0))</f>
        <v>7.2095147327456116E-2</v>
      </c>
      <c r="K1286" s="2">
        <f>+INDEX(Sheet1!L:L, MATCH(Hoja1!G1286,Sheet1!M:M, 0))</f>
        <v>12.9</v>
      </c>
    </row>
    <row r="1287" spans="1:11" ht="16" x14ac:dyDescent="0.25">
      <c r="A1287" t="s">
        <v>1014</v>
      </c>
      <c r="B1287">
        <v>2</v>
      </c>
      <c r="C1287">
        <v>2023</v>
      </c>
      <c r="D1287" t="s">
        <v>1032</v>
      </c>
      <c r="E1287">
        <v>3</v>
      </c>
      <c r="F1287">
        <v>4053824</v>
      </c>
      <c r="G1287" s="1" t="str">
        <f t="shared" si="20"/>
        <v>Oklahoma2023</v>
      </c>
      <c r="H1287">
        <f>+INDEX(Sheet1!C:C, MATCH(Hoja1!G1287, Sheet1!D:D, 0))</f>
        <v>256689.4</v>
      </c>
      <c r="I1287">
        <f>+INDEX(Sheet1!G:G, MATCH(Hoja1!G1287, Sheet1!I:I, 0))</f>
        <v>107990</v>
      </c>
      <c r="J1287" s="2">
        <f>+INDEX(Sheet1!H:H, MATCH(Hoja1!G1287, Sheet1!I:I, 0))</f>
        <v>7.2095147327456116E-2</v>
      </c>
      <c r="K1287" s="2">
        <f>+INDEX(Sheet1!L:L, MATCH(Hoja1!G1287,Sheet1!M:M, 0))</f>
        <v>12.9</v>
      </c>
    </row>
    <row r="1288" spans="1:11" ht="16" x14ac:dyDescent="0.25">
      <c r="A1288" t="s">
        <v>1014</v>
      </c>
      <c r="B1288">
        <v>3</v>
      </c>
      <c r="C1288">
        <v>2023</v>
      </c>
      <c r="D1288" t="s">
        <v>502</v>
      </c>
      <c r="E1288">
        <v>3</v>
      </c>
      <c r="F1288">
        <v>4053824</v>
      </c>
      <c r="G1288" s="1" t="str">
        <f t="shared" si="20"/>
        <v>Oklahoma2023</v>
      </c>
      <c r="H1288">
        <f>+INDEX(Sheet1!C:C, MATCH(Hoja1!G1288, Sheet1!D:D, 0))</f>
        <v>256689.4</v>
      </c>
      <c r="I1288">
        <f>+INDEX(Sheet1!G:G, MATCH(Hoja1!G1288, Sheet1!I:I, 0))</f>
        <v>107990</v>
      </c>
      <c r="J1288" s="2">
        <f>+INDEX(Sheet1!H:H, MATCH(Hoja1!G1288, Sheet1!I:I, 0))</f>
        <v>7.2095147327456116E-2</v>
      </c>
      <c r="K1288" s="2">
        <f>+INDEX(Sheet1!L:L, MATCH(Hoja1!G1288,Sheet1!M:M, 0))</f>
        <v>12.9</v>
      </c>
    </row>
    <row r="1289" spans="1:11" ht="16" x14ac:dyDescent="0.25">
      <c r="A1289" t="s">
        <v>1014</v>
      </c>
      <c r="B1289">
        <v>4</v>
      </c>
      <c r="C1289">
        <v>2023</v>
      </c>
      <c r="D1289" t="s">
        <v>1033</v>
      </c>
      <c r="E1289">
        <v>2.9</v>
      </c>
      <c r="F1289">
        <v>4053824</v>
      </c>
      <c r="G1289" s="1" t="str">
        <f t="shared" si="20"/>
        <v>Oklahoma2023</v>
      </c>
      <c r="H1289">
        <f>+INDEX(Sheet1!C:C, MATCH(Hoja1!G1289, Sheet1!D:D, 0))</f>
        <v>256689.4</v>
      </c>
      <c r="I1289">
        <f>+INDEX(Sheet1!G:G, MATCH(Hoja1!G1289, Sheet1!I:I, 0))</f>
        <v>107990</v>
      </c>
      <c r="J1289" s="2">
        <f>+INDEX(Sheet1!H:H, MATCH(Hoja1!G1289, Sheet1!I:I, 0))</f>
        <v>7.2095147327456116E-2</v>
      </c>
      <c r="K1289" s="2">
        <f>+INDEX(Sheet1!L:L, MATCH(Hoja1!G1289,Sheet1!M:M, 0))</f>
        <v>12.9</v>
      </c>
    </row>
    <row r="1290" spans="1:11" ht="16" x14ac:dyDescent="0.25">
      <c r="A1290" t="s">
        <v>1014</v>
      </c>
      <c r="B1290">
        <v>5</v>
      </c>
      <c r="C1290">
        <v>2023</v>
      </c>
      <c r="D1290" t="s">
        <v>1034</v>
      </c>
      <c r="E1290">
        <v>3</v>
      </c>
      <c r="F1290">
        <v>4053824</v>
      </c>
      <c r="G1290" s="1" t="str">
        <f t="shared" si="20"/>
        <v>Oklahoma2023</v>
      </c>
      <c r="H1290">
        <f>+INDEX(Sheet1!C:C, MATCH(Hoja1!G1290, Sheet1!D:D, 0))</f>
        <v>256689.4</v>
      </c>
      <c r="I1290">
        <f>+INDEX(Sheet1!G:G, MATCH(Hoja1!G1290, Sheet1!I:I, 0))</f>
        <v>107990</v>
      </c>
      <c r="J1290" s="2">
        <f>+INDEX(Sheet1!H:H, MATCH(Hoja1!G1290, Sheet1!I:I, 0))</f>
        <v>7.2095147327456116E-2</v>
      </c>
      <c r="K1290" s="2">
        <f>+INDEX(Sheet1!L:L, MATCH(Hoja1!G1290,Sheet1!M:M, 0))</f>
        <v>12.9</v>
      </c>
    </row>
    <row r="1291" spans="1:11" ht="16" x14ac:dyDescent="0.25">
      <c r="A1291" t="s">
        <v>1014</v>
      </c>
      <c r="B1291">
        <v>6</v>
      </c>
      <c r="C1291">
        <v>2023</v>
      </c>
      <c r="D1291" t="s">
        <v>1035</v>
      </c>
      <c r="E1291">
        <v>3.1</v>
      </c>
      <c r="F1291">
        <v>4053824</v>
      </c>
      <c r="G1291" s="1" t="str">
        <f t="shared" si="20"/>
        <v>Oklahoma2023</v>
      </c>
      <c r="H1291">
        <f>+INDEX(Sheet1!C:C, MATCH(Hoja1!G1291, Sheet1!D:D, 0))</f>
        <v>256689.4</v>
      </c>
      <c r="I1291">
        <f>+INDEX(Sheet1!G:G, MATCH(Hoja1!G1291, Sheet1!I:I, 0))</f>
        <v>107990</v>
      </c>
      <c r="J1291" s="2">
        <f>+INDEX(Sheet1!H:H, MATCH(Hoja1!G1291, Sheet1!I:I, 0))</f>
        <v>7.2095147327456116E-2</v>
      </c>
      <c r="K1291" s="2">
        <f>+INDEX(Sheet1!L:L, MATCH(Hoja1!G1291,Sheet1!M:M, 0))</f>
        <v>12.9</v>
      </c>
    </row>
    <row r="1292" spans="1:11" ht="16" x14ac:dyDescent="0.25">
      <c r="A1292" t="s">
        <v>1014</v>
      </c>
      <c r="B1292">
        <v>7</v>
      </c>
      <c r="C1292">
        <v>2023</v>
      </c>
      <c r="D1292" t="s">
        <v>315</v>
      </c>
      <c r="E1292">
        <v>3.2</v>
      </c>
      <c r="F1292">
        <v>4053824</v>
      </c>
      <c r="G1292" s="1" t="str">
        <f t="shared" si="20"/>
        <v>Oklahoma2023</v>
      </c>
      <c r="H1292">
        <f>+INDEX(Sheet1!C:C, MATCH(Hoja1!G1292, Sheet1!D:D, 0))</f>
        <v>256689.4</v>
      </c>
      <c r="I1292">
        <f>+INDEX(Sheet1!G:G, MATCH(Hoja1!G1292, Sheet1!I:I, 0))</f>
        <v>107990</v>
      </c>
      <c r="J1292" s="2">
        <f>+INDEX(Sheet1!H:H, MATCH(Hoja1!G1292, Sheet1!I:I, 0))</f>
        <v>7.2095147327456116E-2</v>
      </c>
      <c r="K1292" s="2">
        <f>+INDEX(Sheet1!L:L, MATCH(Hoja1!G1292,Sheet1!M:M, 0))</f>
        <v>12.9</v>
      </c>
    </row>
    <row r="1293" spans="1:11" ht="16" x14ac:dyDescent="0.25">
      <c r="A1293" t="s">
        <v>1014</v>
      </c>
      <c r="B1293">
        <v>8</v>
      </c>
      <c r="C1293">
        <v>2023</v>
      </c>
      <c r="D1293" t="s">
        <v>502</v>
      </c>
      <c r="E1293">
        <v>3.3</v>
      </c>
      <c r="F1293">
        <v>4053824</v>
      </c>
      <c r="G1293" s="1" t="str">
        <f t="shared" si="20"/>
        <v>Oklahoma2023</v>
      </c>
      <c r="H1293">
        <f>+INDEX(Sheet1!C:C, MATCH(Hoja1!G1293, Sheet1!D:D, 0))</f>
        <v>256689.4</v>
      </c>
      <c r="I1293">
        <f>+INDEX(Sheet1!G:G, MATCH(Hoja1!G1293, Sheet1!I:I, 0))</f>
        <v>107990</v>
      </c>
      <c r="J1293" s="2">
        <f>+INDEX(Sheet1!H:H, MATCH(Hoja1!G1293, Sheet1!I:I, 0))</f>
        <v>7.2095147327456116E-2</v>
      </c>
      <c r="K1293" s="2">
        <f>+INDEX(Sheet1!L:L, MATCH(Hoja1!G1293,Sheet1!M:M, 0))</f>
        <v>12.9</v>
      </c>
    </row>
    <row r="1294" spans="1:11" ht="16" x14ac:dyDescent="0.25">
      <c r="A1294" t="s">
        <v>1014</v>
      </c>
      <c r="B1294">
        <v>9</v>
      </c>
      <c r="C1294">
        <v>2023</v>
      </c>
      <c r="D1294" t="s">
        <v>1036</v>
      </c>
      <c r="E1294">
        <v>3.5</v>
      </c>
      <c r="F1294">
        <v>4053824</v>
      </c>
      <c r="G1294" s="1" t="str">
        <f t="shared" si="20"/>
        <v>Oklahoma2023</v>
      </c>
      <c r="H1294">
        <f>+INDEX(Sheet1!C:C, MATCH(Hoja1!G1294, Sheet1!D:D, 0))</f>
        <v>256689.4</v>
      </c>
      <c r="I1294">
        <f>+INDEX(Sheet1!G:G, MATCH(Hoja1!G1294, Sheet1!I:I, 0))</f>
        <v>107990</v>
      </c>
      <c r="J1294" s="2">
        <f>+INDEX(Sheet1!H:H, MATCH(Hoja1!G1294, Sheet1!I:I, 0))</f>
        <v>7.2095147327456116E-2</v>
      </c>
      <c r="K1294" s="2">
        <f>+INDEX(Sheet1!L:L, MATCH(Hoja1!G1294,Sheet1!M:M, 0))</f>
        <v>12.9</v>
      </c>
    </row>
    <row r="1295" spans="1:11" ht="16" x14ac:dyDescent="0.25">
      <c r="A1295" t="s">
        <v>1014</v>
      </c>
      <c r="B1295">
        <v>10</v>
      </c>
      <c r="C1295">
        <v>2023</v>
      </c>
      <c r="D1295" t="s">
        <v>1037</v>
      </c>
      <c r="E1295">
        <v>3.5</v>
      </c>
      <c r="F1295">
        <v>4053824</v>
      </c>
      <c r="G1295" s="1" t="str">
        <f t="shared" si="20"/>
        <v>Oklahoma2023</v>
      </c>
      <c r="H1295">
        <f>+INDEX(Sheet1!C:C, MATCH(Hoja1!G1295, Sheet1!D:D, 0))</f>
        <v>256689.4</v>
      </c>
      <c r="I1295">
        <f>+INDEX(Sheet1!G:G, MATCH(Hoja1!G1295, Sheet1!I:I, 0))</f>
        <v>107990</v>
      </c>
      <c r="J1295" s="2">
        <f>+INDEX(Sheet1!H:H, MATCH(Hoja1!G1295, Sheet1!I:I, 0))</f>
        <v>7.2095147327456116E-2</v>
      </c>
      <c r="K1295" s="2">
        <f>+INDEX(Sheet1!L:L, MATCH(Hoja1!G1295,Sheet1!M:M, 0))</f>
        <v>12.9</v>
      </c>
    </row>
    <row r="1296" spans="1:11" ht="16" x14ac:dyDescent="0.25">
      <c r="A1296" t="s">
        <v>1014</v>
      </c>
      <c r="B1296">
        <v>11</v>
      </c>
      <c r="C1296">
        <v>2023</v>
      </c>
      <c r="D1296" t="s">
        <v>1038</v>
      </c>
      <c r="E1296">
        <v>3.5</v>
      </c>
      <c r="F1296">
        <v>4053824</v>
      </c>
      <c r="G1296" s="1" t="str">
        <f t="shared" si="20"/>
        <v>Oklahoma2023</v>
      </c>
      <c r="H1296">
        <f>+INDEX(Sheet1!C:C, MATCH(Hoja1!G1296, Sheet1!D:D, 0))</f>
        <v>256689.4</v>
      </c>
      <c r="I1296">
        <f>+INDEX(Sheet1!G:G, MATCH(Hoja1!G1296, Sheet1!I:I, 0))</f>
        <v>107990</v>
      </c>
      <c r="J1296" s="2">
        <f>+INDEX(Sheet1!H:H, MATCH(Hoja1!G1296, Sheet1!I:I, 0))</f>
        <v>7.2095147327456116E-2</v>
      </c>
      <c r="K1296" s="2">
        <f>+INDEX(Sheet1!L:L, MATCH(Hoja1!G1296,Sheet1!M:M, 0))</f>
        <v>12.9</v>
      </c>
    </row>
    <row r="1297" spans="1:11" ht="16" x14ac:dyDescent="0.25">
      <c r="A1297" t="s">
        <v>1014</v>
      </c>
      <c r="B1297">
        <v>12</v>
      </c>
      <c r="C1297">
        <v>2023</v>
      </c>
      <c r="D1297" t="s">
        <v>1039</v>
      </c>
      <c r="E1297">
        <v>3.5</v>
      </c>
      <c r="F1297">
        <v>4053824</v>
      </c>
      <c r="G1297" s="1" t="str">
        <f t="shared" si="20"/>
        <v>Oklahoma2023</v>
      </c>
      <c r="H1297">
        <f>+INDEX(Sheet1!C:C, MATCH(Hoja1!G1297, Sheet1!D:D, 0))</f>
        <v>256689.4</v>
      </c>
      <c r="I1297">
        <f>+INDEX(Sheet1!G:G, MATCH(Hoja1!G1297, Sheet1!I:I, 0))</f>
        <v>107990</v>
      </c>
      <c r="J1297" s="2">
        <f>+INDEX(Sheet1!H:H, MATCH(Hoja1!G1297, Sheet1!I:I, 0))</f>
        <v>7.2095147327456116E-2</v>
      </c>
      <c r="K1297" s="2">
        <f>+INDEX(Sheet1!L:L, MATCH(Hoja1!G1297,Sheet1!M:M, 0))</f>
        <v>12.9</v>
      </c>
    </row>
    <row r="1298" spans="1:11" ht="16" x14ac:dyDescent="0.25">
      <c r="A1298" t="s">
        <v>1040</v>
      </c>
      <c r="B1298">
        <v>1</v>
      </c>
      <c r="C1298">
        <v>2021</v>
      </c>
      <c r="D1298" t="s">
        <v>1041</v>
      </c>
      <c r="E1298">
        <v>6.4</v>
      </c>
      <c r="F1298">
        <v>4256465</v>
      </c>
      <c r="G1298" s="1" t="str">
        <f t="shared" si="20"/>
        <v>Oregon2021</v>
      </c>
      <c r="H1298">
        <f>+INDEX(Sheet1!C:C, MATCH(Hoja1!G1298, Sheet1!D:D, 0))</f>
        <v>275653.09999999998</v>
      </c>
      <c r="I1298">
        <f>+INDEX(Sheet1!G:G, MATCH(Hoja1!G1298, Sheet1!I:I, 0))</f>
        <v>110992</v>
      </c>
      <c r="J1298" s="2">
        <f>+INDEX(Sheet1!H:H, MATCH(Hoja1!G1298, Sheet1!I:I, 0))</f>
        <v>5.4335435823390836E-2</v>
      </c>
      <c r="K1298" s="2">
        <f>+INDEX(Sheet1!L:L, MATCH(Hoja1!G1298,Sheet1!M:M, 0))</f>
        <v>9.1999999999999993</v>
      </c>
    </row>
    <row r="1299" spans="1:11" ht="16" x14ac:dyDescent="0.25">
      <c r="A1299" t="s">
        <v>1040</v>
      </c>
      <c r="B1299">
        <v>2</v>
      </c>
      <c r="C1299">
        <v>2021</v>
      </c>
      <c r="D1299" t="s">
        <v>500</v>
      </c>
      <c r="E1299">
        <v>6.2</v>
      </c>
      <c r="F1299">
        <v>4256465</v>
      </c>
      <c r="G1299" s="1" t="str">
        <f t="shared" si="20"/>
        <v>Oregon2021</v>
      </c>
      <c r="H1299">
        <f>+INDEX(Sheet1!C:C, MATCH(Hoja1!G1299, Sheet1!D:D, 0))</f>
        <v>275653.09999999998</v>
      </c>
      <c r="I1299">
        <f>+INDEX(Sheet1!G:G, MATCH(Hoja1!G1299, Sheet1!I:I, 0))</f>
        <v>110992</v>
      </c>
      <c r="J1299" s="2">
        <f>+INDEX(Sheet1!H:H, MATCH(Hoja1!G1299, Sheet1!I:I, 0))</f>
        <v>5.4335435823390836E-2</v>
      </c>
      <c r="K1299" s="2">
        <f>+INDEX(Sheet1!L:L, MATCH(Hoja1!G1299,Sheet1!M:M, 0))</f>
        <v>9.1999999999999993</v>
      </c>
    </row>
    <row r="1300" spans="1:11" ht="16" x14ac:dyDescent="0.25">
      <c r="A1300" t="s">
        <v>1040</v>
      </c>
      <c r="B1300">
        <v>3</v>
      </c>
      <c r="C1300">
        <v>2021</v>
      </c>
      <c r="D1300" t="s">
        <v>1042</v>
      </c>
      <c r="E1300">
        <v>6.1</v>
      </c>
      <c r="F1300">
        <v>4256465</v>
      </c>
      <c r="G1300" s="1" t="str">
        <f t="shared" si="20"/>
        <v>Oregon2021</v>
      </c>
      <c r="H1300">
        <f>+INDEX(Sheet1!C:C, MATCH(Hoja1!G1300, Sheet1!D:D, 0))</f>
        <v>275653.09999999998</v>
      </c>
      <c r="I1300">
        <f>+INDEX(Sheet1!G:G, MATCH(Hoja1!G1300, Sheet1!I:I, 0))</f>
        <v>110992</v>
      </c>
      <c r="J1300" s="2">
        <f>+INDEX(Sheet1!H:H, MATCH(Hoja1!G1300, Sheet1!I:I, 0))</f>
        <v>5.4335435823390836E-2</v>
      </c>
      <c r="K1300" s="2">
        <f>+INDEX(Sheet1!L:L, MATCH(Hoja1!G1300,Sheet1!M:M, 0))</f>
        <v>9.1999999999999993</v>
      </c>
    </row>
    <row r="1301" spans="1:11" ht="16" x14ac:dyDescent="0.25">
      <c r="A1301" t="s">
        <v>1040</v>
      </c>
      <c r="B1301">
        <v>4</v>
      </c>
      <c r="C1301">
        <v>2021</v>
      </c>
      <c r="D1301" t="s">
        <v>685</v>
      </c>
      <c r="E1301">
        <v>5.9</v>
      </c>
      <c r="F1301">
        <v>4256465</v>
      </c>
      <c r="G1301" s="1" t="str">
        <f t="shared" si="20"/>
        <v>Oregon2021</v>
      </c>
      <c r="H1301">
        <f>+INDEX(Sheet1!C:C, MATCH(Hoja1!G1301, Sheet1!D:D, 0))</f>
        <v>275653.09999999998</v>
      </c>
      <c r="I1301">
        <f>+INDEX(Sheet1!G:G, MATCH(Hoja1!G1301, Sheet1!I:I, 0))</f>
        <v>110992</v>
      </c>
      <c r="J1301" s="2">
        <f>+INDEX(Sheet1!H:H, MATCH(Hoja1!G1301, Sheet1!I:I, 0))</f>
        <v>5.4335435823390836E-2</v>
      </c>
      <c r="K1301" s="2">
        <f>+INDEX(Sheet1!L:L, MATCH(Hoja1!G1301,Sheet1!M:M, 0))</f>
        <v>9.1999999999999993</v>
      </c>
    </row>
    <row r="1302" spans="1:11" ht="16" x14ac:dyDescent="0.25">
      <c r="A1302" t="s">
        <v>1040</v>
      </c>
      <c r="B1302">
        <v>5</v>
      </c>
      <c r="C1302">
        <v>2021</v>
      </c>
      <c r="D1302" t="s">
        <v>1043</v>
      </c>
      <c r="E1302">
        <v>5.6</v>
      </c>
      <c r="F1302">
        <v>4256465</v>
      </c>
      <c r="G1302" s="1" t="str">
        <f t="shared" si="20"/>
        <v>Oregon2021</v>
      </c>
      <c r="H1302">
        <f>+INDEX(Sheet1!C:C, MATCH(Hoja1!G1302, Sheet1!D:D, 0))</f>
        <v>275653.09999999998</v>
      </c>
      <c r="I1302">
        <f>+INDEX(Sheet1!G:G, MATCH(Hoja1!G1302, Sheet1!I:I, 0))</f>
        <v>110992</v>
      </c>
      <c r="J1302" s="2">
        <f>+INDEX(Sheet1!H:H, MATCH(Hoja1!G1302, Sheet1!I:I, 0))</f>
        <v>5.4335435823390836E-2</v>
      </c>
      <c r="K1302" s="2">
        <f>+INDEX(Sheet1!L:L, MATCH(Hoja1!G1302,Sheet1!M:M, 0))</f>
        <v>9.1999999999999993</v>
      </c>
    </row>
    <row r="1303" spans="1:11" ht="16" x14ac:dyDescent="0.25">
      <c r="A1303" t="s">
        <v>1040</v>
      </c>
      <c r="B1303">
        <v>6</v>
      </c>
      <c r="C1303">
        <v>2021</v>
      </c>
      <c r="D1303" t="s">
        <v>242</v>
      </c>
      <c r="E1303">
        <v>5.4</v>
      </c>
      <c r="F1303">
        <v>4256465</v>
      </c>
      <c r="G1303" s="1" t="str">
        <f t="shared" si="20"/>
        <v>Oregon2021</v>
      </c>
      <c r="H1303">
        <f>+INDEX(Sheet1!C:C, MATCH(Hoja1!G1303, Sheet1!D:D, 0))</f>
        <v>275653.09999999998</v>
      </c>
      <c r="I1303">
        <f>+INDEX(Sheet1!G:G, MATCH(Hoja1!G1303, Sheet1!I:I, 0))</f>
        <v>110992</v>
      </c>
      <c r="J1303" s="2">
        <f>+INDEX(Sheet1!H:H, MATCH(Hoja1!G1303, Sheet1!I:I, 0))</f>
        <v>5.4335435823390836E-2</v>
      </c>
      <c r="K1303" s="2">
        <f>+INDEX(Sheet1!L:L, MATCH(Hoja1!G1303,Sheet1!M:M, 0))</f>
        <v>9.1999999999999993</v>
      </c>
    </row>
    <row r="1304" spans="1:11" ht="16" x14ac:dyDescent="0.25">
      <c r="A1304" t="s">
        <v>1040</v>
      </c>
      <c r="B1304">
        <v>7</v>
      </c>
      <c r="C1304">
        <v>2021</v>
      </c>
      <c r="D1304" t="s">
        <v>1044</v>
      </c>
      <c r="E1304">
        <v>5</v>
      </c>
      <c r="F1304">
        <v>4256465</v>
      </c>
      <c r="G1304" s="1" t="str">
        <f t="shared" si="20"/>
        <v>Oregon2021</v>
      </c>
      <c r="H1304">
        <f>+INDEX(Sheet1!C:C, MATCH(Hoja1!G1304, Sheet1!D:D, 0))</f>
        <v>275653.09999999998</v>
      </c>
      <c r="I1304">
        <f>+INDEX(Sheet1!G:G, MATCH(Hoja1!G1304, Sheet1!I:I, 0))</f>
        <v>110992</v>
      </c>
      <c r="J1304" s="2">
        <f>+INDEX(Sheet1!H:H, MATCH(Hoja1!G1304, Sheet1!I:I, 0))</f>
        <v>5.4335435823390836E-2</v>
      </c>
      <c r="K1304" s="2">
        <f>+INDEX(Sheet1!L:L, MATCH(Hoja1!G1304,Sheet1!M:M, 0))</f>
        <v>9.1999999999999993</v>
      </c>
    </row>
    <row r="1305" spans="1:11" ht="16" x14ac:dyDescent="0.25">
      <c r="A1305" t="s">
        <v>1040</v>
      </c>
      <c r="B1305">
        <v>8</v>
      </c>
      <c r="C1305">
        <v>2021</v>
      </c>
      <c r="D1305" t="s">
        <v>1045</v>
      </c>
      <c r="E1305">
        <v>4.7</v>
      </c>
      <c r="F1305">
        <v>4256465</v>
      </c>
      <c r="G1305" s="1" t="str">
        <f t="shared" si="20"/>
        <v>Oregon2021</v>
      </c>
      <c r="H1305">
        <f>+INDEX(Sheet1!C:C, MATCH(Hoja1!G1305, Sheet1!D:D, 0))</f>
        <v>275653.09999999998</v>
      </c>
      <c r="I1305">
        <f>+INDEX(Sheet1!G:G, MATCH(Hoja1!G1305, Sheet1!I:I, 0))</f>
        <v>110992</v>
      </c>
      <c r="J1305" s="2">
        <f>+INDEX(Sheet1!H:H, MATCH(Hoja1!G1305, Sheet1!I:I, 0))</f>
        <v>5.4335435823390836E-2</v>
      </c>
      <c r="K1305" s="2">
        <f>+INDEX(Sheet1!L:L, MATCH(Hoja1!G1305,Sheet1!M:M, 0))</f>
        <v>9.1999999999999993</v>
      </c>
    </row>
    <row r="1306" spans="1:11" ht="16" x14ac:dyDescent="0.25">
      <c r="A1306" t="s">
        <v>1040</v>
      </c>
      <c r="B1306">
        <v>9</v>
      </c>
      <c r="C1306">
        <v>2021</v>
      </c>
      <c r="D1306" t="s">
        <v>772</v>
      </c>
      <c r="E1306">
        <v>4.4000000000000004</v>
      </c>
      <c r="F1306">
        <v>4256465</v>
      </c>
      <c r="G1306" s="1" t="str">
        <f t="shared" si="20"/>
        <v>Oregon2021</v>
      </c>
      <c r="H1306">
        <f>+INDEX(Sheet1!C:C, MATCH(Hoja1!G1306, Sheet1!D:D, 0))</f>
        <v>275653.09999999998</v>
      </c>
      <c r="I1306">
        <f>+INDEX(Sheet1!G:G, MATCH(Hoja1!G1306, Sheet1!I:I, 0))</f>
        <v>110992</v>
      </c>
      <c r="J1306" s="2">
        <f>+INDEX(Sheet1!H:H, MATCH(Hoja1!G1306, Sheet1!I:I, 0))</f>
        <v>5.4335435823390836E-2</v>
      </c>
      <c r="K1306" s="2">
        <f>+INDEX(Sheet1!L:L, MATCH(Hoja1!G1306,Sheet1!M:M, 0))</f>
        <v>9.1999999999999993</v>
      </c>
    </row>
    <row r="1307" spans="1:11" ht="16" x14ac:dyDescent="0.25">
      <c r="A1307" t="s">
        <v>1040</v>
      </c>
      <c r="B1307">
        <v>10</v>
      </c>
      <c r="C1307">
        <v>2021</v>
      </c>
      <c r="D1307" t="s">
        <v>1046</v>
      </c>
      <c r="E1307">
        <v>4.2</v>
      </c>
      <c r="F1307">
        <v>4256465</v>
      </c>
      <c r="G1307" s="1" t="str">
        <f t="shared" si="20"/>
        <v>Oregon2021</v>
      </c>
      <c r="H1307">
        <f>+INDEX(Sheet1!C:C, MATCH(Hoja1!G1307, Sheet1!D:D, 0))</f>
        <v>275653.09999999998</v>
      </c>
      <c r="I1307">
        <f>+INDEX(Sheet1!G:G, MATCH(Hoja1!G1307, Sheet1!I:I, 0))</f>
        <v>110992</v>
      </c>
      <c r="J1307" s="2">
        <f>+INDEX(Sheet1!H:H, MATCH(Hoja1!G1307, Sheet1!I:I, 0))</f>
        <v>5.4335435823390836E-2</v>
      </c>
      <c r="K1307" s="2">
        <f>+INDEX(Sheet1!L:L, MATCH(Hoja1!G1307,Sheet1!M:M, 0))</f>
        <v>9.1999999999999993</v>
      </c>
    </row>
    <row r="1308" spans="1:11" ht="16" x14ac:dyDescent="0.25">
      <c r="A1308" t="s">
        <v>1040</v>
      </c>
      <c r="B1308">
        <v>11</v>
      </c>
      <c r="C1308">
        <v>2021</v>
      </c>
      <c r="D1308" t="s">
        <v>1047</v>
      </c>
      <c r="E1308">
        <v>4</v>
      </c>
      <c r="F1308">
        <v>4256465</v>
      </c>
      <c r="G1308" s="1" t="str">
        <f t="shared" si="20"/>
        <v>Oregon2021</v>
      </c>
      <c r="H1308">
        <f>+INDEX(Sheet1!C:C, MATCH(Hoja1!G1308, Sheet1!D:D, 0))</f>
        <v>275653.09999999998</v>
      </c>
      <c r="I1308">
        <f>+INDEX(Sheet1!G:G, MATCH(Hoja1!G1308, Sheet1!I:I, 0))</f>
        <v>110992</v>
      </c>
      <c r="J1308" s="2">
        <f>+INDEX(Sheet1!H:H, MATCH(Hoja1!G1308, Sheet1!I:I, 0))</f>
        <v>5.4335435823390836E-2</v>
      </c>
      <c r="K1308" s="2">
        <f>+INDEX(Sheet1!L:L, MATCH(Hoja1!G1308,Sheet1!M:M, 0))</f>
        <v>9.1999999999999993</v>
      </c>
    </row>
    <row r="1309" spans="1:11" ht="16" x14ac:dyDescent="0.25">
      <c r="A1309" t="s">
        <v>1040</v>
      </c>
      <c r="B1309">
        <v>12</v>
      </c>
      <c r="C1309">
        <v>2021</v>
      </c>
      <c r="D1309" t="s">
        <v>1048</v>
      </c>
      <c r="E1309">
        <v>3.9</v>
      </c>
      <c r="F1309">
        <v>4256465</v>
      </c>
      <c r="G1309" s="1" t="str">
        <f t="shared" si="20"/>
        <v>Oregon2021</v>
      </c>
      <c r="H1309">
        <f>+INDEX(Sheet1!C:C, MATCH(Hoja1!G1309, Sheet1!D:D, 0))</f>
        <v>275653.09999999998</v>
      </c>
      <c r="I1309">
        <f>+INDEX(Sheet1!G:G, MATCH(Hoja1!G1309, Sheet1!I:I, 0))</f>
        <v>110992</v>
      </c>
      <c r="J1309" s="2">
        <f>+INDEX(Sheet1!H:H, MATCH(Hoja1!G1309, Sheet1!I:I, 0))</f>
        <v>5.4335435823390836E-2</v>
      </c>
      <c r="K1309" s="2">
        <f>+INDEX(Sheet1!L:L, MATCH(Hoja1!G1309,Sheet1!M:M, 0))</f>
        <v>9.1999999999999993</v>
      </c>
    </row>
    <row r="1310" spans="1:11" ht="16" x14ac:dyDescent="0.25">
      <c r="A1310" t="s">
        <v>1040</v>
      </c>
      <c r="B1310">
        <v>1</v>
      </c>
      <c r="C1310">
        <v>2022</v>
      </c>
      <c r="D1310" t="s">
        <v>1049</v>
      </c>
      <c r="E1310">
        <v>3.9</v>
      </c>
      <c r="F1310">
        <v>4239379</v>
      </c>
      <c r="G1310" s="1" t="str">
        <f t="shared" si="20"/>
        <v>Oregon2022</v>
      </c>
      <c r="H1310">
        <f>+INDEX(Sheet1!C:C, MATCH(Hoja1!G1310, Sheet1!D:D, 0))</f>
        <v>298848</v>
      </c>
      <c r="I1310">
        <f>+INDEX(Sheet1!G:G, MATCH(Hoja1!G1310, Sheet1!I:I, 0))</f>
        <v>113536</v>
      </c>
      <c r="J1310" s="2">
        <f>+INDEX(Sheet1!H:H, MATCH(Hoja1!G1310, Sheet1!I:I, 0))</f>
        <v>2.2920570851953294E-2</v>
      </c>
      <c r="K1310" s="2">
        <f>+INDEX(Sheet1!L:L, MATCH(Hoja1!G1310,Sheet1!M:M, 0))</f>
        <v>9.9</v>
      </c>
    </row>
    <row r="1311" spans="1:11" ht="16" x14ac:dyDescent="0.25">
      <c r="A1311" t="s">
        <v>1040</v>
      </c>
      <c r="B1311">
        <v>2</v>
      </c>
      <c r="C1311">
        <v>2022</v>
      </c>
      <c r="D1311" t="s">
        <v>1050</v>
      </c>
      <c r="E1311">
        <v>3.7</v>
      </c>
      <c r="F1311">
        <v>4239379</v>
      </c>
      <c r="G1311" s="1" t="str">
        <f t="shared" si="20"/>
        <v>Oregon2022</v>
      </c>
      <c r="H1311">
        <f>+INDEX(Sheet1!C:C, MATCH(Hoja1!G1311, Sheet1!D:D, 0))</f>
        <v>298848</v>
      </c>
      <c r="I1311">
        <f>+INDEX(Sheet1!G:G, MATCH(Hoja1!G1311, Sheet1!I:I, 0))</f>
        <v>113536</v>
      </c>
      <c r="J1311" s="2">
        <f>+INDEX(Sheet1!H:H, MATCH(Hoja1!G1311, Sheet1!I:I, 0))</f>
        <v>2.2920570851953294E-2</v>
      </c>
      <c r="K1311" s="2">
        <f>+INDEX(Sheet1!L:L, MATCH(Hoja1!G1311,Sheet1!M:M, 0))</f>
        <v>9.9</v>
      </c>
    </row>
    <row r="1312" spans="1:11" ht="16" x14ac:dyDescent="0.25">
      <c r="A1312" t="s">
        <v>1040</v>
      </c>
      <c r="B1312">
        <v>3</v>
      </c>
      <c r="C1312">
        <v>2022</v>
      </c>
      <c r="D1312" t="s">
        <v>1051</v>
      </c>
      <c r="E1312">
        <v>3.7</v>
      </c>
      <c r="F1312">
        <v>4239379</v>
      </c>
      <c r="G1312" s="1" t="str">
        <f t="shared" si="20"/>
        <v>Oregon2022</v>
      </c>
      <c r="H1312">
        <f>+INDEX(Sheet1!C:C, MATCH(Hoja1!G1312, Sheet1!D:D, 0))</f>
        <v>298848</v>
      </c>
      <c r="I1312">
        <f>+INDEX(Sheet1!G:G, MATCH(Hoja1!G1312, Sheet1!I:I, 0))</f>
        <v>113536</v>
      </c>
      <c r="J1312" s="2">
        <f>+INDEX(Sheet1!H:H, MATCH(Hoja1!G1312, Sheet1!I:I, 0))</f>
        <v>2.2920570851953294E-2</v>
      </c>
      <c r="K1312" s="2">
        <f>+INDEX(Sheet1!L:L, MATCH(Hoja1!G1312,Sheet1!M:M, 0))</f>
        <v>9.9</v>
      </c>
    </row>
    <row r="1313" spans="1:11" ht="16" x14ac:dyDescent="0.25">
      <c r="A1313" t="s">
        <v>1040</v>
      </c>
      <c r="B1313">
        <v>4</v>
      </c>
      <c r="C1313">
        <v>2022</v>
      </c>
      <c r="D1313" t="s">
        <v>1052</v>
      </c>
      <c r="E1313">
        <v>3.7</v>
      </c>
      <c r="F1313">
        <v>4239379</v>
      </c>
      <c r="G1313" s="1" t="str">
        <f t="shared" si="20"/>
        <v>Oregon2022</v>
      </c>
      <c r="H1313">
        <f>+INDEX(Sheet1!C:C, MATCH(Hoja1!G1313, Sheet1!D:D, 0))</f>
        <v>298848</v>
      </c>
      <c r="I1313">
        <f>+INDEX(Sheet1!G:G, MATCH(Hoja1!G1313, Sheet1!I:I, 0))</f>
        <v>113536</v>
      </c>
      <c r="J1313" s="2">
        <f>+INDEX(Sheet1!H:H, MATCH(Hoja1!G1313, Sheet1!I:I, 0))</f>
        <v>2.2920570851953294E-2</v>
      </c>
      <c r="K1313" s="2">
        <f>+INDEX(Sheet1!L:L, MATCH(Hoja1!G1313,Sheet1!M:M, 0))</f>
        <v>9.9</v>
      </c>
    </row>
    <row r="1314" spans="1:11" ht="16" x14ac:dyDescent="0.25">
      <c r="A1314" t="s">
        <v>1040</v>
      </c>
      <c r="B1314">
        <v>5</v>
      </c>
      <c r="C1314">
        <v>2022</v>
      </c>
      <c r="D1314" t="s">
        <v>1053</v>
      </c>
      <c r="E1314">
        <v>3.7</v>
      </c>
      <c r="F1314">
        <v>4239379</v>
      </c>
      <c r="G1314" s="1" t="str">
        <f t="shared" si="20"/>
        <v>Oregon2022</v>
      </c>
      <c r="H1314">
        <f>+INDEX(Sheet1!C:C, MATCH(Hoja1!G1314, Sheet1!D:D, 0))</f>
        <v>298848</v>
      </c>
      <c r="I1314">
        <f>+INDEX(Sheet1!G:G, MATCH(Hoja1!G1314, Sheet1!I:I, 0))</f>
        <v>113536</v>
      </c>
      <c r="J1314" s="2">
        <f>+INDEX(Sheet1!H:H, MATCH(Hoja1!G1314, Sheet1!I:I, 0))</f>
        <v>2.2920570851953294E-2</v>
      </c>
      <c r="K1314" s="2">
        <f>+INDEX(Sheet1!L:L, MATCH(Hoja1!G1314,Sheet1!M:M, 0))</f>
        <v>9.9</v>
      </c>
    </row>
    <row r="1315" spans="1:11" ht="16" x14ac:dyDescent="0.25">
      <c r="A1315" t="s">
        <v>1040</v>
      </c>
      <c r="B1315">
        <v>6</v>
      </c>
      <c r="C1315">
        <v>2022</v>
      </c>
      <c r="D1315" t="s">
        <v>1054</v>
      </c>
      <c r="E1315">
        <v>3.8</v>
      </c>
      <c r="F1315">
        <v>4239379</v>
      </c>
      <c r="G1315" s="1" t="str">
        <f t="shared" si="20"/>
        <v>Oregon2022</v>
      </c>
      <c r="H1315">
        <f>+INDEX(Sheet1!C:C, MATCH(Hoja1!G1315, Sheet1!D:D, 0))</f>
        <v>298848</v>
      </c>
      <c r="I1315">
        <f>+INDEX(Sheet1!G:G, MATCH(Hoja1!G1315, Sheet1!I:I, 0))</f>
        <v>113536</v>
      </c>
      <c r="J1315" s="2">
        <f>+INDEX(Sheet1!H:H, MATCH(Hoja1!G1315, Sheet1!I:I, 0))</f>
        <v>2.2920570851953294E-2</v>
      </c>
      <c r="K1315" s="2">
        <f>+INDEX(Sheet1!L:L, MATCH(Hoja1!G1315,Sheet1!M:M, 0))</f>
        <v>9.9</v>
      </c>
    </row>
    <row r="1316" spans="1:11" ht="16" x14ac:dyDescent="0.25">
      <c r="A1316" t="s">
        <v>1040</v>
      </c>
      <c r="B1316">
        <v>7</v>
      </c>
      <c r="C1316">
        <v>2022</v>
      </c>
      <c r="D1316" t="s">
        <v>1055</v>
      </c>
      <c r="E1316">
        <v>3.9</v>
      </c>
      <c r="F1316">
        <v>4239379</v>
      </c>
      <c r="G1316" s="1" t="str">
        <f t="shared" si="20"/>
        <v>Oregon2022</v>
      </c>
      <c r="H1316">
        <f>+INDEX(Sheet1!C:C, MATCH(Hoja1!G1316, Sheet1!D:D, 0))</f>
        <v>298848</v>
      </c>
      <c r="I1316">
        <f>+INDEX(Sheet1!G:G, MATCH(Hoja1!G1316, Sheet1!I:I, 0))</f>
        <v>113536</v>
      </c>
      <c r="J1316" s="2">
        <f>+INDEX(Sheet1!H:H, MATCH(Hoja1!G1316, Sheet1!I:I, 0))</f>
        <v>2.2920570851953294E-2</v>
      </c>
      <c r="K1316" s="2">
        <f>+INDEX(Sheet1!L:L, MATCH(Hoja1!G1316,Sheet1!M:M, 0))</f>
        <v>9.9</v>
      </c>
    </row>
    <row r="1317" spans="1:11" ht="16" x14ac:dyDescent="0.25">
      <c r="A1317" t="s">
        <v>1040</v>
      </c>
      <c r="B1317">
        <v>8</v>
      </c>
      <c r="C1317">
        <v>2022</v>
      </c>
      <c r="D1317" t="s">
        <v>1056</v>
      </c>
      <c r="E1317">
        <v>4</v>
      </c>
      <c r="F1317">
        <v>4239379</v>
      </c>
      <c r="G1317" s="1" t="str">
        <f t="shared" si="20"/>
        <v>Oregon2022</v>
      </c>
      <c r="H1317">
        <f>+INDEX(Sheet1!C:C, MATCH(Hoja1!G1317, Sheet1!D:D, 0))</f>
        <v>298848</v>
      </c>
      <c r="I1317">
        <f>+INDEX(Sheet1!G:G, MATCH(Hoja1!G1317, Sheet1!I:I, 0))</f>
        <v>113536</v>
      </c>
      <c r="J1317" s="2">
        <f>+INDEX(Sheet1!H:H, MATCH(Hoja1!G1317, Sheet1!I:I, 0))</f>
        <v>2.2920570851953294E-2</v>
      </c>
      <c r="K1317" s="2">
        <f>+INDEX(Sheet1!L:L, MATCH(Hoja1!G1317,Sheet1!M:M, 0))</f>
        <v>9.9</v>
      </c>
    </row>
    <row r="1318" spans="1:11" ht="16" x14ac:dyDescent="0.25">
      <c r="A1318" t="s">
        <v>1040</v>
      </c>
      <c r="B1318">
        <v>9</v>
      </c>
      <c r="C1318">
        <v>2022</v>
      </c>
      <c r="D1318" t="s">
        <v>1057</v>
      </c>
      <c r="E1318">
        <v>4.2</v>
      </c>
      <c r="F1318">
        <v>4239379</v>
      </c>
      <c r="G1318" s="1" t="str">
        <f t="shared" si="20"/>
        <v>Oregon2022</v>
      </c>
      <c r="H1318">
        <f>+INDEX(Sheet1!C:C, MATCH(Hoja1!G1318, Sheet1!D:D, 0))</f>
        <v>298848</v>
      </c>
      <c r="I1318">
        <f>+INDEX(Sheet1!G:G, MATCH(Hoja1!G1318, Sheet1!I:I, 0))</f>
        <v>113536</v>
      </c>
      <c r="J1318" s="2">
        <f>+INDEX(Sheet1!H:H, MATCH(Hoja1!G1318, Sheet1!I:I, 0))</f>
        <v>2.2920570851953294E-2</v>
      </c>
      <c r="K1318" s="2">
        <f>+INDEX(Sheet1!L:L, MATCH(Hoja1!G1318,Sheet1!M:M, 0))</f>
        <v>9.9</v>
      </c>
    </row>
    <row r="1319" spans="1:11" ht="16" x14ac:dyDescent="0.25">
      <c r="A1319" t="s">
        <v>1040</v>
      </c>
      <c r="B1319">
        <v>10</v>
      </c>
      <c r="C1319">
        <v>2022</v>
      </c>
      <c r="D1319" t="s">
        <v>1058</v>
      </c>
      <c r="E1319">
        <v>4.2</v>
      </c>
      <c r="F1319">
        <v>4239379</v>
      </c>
      <c r="G1319" s="1" t="str">
        <f t="shared" si="20"/>
        <v>Oregon2022</v>
      </c>
      <c r="H1319">
        <f>+INDEX(Sheet1!C:C, MATCH(Hoja1!G1319, Sheet1!D:D, 0))</f>
        <v>298848</v>
      </c>
      <c r="I1319">
        <f>+INDEX(Sheet1!G:G, MATCH(Hoja1!G1319, Sheet1!I:I, 0))</f>
        <v>113536</v>
      </c>
      <c r="J1319" s="2">
        <f>+INDEX(Sheet1!H:H, MATCH(Hoja1!G1319, Sheet1!I:I, 0))</f>
        <v>2.2920570851953294E-2</v>
      </c>
      <c r="K1319" s="2">
        <f>+INDEX(Sheet1!L:L, MATCH(Hoja1!G1319,Sheet1!M:M, 0))</f>
        <v>9.9</v>
      </c>
    </row>
    <row r="1320" spans="1:11" ht="16" x14ac:dyDescent="0.25">
      <c r="A1320" t="s">
        <v>1040</v>
      </c>
      <c r="B1320">
        <v>11</v>
      </c>
      <c r="C1320">
        <v>2022</v>
      </c>
      <c r="D1320" t="s">
        <v>1053</v>
      </c>
      <c r="E1320">
        <v>4.2</v>
      </c>
      <c r="F1320">
        <v>4239379</v>
      </c>
      <c r="G1320" s="1" t="str">
        <f t="shared" si="20"/>
        <v>Oregon2022</v>
      </c>
      <c r="H1320">
        <f>+INDEX(Sheet1!C:C, MATCH(Hoja1!G1320, Sheet1!D:D, 0))</f>
        <v>298848</v>
      </c>
      <c r="I1320">
        <f>+INDEX(Sheet1!G:G, MATCH(Hoja1!G1320, Sheet1!I:I, 0))</f>
        <v>113536</v>
      </c>
      <c r="J1320" s="2">
        <f>+INDEX(Sheet1!H:H, MATCH(Hoja1!G1320, Sheet1!I:I, 0))</f>
        <v>2.2920570851953294E-2</v>
      </c>
      <c r="K1320" s="2">
        <f>+INDEX(Sheet1!L:L, MATCH(Hoja1!G1320,Sheet1!M:M, 0))</f>
        <v>9.9</v>
      </c>
    </row>
    <row r="1321" spans="1:11" ht="16" x14ac:dyDescent="0.25">
      <c r="A1321" t="s">
        <v>1040</v>
      </c>
      <c r="B1321">
        <v>12</v>
      </c>
      <c r="C1321">
        <v>2022</v>
      </c>
      <c r="D1321" t="s">
        <v>1059</v>
      </c>
      <c r="E1321">
        <v>4</v>
      </c>
      <c r="F1321">
        <v>4239379</v>
      </c>
      <c r="G1321" s="1" t="str">
        <f t="shared" si="20"/>
        <v>Oregon2022</v>
      </c>
      <c r="H1321">
        <f>+INDEX(Sheet1!C:C, MATCH(Hoja1!G1321, Sheet1!D:D, 0))</f>
        <v>298848</v>
      </c>
      <c r="I1321">
        <f>+INDEX(Sheet1!G:G, MATCH(Hoja1!G1321, Sheet1!I:I, 0))</f>
        <v>113536</v>
      </c>
      <c r="J1321" s="2">
        <f>+INDEX(Sheet1!H:H, MATCH(Hoja1!G1321, Sheet1!I:I, 0))</f>
        <v>2.2920570851953294E-2</v>
      </c>
      <c r="K1321" s="2">
        <f>+INDEX(Sheet1!L:L, MATCH(Hoja1!G1321,Sheet1!M:M, 0))</f>
        <v>9.9</v>
      </c>
    </row>
    <row r="1322" spans="1:11" ht="16" x14ac:dyDescent="0.25">
      <c r="A1322" t="s">
        <v>1040</v>
      </c>
      <c r="B1322">
        <v>1</v>
      </c>
      <c r="C1322">
        <v>2023</v>
      </c>
      <c r="D1322" t="s">
        <v>1060</v>
      </c>
      <c r="E1322">
        <v>3.8</v>
      </c>
      <c r="F1322">
        <v>4233358</v>
      </c>
      <c r="G1322" s="1" t="str">
        <f t="shared" si="20"/>
        <v>Oregon2023</v>
      </c>
      <c r="H1322">
        <f>+INDEX(Sheet1!C:C, MATCH(Hoja1!G1322, Sheet1!D:D, 0))</f>
        <v>318884.09999999998</v>
      </c>
      <c r="I1322">
        <f>+INDEX(Sheet1!G:G, MATCH(Hoja1!G1322, Sheet1!I:I, 0))</f>
        <v>116147</v>
      </c>
      <c r="J1322" s="2">
        <f>+INDEX(Sheet1!H:H, MATCH(Hoja1!G1322, Sheet1!I:I, 0))</f>
        <v>2.2997111048478017E-2</v>
      </c>
      <c r="K1322" s="2">
        <f>+INDEX(Sheet1!L:L, MATCH(Hoja1!G1322,Sheet1!M:M, 0))</f>
        <v>10.3</v>
      </c>
    </row>
    <row r="1323" spans="1:11" ht="16" x14ac:dyDescent="0.25">
      <c r="A1323" t="s">
        <v>1040</v>
      </c>
      <c r="B1323">
        <v>2</v>
      </c>
      <c r="C1323">
        <v>2023</v>
      </c>
      <c r="D1323" t="s">
        <v>1061</v>
      </c>
      <c r="E1323">
        <v>3.6</v>
      </c>
      <c r="F1323">
        <v>4233358</v>
      </c>
      <c r="G1323" s="1" t="str">
        <f t="shared" si="20"/>
        <v>Oregon2023</v>
      </c>
      <c r="H1323">
        <f>+INDEX(Sheet1!C:C, MATCH(Hoja1!G1323, Sheet1!D:D, 0))</f>
        <v>318884.09999999998</v>
      </c>
      <c r="I1323">
        <f>+INDEX(Sheet1!G:G, MATCH(Hoja1!G1323, Sheet1!I:I, 0))</f>
        <v>116147</v>
      </c>
      <c r="J1323" s="2">
        <f>+INDEX(Sheet1!H:H, MATCH(Hoja1!G1323, Sheet1!I:I, 0))</f>
        <v>2.2997111048478017E-2</v>
      </c>
      <c r="K1323" s="2">
        <f>+INDEX(Sheet1!L:L, MATCH(Hoja1!G1323,Sheet1!M:M, 0))</f>
        <v>10.3</v>
      </c>
    </row>
    <row r="1324" spans="1:11" ht="16" x14ac:dyDescent="0.25">
      <c r="A1324" t="s">
        <v>1040</v>
      </c>
      <c r="B1324">
        <v>3</v>
      </c>
      <c r="C1324">
        <v>2023</v>
      </c>
      <c r="D1324" t="s">
        <v>1062</v>
      </c>
      <c r="E1324">
        <v>3.5</v>
      </c>
      <c r="F1324">
        <v>4233358</v>
      </c>
      <c r="G1324" s="1" t="str">
        <f t="shared" si="20"/>
        <v>Oregon2023</v>
      </c>
      <c r="H1324">
        <f>+INDEX(Sheet1!C:C, MATCH(Hoja1!G1324, Sheet1!D:D, 0))</f>
        <v>318884.09999999998</v>
      </c>
      <c r="I1324">
        <f>+INDEX(Sheet1!G:G, MATCH(Hoja1!G1324, Sheet1!I:I, 0))</f>
        <v>116147</v>
      </c>
      <c r="J1324" s="2">
        <f>+INDEX(Sheet1!H:H, MATCH(Hoja1!G1324, Sheet1!I:I, 0))</f>
        <v>2.2997111048478017E-2</v>
      </c>
      <c r="K1324" s="2">
        <f>+INDEX(Sheet1!L:L, MATCH(Hoja1!G1324,Sheet1!M:M, 0))</f>
        <v>10.3</v>
      </c>
    </row>
    <row r="1325" spans="1:11" ht="16" x14ac:dyDescent="0.25">
      <c r="A1325" t="s">
        <v>1040</v>
      </c>
      <c r="B1325">
        <v>4</v>
      </c>
      <c r="C1325">
        <v>2023</v>
      </c>
      <c r="D1325" t="s">
        <v>1063</v>
      </c>
      <c r="E1325">
        <v>3.4</v>
      </c>
      <c r="F1325">
        <v>4233358</v>
      </c>
      <c r="G1325" s="1" t="str">
        <f t="shared" si="20"/>
        <v>Oregon2023</v>
      </c>
      <c r="H1325">
        <f>+INDEX(Sheet1!C:C, MATCH(Hoja1!G1325, Sheet1!D:D, 0))</f>
        <v>318884.09999999998</v>
      </c>
      <c r="I1325">
        <f>+INDEX(Sheet1!G:G, MATCH(Hoja1!G1325, Sheet1!I:I, 0))</f>
        <v>116147</v>
      </c>
      <c r="J1325" s="2">
        <f>+INDEX(Sheet1!H:H, MATCH(Hoja1!G1325, Sheet1!I:I, 0))</f>
        <v>2.2997111048478017E-2</v>
      </c>
      <c r="K1325" s="2">
        <f>+INDEX(Sheet1!L:L, MATCH(Hoja1!G1325,Sheet1!M:M, 0))</f>
        <v>10.3</v>
      </c>
    </row>
    <row r="1326" spans="1:11" ht="16" x14ac:dyDescent="0.25">
      <c r="A1326" t="s">
        <v>1040</v>
      </c>
      <c r="B1326">
        <v>5</v>
      </c>
      <c r="C1326">
        <v>2023</v>
      </c>
      <c r="D1326" t="s">
        <v>1064</v>
      </c>
      <c r="E1326">
        <v>3.4</v>
      </c>
      <c r="F1326">
        <v>4233358</v>
      </c>
      <c r="G1326" s="1" t="str">
        <f t="shared" si="20"/>
        <v>Oregon2023</v>
      </c>
      <c r="H1326">
        <f>+INDEX(Sheet1!C:C, MATCH(Hoja1!G1326, Sheet1!D:D, 0))</f>
        <v>318884.09999999998</v>
      </c>
      <c r="I1326">
        <f>+INDEX(Sheet1!G:G, MATCH(Hoja1!G1326, Sheet1!I:I, 0))</f>
        <v>116147</v>
      </c>
      <c r="J1326" s="2">
        <f>+INDEX(Sheet1!H:H, MATCH(Hoja1!G1326, Sheet1!I:I, 0))</f>
        <v>2.2997111048478017E-2</v>
      </c>
      <c r="K1326" s="2">
        <f>+INDEX(Sheet1!L:L, MATCH(Hoja1!G1326,Sheet1!M:M, 0))</f>
        <v>10.3</v>
      </c>
    </row>
    <row r="1327" spans="1:11" ht="16" x14ac:dyDescent="0.25">
      <c r="A1327" t="s">
        <v>1040</v>
      </c>
      <c r="B1327">
        <v>6</v>
      </c>
      <c r="C1327">
        <v>2023</v>
      </c>
      <c r="D1327" t="s">
        <v>1065</v>
      </c>
      <c r="E1327">
        <v>3.5</v>
      </c>
      <c r="F1327">
        <v>4233358</v>
      </c>
      <c r="G1327" s="1" t="str">
        <f t="shared" si="20"/>
        <v>Oregon2023</v>
      </c>
      <c r="H1327">
        <f>+INDEX(Sheet1!C:C, MATCH(Hoja1!G1327, Sheet1!D:D, 0))</f>
        <v>318884.09999999998</v>
      </c>
      <c r="I1327">
        <f>+INDEX(Sheet1!G:G, MATCH(Hoja1!G1327, Sheet1!I:I, 0))</f>
        <v>116147</v>
      </c>
      <c r="J1327" s="2">
        <f>+INDEX(Sheet1!H:H, MATCH(Hoja1!G1327, Sheet1!I:I, 0))</f>
        <v>2.2997111048478017E-2</v>
      </c>
      <c r="K1327" s="2">
        <f>+INDEX(Sheet1!L:L, MATCH(Hoja1!G1327,Sheet1!M:M, 0))</f>
        <v>10.3</v>
      </c>
    </row>
    <row r="1328" spans="1:11" ht="16" x14ac:dyDescent="0.25">
      <c r="A1328" t="s">
        <v>1040</v>
      </c>
      <c r="B1328">
        <v>7</v>
      </c>
      <c r="C1328">
        <v>2023</v>
      </c>
      <c r="D1328" t="s">
        <v>1066</v>
      </c>
      <c r="E1328">
        <v>3.6</v>
      </c>
      <c r="F1328">
        <v>4233358</v>
      </c>
      <c r="G1328" s="1" t="str">
        <f t="shared" si="20"/>
        <v>Oregon2023</v>
      </c>
      <c r="H1328">
        <f>+INDEX(Sheet1!C:C, MATCH(Hoja1!G1328, Sheet1!D:D, 0))</f>
        <v>318884.09999999998</v>
      </c>
      <c r="I1328">
        <f>+INDEX(Sheet1!G:G, MATCH(Hoja1!G1328, Sheet1!I:I, 0))</f>
        <v>116147</v>
      </c>
      <c r="J1328" s="2">
        <f>+INDEX(Sheet1!H:H, MATCH(Hoja1!G1328, Sheet1!I:I, 0))</f>
        <v>2.2997111048478017E-2</v>
      </c>
      <c r="K1328" s="2">
        <f>+INDEX(Sheet1!L:L, MATCH(Hoja1!G1328,Sheet1!M:M, 0))</f>
        <v>10.3</v>
      </c>
    </row>
    <row r="1329" spans="1:11" ht="16" x14ac:dyDescent="0.25">
      <c r="A1329" t="s">
        <v>1040</v>
      </c>
      <c r="B1329">
        <v>8</v>
      </c>
      <c r="C1329">
        <v>2023</v>
      </c>
      <c r="D1329" t="s">
        <v>1067</v>
      </c>
      <c r="E1329">
        <v>3.8</v>
      </c>
      <c r="F1329">
        <v>4233358</v>
      </c>
      <c r="G1329" s="1" t="str">
        <f t="shared" si="20"/>
        <v>Oregon2023</v>
      </c>
      <c r="H1329">
        <f>+INDEX(Sheet1!C:C, MATCH(Hoja1!G1329, Sheet1!D:D, 0))</f>
        <v>318884.09999999998</v>
      </c>
      <c r="I1329">
        <f>+INDEX(Sheet1!G:G, MATCH(Hoja1!G1329, Sheet1!I:I, 0))</f>
        <v>116147</v>
      </c>
      <c r="J1329" s="2">
        <f>+INDEX(Sheet1!H:H, MATCH(Hoja1!G1329, Sheet1!I:I, 0))</f>
        <v>2.2997111048478017E-2</v>
      </c>
      <c r="K1329" s="2">
        <f>+INDEX(Sheet1!L:L, MATCH(Hoja1!G1329,Sheet1!M:M, 0))</f>
        <v>10.3</v>
      </c>
    </row>
    <row r="1330" spans="1:11" ht="16" x14ac:dyDescent="0.25">
      <c r="A1330" t="s">
        <v>1040</v>
      </c>
      <c r="B1330">
        <v>9</v>
      </c>
      <c r="C1330">
        <v>2023</v>
      </c>
      <c r="D1330" t="s">
        <v>952</v>
      </c>
      <c r="E1330">
        <v>3.9</v>
      </c>
      <c r="F1330">
        <v>4233358</v>
      </c>
      <c r="G1330" s="1" t="str">
        <f t="shared" si="20"/>
        <v>Oregon2023</v>
      </c>
      <c r="H1330">
        <f>+INDEX(Sheet1!C:C, MATCH(Hoja1!G1330, Sheet1!D:D, 0))</f>
        <v>318884.09999999998</v>
      </c>
      <c r="I1330">
        <f>+INDEX(Sheet1!G:G, MATCH(Hoja1!G1330, Sheet1!I:I, 0))</f>
        <v>116147</v>
      </c>
      <c r="J1330" s="2">
        <f>+INDEX(Sheet1!H:H, MATCH(Hoja1!G1330, Sheet1!I:I, 0))</f>
        <v>2.2997111048478017E-2</v>
      </c>
      <c r="K1330" s="2">
        <f>+INDEX(Sheet1!L:L, MATCH(Hoja1!G1330,Sheet1!M:M, 0))</f>
        <v>10.3</v>
      </c>
    </row>
    <row r="1331" spans="1:11" ht="16" x14ac:dyDescent="0.25">
      <c r="A1331" t="s">
        <v>1040</v>
      </c>
      <c r="B1331">
        <v>10</v>
      </c>
      <c r="C1331">
        <v>2023</v>
      </c>
      <c r="D1331" t="s">
        <v>1068</v>
      </c>
      <c r="E1331">
        <v>4</v>
      </c>
      <c r="F1331">
        <v>4233358</v>
      </c>
      <c r="G1331" s="1" t="str">
        <f t="shared" si="20"/>
        <v>Oregon2023</v>
      </c>
      <c r="H1331">
        <f>+INDEX(Sheet1!C:C, MATCH(Hoja1!G1331, Sheet1!D:D, 0))</f>
        <v>318884.09999999998</v>
      </c>
      <c r="I1331">
        <f>+INDEX(Sheet1!G:G, MATCH(Hoja1!G1331, Sheet1!I:I, 0))</f>
        <v>116147</v>
      </c>
      <c r="J1331" s="2">
        <f>+INDEX(Sheet1!H:H, MATCH(Hoja1!G1331, Sheet1!I:I, 0))</f>
        <v>2.2997111048478017E-2</v>
      </c>
      <c r="K1331" s="2">
        <f>+INDEX(Sheet1!L:L, MATCH(Hoja1!G1331,Sheet1!M:M, 0))</f>
        <v>10.3</v>
      </c>
    </row>
    <row r="1332" spans="1:11" ht="16" x14ac:dyDescent="0.25">
      <c r="A1332" t="s">
        <v>1040</v>
      </c>
      <c r="B1332">
        <v>11</v>
      </c>
      <c r="C1332">
        <v>2023</v>
      </c>
      <c r="D1332" t="s">
        <v>1069</v>
      </c>
      <c r="E1332">
        <v>4</v>
      </c>
      <c r="F1332">
        <v>4233358</v>
      </c>
      <c r="G1332" s="1" t="str">
        <f t="shared" si="20"/>
        <v>Oregon2023</v>
      </c>
      <c r="H1332">
        <f>+INDEX(Sheet1!C:C, MATCH(Hoja1!G1332, Sheet1!D:D, 0))</f>
        <v>318884.09999999998</v>
      </c>
      <c r="I1332">
        <f>+INDEX(Sheet1!G:G, MATCH(Hoja1!G1332, Sheet1!I:I, 0))</f>
        <v>116147</v>
      </c>
      <c r="J1332" s="2">
        <f>+INDEX(Sheet1!H:H, MATCH(Hoja1!G1332, Sheet1!I:I, 0))</f>
        <v>2.2997111048478017E-2</v>
      </c>
      <c r="K1332" s="2">
        <f>+INDEX(Sheet1!L:L, MATCH(Hoja1!G1332,Sheet1!M:M, 0))</f>
        <v>10.3</v>
      </c>
    </row>
    <row r="1333" spans="1:11" ht="16" x14ac:dyDescent="0.25">
      <c r="A1333" t="s">
        <v>1040</v>
      </c>
      <c r="B1333">
        <v>12</v>
      </c>
      <c r="C1333">
        <v>2023</v>
      </c>
      <c r="D1333" t="s">
        <v>1070</v>
      </c>
      <c r="E1333">
        <v>4</v>
      </c>
      <c r="F1333">
        <v>4233358</v>
      </c>
      <c r="G1333" s="1" t="str">
        <f t="shared" si="20"/>
        <v>Oregon2023</v>
      </c>
      <c r="H1333">
        <f>+INDEX(Sheet1!C:C, MATCH(Hoja1!G1333, Sheet1!D:D, 0))</f>
        <v>318884.09999999998</v>
      </c>
      <c r="I1333">
        <f>+INDEX(Sheet1!G:G, MATCH(Hoja1!G1333, Sheet1!I:I, 0))</f>
        <v>116147</v>
      </c>
      <c r="J1333" s="2">
        <f>+INDEX(Sheet1!H:H, MATCH(Hoja1!G1333, Sheet1!I:I, 0))</f>
        <v>2.2997111048478017E-2</v>
      </c>
      <c r="K1333" s="2">
        <f>+INDEX(Sheet1!L:L, MATCH(Hoja1!G1333,Sheet1!M:M, 0))</f>
        <v>10.3</v>
      </c>
    </row>
    <row r="1334" spans="1:11" ht="16" x14ac:dyDescent="0.25">
      <c r="A1334" t="s">
        <v>1071</v>
      </c>
      <c r="B1334">
        <v>1</v>
      </c>
      <c r="C1334">
        <v>2021</v>
      </c>
      <c r="D1334" t="s">
        <v>1072</v>
      </c>
      <c r="E1334">
        <v>7.4</v>
      </c>
      <c r="F1334">
        <v>13013614</v>
      </c>
      <c r="G1334" s="1" t="str">
        <f t="shared" si="20"/>
        <v>Pennsylvania2021</v>
      </c>
      <c r="H1334">
        <f>+INDEX(Sheet1!C:C, MATCH(Hoja1!G1334, Sheet1!D:D, 0))</f>
        <v>844431.8</v>
      </c>
      <c r="I1334">
        <f>+INDEX(Sheet1!G:G, MATCH(Hoja1!G1334, Sheet1!I:I, 0))</f>
        <v>101484</v>
      </c>
      <c r="J1334" s="2">
        <f>+INDEX(Sheet1!H:H, MATCH(Hoja1!G1334, Sheet1!I:I, 0))</f>
        <v>3.9560754747905186E-2</v>
      </c>
      <c r="K1334" s="2">
        <f>+INDEX(Sheet1!L:L, MATCH(Hoja1!G1334,Sheet1!M:M, 0))</f>
        <v>10.8</v>
      </c>
    </row>
    <row r="1335" spans="1:11" ht="16" x14ac:dyDescent="0.25">
      <c r="A1335" t="s">
        <v>1071</v>
      </c>
      <c r="B1335">
        <v>2</v>
      </c>
      <c r="C1335">
        <v>2021</v>
      </c>
      <c r="D1335" t="s">
        <v>438</v>
      </c>
      <c r="E1335">
        <v>7.1</v>
      </c>
      <c r="F1335">
        <v>13013614</v>
      </c>
      <c r="G1335" s="1" t="str">
        <f t="shared" si="20"/>
        <v>Pennsylvania2021</v>
      </c>
      <c r="H1335">
        <f>+INDEX(Sheet1!C:C, MATCH(Hoja1!G1335, Sheet1!D:D, 0))</f>
        <v>844431.8</v>
      </c>
      <c r="I1335">
        <f>+INDEX(Sheet1!G:G, MATCH(Hoja1!G1335, Sheet1!I:I, 0))</f>
        <v>101484</v>
      </c>
      <c r="J1335" s="2">
        <f>+INDEX(Sheet1!H:H, MATCH(Hoja1!G1335, Sheet1!I:I, 0))</f>
        <v>3.9560754747905186E-2</v>
      </c>
      <c r="K1335" s="2">
        <f>+INDEX(Sheet1!L:L, MATCH(Hoja1!G1335,Sheet1!M:M, 0))</f>
        <v>10.8</v>
      </c>
    </row>
    <row r="1336" spans="1:11" ht="16" x14ac:dyDescent="0.25">
      <c r="A1336" t="s">
        <v>1071</v>
      </c>
      <c r="B1336">
        <v>3</v>
      </c>
      <c r="C1336">
        <v>2021</v>
      </c>
      <c r="D1336" t="s">
        <v>1073</v>
      </c>
      <c r="E1336">
        <v>6.8</v>
      </c>
      <c r="F1336">
        <v>13013614</v>
      </c>
      <c r="G1336" s="1" t="str">
        <f t="shared" si="20"/>
        <v>Pennsylvania2021</v>
      </c>
      <c r="H1336">
        <f>+INDEX(Sheet1!C:C, MATCH(Hoja1!G1336, Sheet1!D:D, 0))</f>
        <v>844431.8</v>
      </c>
      <c r="I1336">
        <f>+INDEX(Sheet1!G:G, MATCH(Hoja1!G1336, Sheet1!I:I, 0))</f>
        <v>101484</v>
      </c>
      <c r="J1336" s="2">
        <f>+INDEX(Sheet1!H:H, MATCH(Hoja1!G1336, Sheet1!I:I, 0))</f>
        <v>3.9560754747905186E-2</v>
      </c>
      <c r="K1336" s="2">
        <f>+INDEX(Sheet1!L:L, MATCH(Hoja1!G1336,Sheet1!M:M, 0))</f>
        <v>10.8</v>
      </c>
    </row>
    <row r="1337" spans="1:11" ht="16" x14ac:dyDescent="0.25">
      <c r="A1337" t="s">
        <v>1071</v>
      </c>
      <c r="B1337">
        <v>4</v>
      </c>
      <c r="C1337">
        <v>2021</v>
      </c>
      <c r="D1337" t="s">
        <v>854</v>
      </c>
      <c r="E1337">
        <v>6.6</v>
      </c>
      <c r="F1337">
        <v>13013614</v>
      </c>
      <c r="G1337" s="1" t="str">
        <f t="shared" si="20"/>
        <v>Pennsylvania2021</v>
      </c>
      <c r="H1337">
        <f>+INDEX(Sheet1!C:C, MATCH(Hoja1!G1337, Sheet1!D:D, 0))</f>
        <v>844431.8</v>
      </c>
      <c r="I1337">
        <f>+INDEX(Sheet1!G:G, MATCH(Hoja1!G1337, Sheet1!I:I, 0))</f>
        <v>101484</v>
      </c>
      <c r="J1337" s="2">
        <f>+INDEX(Sheet1!H:H, MATCH(Hoja1!G1337, Sheet1!I:I, 0))</f>
        <v>3.9560754747905186E-2</v>
      </c>
      <c r="K1337" s="2">
        <f>+INDEX(Sheet1!L:L, MATCH(Hoja1!G1337,Sheet1!M:M, 0))</f>
        <v>10.8</v>
      </c>
    </row>
    <row r="1338" spans="1:11" ht="16" x14ac:dyDescent="0.25">
      <c r="A1338" t="s">
        <v>1071</v>
      </c>
      <c r="B1338">
        <v>5</v>
      </c>
      <c r="C1338">
        <v>2021</v>
      </c>
      <c r="D1338" t="s">
        <v>1074</v>
      </c>
      <c r="E1338">
        <v>6.3</v>
      </c>
      <c r="F1338">
        <v>13013614</v>
      </c>
      <c r="G1338" s="1" t="str">
        <f t="shared" si="20"/>
        <v>Pennsylvania2021</v>
      </c>
      <c r="H1338">
        <f>+INDEX(Sheet1!C:C, MATCH(Hoja1!G1338, Sheet1!D:D, 0))</f>
        <v>844431.8</v>
      </c>
      <c r="I1338">
        <f>+INDEX(Sheet1!G:G, MATCH(Hoja1!G1338, Sheet1!I:I, 0))</f>
        <v>101484</v>
      </c>
      <c r="J1338" s="2">
        <f>+INDEX(Sheet1!H:H, MATCH(Hoja1!G1338, Sheet1!I:I, 0))</f>
        <v>3.9560754747905186E-2</v>
      </c>
      <c r="K1338" s="2">
        <f>+INDEX(Sheet1!L:L, MATCH(Hoja1!G1338,Sheet1!M:M, 0))</f>
        <v>10.8</v>
      </c>
    </row>
    <row r="1339" spans="1:11" ht="16" x14ac:dyDescent="0.25">
      <c r="A1339" t="s">
        <v>1071</v>
      </c>
      <c r="B1339">
        <v>6</v>
      </c>
      <c r="C1339">
        <v>2021</v>
      </c>
      <c r="D1339" t="s">
        <v>748</v>
      </c>
      <c r="E1339">
        <v>6.1</v>
      </c>
      <c r="F1339">
        <v>13013614</v>
      </c>
      <c r="G1339" s="1" t="str">
        <f t="shared" si="20"/>
        <v>Pennsylvania2021</v>
      </c>
      <c r="H1339">
        <f>+INDEX(Sheet1!C:C, MATCH(Hoja1!G1339, Sheet1!D:D, 0))</f>
        <v>844431.8</v>
      </c>
      <c r="I1339">
        <f>+INDEX(Sheet1!G:G, MATCH(Hoja1!G1339, Sheet1!I:I, 0))</f>
        <v>101484</v>
      </c>
      <c r="J1339" s="2">
        <f>+INDEX(Sheet1!H:H, MATCH(Hoja1!G1339, Sheet1!I:I, 0))</f>
        <v>3.9560754747905186E-2</v>
      </c>
      <c r="K1339" s="2">
        <f>+INDEX(Sheet1!L:L, MATCH(Hoja1!G1339,Sheet1!M:M, 0))</f>
        <v>10.8</v>
      </c>
    </row>
    <row r="1340" spans="1:11" ht="16" x14ac:dyDescent="0.25">
      <c r="A1340" t="s">
        <v>1071</v>
      </c>
      <c r="B1340">
        <v>7</v>
      </c>
      <c r="C1340">
        <v>2021</v>
      </c>
      <c r="D1340" t="s">
        <v>1075</v>
      </c>
      <c r="E1340">
        <v>5.9</v>
      </c>
      <c r="F1340">
        <v>13013614</v>
      </c>
      <c r="G1340" s="1" t="str">
        <f t="shared" si="20"/>
        <v>Pennsylvania2021</v>
      </c>
      <c r="H1340">
        <f>+INDEX(Sheet1!C:C, MATCH(Hoja1!G1340, Sheet1!D:D, 0))</f>
        <v>844431.8</v>
      </c>
      <c r="I1340">
        <f>+INDEX(Sheet1!G:G, MATCH(Hoja1!G1340, Sheet1!I:I, 0))</f>
        <v>101484</v>
      </c>
      <c r="J1340" s="2">
        <f>+INDEX(Sheet1!H:H, MATCH(Hoja1!G1340, Sheet1!I:I, 0))</f>
        <v>3.9560754747905186E-2</v>
      </c>
      <c r="K1340" s="2">
        <f>+INDEX(Sheet1!L:L, MATCH(Hoja1!G1340,Sheet1!M:M, 0))</f>
        <v>10.8</v>
      </c>
    </row>
    <row r="1341" spans="1:11" ht="16" x14ac:dyDescent="0.25">
      <c r="A1341" t="s">
        <v>1071</v>
      </c>
      <c r="B1341">
        <v>8</v>
      </c>
      <c r="C1341">
        <v>2021</v>
      </c>
      <c r="D1341" t="s">
        <v>1076</v>
      </c>
      <c r="E1341">
        <v>5.6</v>
      </c>
      <c r="F1341">
        <v>13013614</v>
      </c>
      <c r="G1341" s="1" t="str">
        <f t="shared" si="20"/>
        <v>Pennsylvania2021</v>
      </c>
      <c r="H1341">
        <f>+INDEX(Sheet1!C:C, MATCH(Hoja1!G1341, Sheet1!D:D, 0))</f>
        <v>844431.8</v>
      </c>
      <c r="I1341">
        <f>+INDEX(Sheet1!G:G, MATCH(Hoja1!G1341, Sheet1!I:I, 0))</f>
        <v>101484</v>
      </c>
      <c r="J1341" s="2">
        <f>+INDEX(Sheet1!H:H, MATCH(Hoja1!G1341, Sheet1!I:I, 0))</f>
        <v>3.9560754747905186E-2</v>
      </c>
      <c r="K1341" s="2">
        <f>+INDEX(Sheet1!L:L, MATCH(Hoja1!G1341,Sheet1!M:M, 0))</f>
        <v>10.8</v>
      </c>
    </row>
    <row r="1342" spans="1:11" ht="16" x14ac:dyDescent="0.25">
      <c r="A1342" t="s">
        <v>1071</v>
      </c>
      <c r="B1342">
        <v>9</v>
      </c>
      <c r="C1342">
        <v>2021</v>
      </c>
      <c r="D1342" t="s">
        <v>570</v>
      </c>
      <c r="E1342">
        <v>5.2</v>
      </c>
      <c r="F1342">
        <v>13013614</v>
      </c>
      <c r="G1342" s="1" t="str">
        <f t="shared" si="20"/>
        <v>Pennsylvania2021</v>
      </c>
      <c r="H1342">
        <f>+INDEX(Sheet1!C:C, MATCH(Hoja1!G1342, Sheet1!D:D, 0))</f>
        <v>844431.8</v>
      </c>
      <c r="I1342">
        <f>+INDEX(Sheet1!G:G, MATCH(Hoja1!G1342, Sheet1!I:I, 0))</f>
        <v>101484</v>
      </c>
      <c r="J1342" s="2">
        <f>+INDEX(Sheet1!H:H, MATCH(Hoja1!G1342, Sheet1!I:I, 0))</f>
        <v>3.9560754747905186E-2</v>
      </c>
      <c r="K1342" s="2">
        <f>+INDEX(Sheet1!L:L, MATCH(Hoja1!G1342,Sheet1!M:M, 0))</f>
        <v>10.8</v>
      </c>
    </row>
    <row r="1343" spans="1:11" ht="16" x14ac:dyDescent="0.25">
      <c r="A1343" t="s">
        <v>1071</v>
      </c>
      <c r="B1343">
        <v>10</v>
      </c>
      <c r="C1343">
        <v>2021</v>
      </c>
      <c r="D1343" t="s">
        <v>1077</v>
      </c>
      <c r="E1343">
        <v>4.9000000000000004</v>
      </c>
      <c r="F1343">
        <v>13013614</v>
      </c>
      <c r="G1343" s="1" t="str">
        <f t="shared" si="20"/>
        <v>Pennsylvania2021</v>
      </c>
      <c r="H1343">
        <f>+INDEX(Sheet1!C:C, MATCH(Hoja1!G1343, Sheet1!D:D, 0))</f>
        <v>844431.8</v>
      </c>
      <c r="I1343">
        <f>+INDEX(Sheet1!G:G, MATCH(Hoja1!G1343, Sheet1!I:I, 0))</f>
        <v>101484</v>
      </c>
      <c r="J1343" s="2">
        <f>+INDEX(Sheet1!H:H, MATCH(Hoja1!G1343, Sheet1!I:I, 0))</f>
        <v>3.9560754747905186E-2</v>
      </c>
      <c r="K1343" s="2">
        <f>+INDEX(Sheet1!L:L, MATCH(Hoja1!G1343,Sheet1!M:M, 0))</f>
        <v>10.8</v>
      </c>
    </row>
    <row r="1344" spans="1:11" ht="16" x14ac:dyDescent="0.25">
      <c r="A1344" t="s">
        <v>1071</v>
      </c>
      <c r="B1344">
        <v>11</v>
      </c>
      <c r="C1344">
        <v>2021</v>
      </c>
      <c r="D1344" t="s">
        <v>1078</v>
      </c>
      <c r="E1344">
        <v>4.7</v>
      </c>
      <c r="F1344">
        <v>13013614</v>
      </c>
      <c r="G1344" s="1" t="str">
        <f t="shared" si="20"/>
        <v>Pennsylvania2021</v>
      </c>
      <c r="H1344">
        <f>+INDEX(Sheet1!C:C, MATCH(Hoja1!G1344, Sheet1!D:D, 0))</f>
        <v>844431.8</v>
      </c>
      <c r="I1344">
        <f>+INDEX(Sheet1!G:G, MATCH(Hoja1!G1344, Sheet1!I:I, 0))</f>
        <v>101484</v>
      </c>
      <c r="J1344" s="2">
        <f>+INDEX(Sheet1!H:H, MATCH(Hoja1!G1344, Sheet1!I:I, 0))</f>
        <v>3.9560754747905186E-2</v>
      </c>
      <c r="K1344" s="2">
        <f>+INDEX(Sheet1!L:L, MATCH(Hoja1!G1344,Sheet1!M:M, 0))</f>
        <v>10.8</v>
      </c>
    </row>
    <row r="1345" spans="1:11" ht="16" x14ac:dyDescent="0.25">
      <c r="A1345" t="s">
        <v>1071</v>
      </c>
      <c r="B1345">
        <v>12</v>
      </c>
      <c r="C1345">
        <v>2021</v>
      </c>
      <c r="D1345" t="s">
        <v>1075</v>
      </c>
      <c r="E1345">
        <v>4.5</v>
      </c>
      <c r="F1345">
        <v>13013614</v>
      </c>
      <c r="G1345" s="1" t="str">
        <f t="shared" si="20"/>
        <v>Pennsylvania2021</v>
      </c>
      <c r="H1345">
        <f>+INDEX(Sheet1!C:C, MATCH(Hoja1!G1345, Sheet1!D:D, 0))</f>
        <v>844431.8</v>
      </c>
      <c r="I1345">
        <f>+INDEX(Sheet1!G:G, MATCH(Hoja1!G1345, Sheet1!I:I, 0))</f>
        <v>101484</v>
      </c>
      <c r="J1345" s="2">
        <f>+INDEX(Sheet1!H:H, MATCH(Hoja1!G1345, Sheet1!I:I, 0))</f>
        <v>3.9560754747905186E-2</v>
      </c>
      <c r="K1345" s="2">
        <f>+INDEX(Sheet1!L:L, MATCH(Hoja1!G1345,Sheet1!M:M, 0))</f>
        <v>10.8</v>
      </c>
    </row>
    <row r="1346" spans="1:11" ht="16" x14ac:dyDescent="0.25">
      <c r="A1346" t="s">
        <v>1071</v>
      </c>
      <c r="B1346">
        <v>1</v>
      </c>
      <c r="C1346">
        <v>2022</v>
      </c>
      <c r="D1346" t="s">
        <v>726</v>
      </c>
      <c r="E1346">
        <v>4.3</v>
      </c>
      <c r="F1346">
        <v>12972091</v>
      </c>
      <c r="G1346" s="1" t="str">
        <f t="shared" si="20"/>
        <v>Pennsylvania2022</v>
      </c>
      <c r="H1346">
        <f>+INDEX(Sheet1!C:C, MATCH(Hoja1!G1346, Sheet1!D:D, 0))</f>
        <v>919741.1</v>
      </c>
      <c r="I1346">
        <f>+INDEX(Sheet1!G:G, MATCH(Hoja1!G1346, Sheet1!I:I, 0))</f>
        <v>103320</v>
      </c>
      <c r="J1346" s="2">
        <f>+INDEX(Sheet1!H:H, MATCH(Hoja1!G1346, Sheet1!I:I, 0))</f>
        <v>1.8091521816246896E-2</v>
      </c>
      <c r="K1346" s="2">
        <f>+INDEX(Sheet1!L:L, MATCH(Hoja1!G1346,Sheet1!M:M, 0))</f>
        <v>10.9</v>
      </c>
    </row>
    <row r="1347" spans="1:11" ht="16" x14ac:dyDescent="0.25">
      <c r="A1347" t="s">
        <v>1071</v>
      </c>
      <c r="B1347">
        <v>2</v>
      </c>
      <c r="C1347">
        <v>2022</v>
      </c>
      <c r="D1347" t="s">
        <v>1079</v>
      </c>
      <c r="E1347">
        <v>4.2</v>
      </c>
      <c r="F1347">
        <v>12972091</v>
      </c>
      <c r="G1347" s="1" t="str">
        <f t="shared" ref="G1347:G1410" si="21">+A1347&amp;C1347</f>
        <v>Pennsylvania2022</v>
      </c>
      <c r="H1347">
        <f>+INDEX(Sheet1!C:C, MATCH(Hoja1!G1347, Sheet1!D:D, 0))</f>
        <v>919741.1</v>
      </c>
      <c r="I1347">
        <f>+INDEX(Sheet1!G:G, MATCH(Hoja1!G1347, Sheet1!I:I, 0))</f>
        <v>103320</v>
      </c>
      <c r="J1347" s="2">
        <f>+INDEX(Sheet1!H:H, MATCH(Hoja1!G1347, Sheet1!I:I, 0))</f>
        <v>1.8091521816246896E-2</v>
      </c>
      <c r="K1347" s="2">
        <f>+INDEX(Sheet1!L:L, MATCH(Hoja1!G1347,Sheet1!M:M, 0))</f>
        <v>10.9</v>
      </c>
    </row>
    <row r="1348" spans="1:11" ht="16" x14ac:dyDescent="0.25">
      <c r="A1348" t="s">
        <v>1071</v>
      </c>
      <c r="B1348">
        <v>3</v>
      </c>
      <c r="C1348">
        <v>2022</v>
      </c>
      <c r="D1348" t="s">
        <v>1080</v>
      </c>
      <c r="E1348">
        <v>4.2</v>
      </c>
      <c r="F1348">
        <v>12972091</v>
      </c>
      <c r="G1348" s="1" t="str">
        <f t="shared" si="21"/>
        <v>Pennsylvania2022</v>
      </c>
      <c r="H1348">
        <f>+INDEX(Sheet1!C:C, MATCH(Hoja1!G1348, Sheet1!D:D, 0))</f>
        <v>919741.1</v>
      </c>
      <c r="I1348">
        <f>+INDEX(Sheet1!G:G, MATCH(Hoja1!G1348, Sheet1!I:I, 0))</f>
        <v>103320</v>
      </c>
      <c r="J1348" s="2">
        <f>+INDEX(Sheet1!H:H, MATCH(Hoja1!G1348, Sheet1!I:I, 0))</f>
        <v>1.8091521816246896E-2</v>
      </c>
      <c r="K1348" s="2">
        <f>+INDEX(Sheet1!L:L, MATCH(Hoja1!G1348,Sheet1!M:M, 0))</f>
        <v>10.9</v>
      </c>
    </row>
    <row r="1349" spans="1:11" ht="16" x14ac:dyDescent="0.25">
      <c r="A1349" t="s">
        <v>1071</v>
      </c>
      <c r="B1349">
        <v>4</v>
      </c>
      <c r="C1349">
        <v>2022</v>
      </c>
      <c r="D1349" t="s">
        <v>1081</v>
      </c>
      <c r="E1349">
        <v>4.0999999999999996</v>
      </c>
      <c r="F1349">
        <v>12972091</v>
      </c>
      <c r="G1349" s="1" t="str">
        <f t="shared" si="21"/>
        <v>Pennsylvania2022</v>
      </c>
      <c r="H1349">
        <f>+INDEX(Sheet1!C:C, MATCH(Hoja1!G1349, Sheet1!D:D, 0))</f>
        <v>919741.1</v>
      </c>
      <c r="I1349">
        <f>+INDEX(Sheet1!G:G, MATCH(Hoja1!G1349, Sheet1!I:I, 0))</f>
        <v>103320</v>
      </c>
      <c r="J1349" s="2">
        <f>+INDEX(Sheet1!H:H, MATCH(Hoja1!G1349, Sheet1!I:I, 0))</f>
        <v>1.8091521816246896E-2</v>
      </c>
      <c r="K1349" s="2">
        <f>+INDEX(Sheet1!L:L, MATCH(Hoja1!G1349,Sheet1!M:M, 0))</f>
        <v>10.9</v>
      </c>
    </row>
    <row r="1350" spans="1:11" ht="16" x14ac:dyDescent="0.25">
      <c r="A1350" t="s">
        <v>1071</v>
      </c>
      <c r="B1350">
        <v>5</v>
      </c>
      <c r="C1350">
        <v>2022</v>
      </c>
      <c r="D1350" t="s">
        <v>1082</v>
      </c>
      <c r="E1350">
        <v>4.0999999999999996</v>
      </c>
      <c r="F1350">
        <v>12972091</v>
      </c>
      <c r="G1350" s="1" t="str">
        <f t="shared" si="21"/>
        <v>Pennsylvania2022</v>
      </c>
      <c r="H1350">
        <f>+INDEX(Sheet1!C:C, MATCH(Hoja1!G1350, Sheet1!D:D, 0))</f>
        <v>919741.1</v>
      </c>
      <c r="I1350">
        <f>+INDEX(Sheet1!G:G, MATCH(Hoja1!G1350, Sheet1!I:I, 0))</f>
        <v>103320</v>
      </c>
      <c r="J1350" s="2">
        <f>+INDEX(Sheet1!H:H, MATCH(Hoja1!G1350, Sheet1!I:I, 0))</f>
        <v>1.8091521816246896E-2</v>
      </c>
      <c r="K1350" s="2">
        <f>+INDEX(Sheet1!L:L, MATCH(Hoja1!G1350,Sheet1!M:M, 0))</f>
        <v>10.9</v>
      </c>
    </row>
    <row r="1351" spans="1:11" ht="16" x14ac:dyDescent="0.25">
      <c r="A1351" t="s">
        <v>1071</v>
      </c>
      <c r="B1351">
        <v>6</v>
      </c>
      <c r="C1351">
        <v>2022</v>
      </c>
      <c r="D1351" t="s">
        <v>1083</v>
      </c>
      <c r="E1351">
        <v>4.0999999999999996</v>
      </c>
      <c r="F1351">
        <v>12972091</v>
      </c>
      <c r="G1351" s="1" t="str">
        <f t="shared" si="21"/>
        <v>Pennsylvania2022</v>
      </c>
      <c r="H1351">
        <f>+INDEX(Sheet1!C:C, MATCH(Hoja1!G1351, Sheet1!D:D, 0))</f>
        <v>919741.1</v>
      </c>
      <c r="I1351">
        <f>+INDEX(Sheet1!G:G, MATCH(Hoja1!G1351, Sheet1!I:I, 0))</f>
        <v>103320</v>
      </c>
      <c r="J1351" s="2">
        <f>+INDEX(Sheet1!H:H, MATCH(Hoja1!G1351, Sheet1!I:I, 0))</f>
        <v>1.8091521816246896E-2</v>
      </c>
      <c r="K1351" s="2">
        <f>+INDEX(Sheet1!L:L, MATCH(Hoja1!G1351,Sheet1!M:M, 0))</f>
        <v>10.9</v>
      </c>
    </row>
    <row r="1352" spans="1:11" ht="16" x14ac:dyDescent="0.25">
      <c r="A1352" t="s">
        <v>1071</v>
      </c>
      <c r="B1352">
        <v>7</v>
      </c>
      <c r="C1352">
        <v>2022</v>
      </c>
      <c r="D1352" t="s">
        <v>1084</v>
      </c>
      <c r="E1352">
        <v>4</v>
      </c>
      <c r="F1352">
        <v>12972091</v>
      </c>
      <c r="G1352" s="1" t="str">
        <f t="shared" si="21"/>
        <v>Pennsylvania2022</v>
      </c>
      <c r="H1352">
        <f>+INDEX(Sheet1!C:C, MATCH(Hoja1!G1352, Sheet1!D:D, 0))</f>
        <v>919741.1</v>
      </c>
      <c r="I1352">
        <f>+INDEX(Sheet1!G:G, MATCH(Hoja1!G1352, Sheet1!I:I, 0))</f>
        <v>103320</v>
      </c>
      <c r="J1352" s="2">
        <f>+INDEX(Sheet1!H:H, MATCH(Hoja1!G1352, Sheet1!I:I, 0))</f>
        <v>1.8091521816246896E-2</v>
      </c>
      <c r="K1352" s="2">
        <f>+INDEX(Sheet1!L:L, MATCH(Hoja1!G1352,Sheet1!M:M, 0))</f>
        <v>10.9</v>
      </c>
    </row>
    <row r="1353" spans="1:11" ht="16" x14ac:dyDescent="0.25">
      <c r="A1353" t="s">
        <v>1071</v>
      </c>
      <c r="B1353">
        <v>8</v>
      </c>
      <c r="C1353">
        <v>2022</v>
      </c>
      <c r="D1353" t="s">
        <v>1085</v>
      </c>
      <c r="E1353">
        <v>4</v>
      </c>
      <c r="F1353">
        <v>12972091</v>
      </c>
      <c r="G1353" s="1" t="str">
        <f t="shared" si="21"/>
        <v>Pennsylvania2022</v>
      </c>
      <c r="H1353">
        <f>+INDEX(Sheet1!C:C, MATCH(Hoja1!G1353, Sheet1!D:D, 0))</f>
        <v>919741.1</v>
      </c>
      <c r="I1353">
        <f>+INDEX(Sheet1!G:G, MATCH(Hoja1!G1353, Sheet1!I:I, 0))</f>
        <v>103320</v>
      </c>
      <c r="J1353" s="2">
        <f>+INDEX(Sheet1!H:H, MATCH(Hoja1!G1353, Sheet1!I:I, 0))</f>
        <v>1.8091521816246896E-2</v>
      </c>
      <c r="K1353" s="2">
        <f>+INDEX(Sheet1!L:L, MATCH(Hoja1!G1353,Sheet1!M:M, 0))</f>
        <v>10.9</v>
      </c>
    </row>
    <row r="1354" spans="1:11" ht="16" x14ac:dyDescent="0.25">
      <c r="A1354" t="s">
        <v>1071</v>
      </c>
      <c r="B1354">
        <v>9</v>
      </c>
      <c r="C1354">
        <v>2022</v>
      </c>
      <c r="D1354" t="s">
        <v>1086</v>
      </c>
      <c r="E1354">
        <v>4</v>
      </c>
      <c r="F1354">
        <v>12972091</v>
      </c>
      <c r="G1354" s="1" t="str">
        <f t="shared" si="21"/>
        <v>Pennsylvania2022</v>
      </c>
      <c r="H1354">
        <f>+INDEX(Sheet1!C:C, MATCH(Hoja1!G1354, Sheet1!D:D, 0))</f>
        <v>919741.1</v>
      </c>
      <c r="I1354">
        <f>+INDEX(Sheet1!G:G, MATCH(Hoja1!G1354, Sheet1!I:I, 0))</f>
        <v>103320</v>
      </c>
      <c r="J1354" s="2">
        <f>+INDEX(Sheet1!H:H, MATCH(Hoja1!G1354, Sheet1!I:I, 0))</f>
        <v>1.8091521816246896E-2</v>
      </c>
      <c r="K1354" s="2">
        <f>+INDEX(Sheet1!L:L, MATCH(Hoja1!G1354,Sheet1!M:M, 0))</f>
        <v>10.9</v>
      </c>
    </row>
    <row r="1355" spans="1:11" ht="16" x14ac:dyDescent="0.25">
      <c r="A1355" t="s">
        <v>1071</v>
      </c>
      <c r="B1355">
        <v>10</v>
      </c>
      <c r="C1355">
        <v>2022</v>
      </c>
      <c r="D1355" t="s">
        <v>1087</v>
      </c>
      <c r="E1355">
        <v>3.9</v>
      </c>
      <c r="F1355">
        <v>12972091</v>
      </c>
      <c r="G1355" s="1" t="str">
        <f t="shared" si="21"/>
        <v>Pennsylvania2022</v>
      </c>
      <c r="H1355">
        <f>+INDEX(Sheet1!C:C, MATCH(Hoja1!G1355, Sheet1!D:D, 0))</f>
        <v>919741.1</v>
      </c>
      <c r="I1355">
        <f>+INDEX(Sheet1!G:G, MATCH(Hoja1!G1355, Sheet1!I:I, 0))</f>
        <v>103320</v>
      </c>
      <c r="J1355" s="2">
        <f>+INDEX(Sheet1!H:H, MATCH(Hoja1!G1355, Sheet1!I:I, 0))</f>
        <v>1.8091521816246896E-2</v>
      </c>
      <c r="K1355" s="2">
        <f>+INDEX(Sheet1!L:L, MATCH(Hoja1!G1355,Sheet1!M:M, 0))</f>
        <v>10.9</v>
      </c>
    </row>
    <row r="1356" spans="1:11" ht="16" x14ac:dyDescent="0.25">
      <c r="A1356" t="s">
        <v>1071</v>
      </c>
      <c r="B1356">
        <v>11</v>
      </c>
      <c r="C1356">
        <v>2022</v>
      </c>
      <c r="D1356" t="s">
        <v>1088</v>
      </c>
      <c r="E1356">
        <v>3.9</v>
      </c>
      <c r="F1356">
        <v>12972091</v>
      </c>
      <c r="G1356" s="1" t="str">
        <f t="shared" si="21"/>
        <v>Pennsylvania2022</v>
      </c>
      <c r="H1356">
        <f>+INDEX(Sheet1!C:C, MATCH(Hoja1!G1356, Sheet1!D:D, 0))</f>
        <v>919741.1</v>
      </c>
      <c r="I1356">
        <f>+INDEX(Sheet1!G:G, MATCH(Hoja1!G1356, Sheet1!I:I, 0))</f>
        <v>103320</v>
      </c>
      <c r="J1356" s="2">
        <f>+INDEX(Sheet1!H:H, MATCH(Hoja1!G1356, Sheet1!I:I, 0))</f>
        <v>1.8091521816246896E-2</v>
      </c>
      <c r="K1356" s="2">
        <f>+INDEX(Sheet1!L:L, MATCH(Hoja1!G1356,Sheet1!M:M, 0))</f>
        <v>10.9</v>
      </c>
    </row>
    <row r="1357" spans="1:11" ht="16" x14ac:dyDescent="0.25">
      <c r="A1357" t="s">
        <v>1071</v>
      </c>
      <c r="B1357">
        <v>12</v>
      </c>
      <c r="C1357">
        <v>2022</v>
      </c>
      <c r="D1357" t="s">
        <v>784</v>
      </c>
      <c r="E1357">
        <v>3.8</v>
      </c>
      <c r="F1357">
        <v>12972091</v>
      </c>
      <c r="G1357" s="1" t="str">
        <f t="shared" si="21"/>
        <v>Pennsylvania2022</v>
      </c>
      <c r="H1357">
        <f>+INDEX(Sheet1!C:C, MATCH(Hoja1!G1357, Sheet1!D:D, 0))</f>
        <v>919741.1</v>
      </c>
      <c r="I1357">
        <f>+INDEX(Sheet1!G:G, MATCH(Hoja1!G1357, Sheet1!I:I, 0))</f>
        <v>103320</v>
      </c>
      <c r="J1357" s="2">
        <f>+INDEX(Sheet1!H:H, MATCH(Hoja1!G1357, Sheet1!I:I, 0))</f>
        <v>1.8091521816246896E-2</v>
      </c>
      <c r="K1357" s="2">
        <f>+INDEX(Sheet1!L:L, MATCH(Hoja1!G1357,Sheet1!M:M, 0))</f>
        <v>10.9</v>
      </c>
    </row>
    <row r="1358" spans="1:11" ht="16" x14ac:dyDescent="0.25">
      <c r="A1358" t="s">
        <v>1071</v>
      </c>
      <c r="B1358">
        <v>1</v>
      </c>
      <c r="C1358">
        <v>2023</v>
      </c>
      <c r="D1358" t="s">
        <v>87</v>
      </c>
      <c r="E1358">
        <v>3.8</v>
      </c>
      <c r="F1358">
        <v>12961683</v>
      </c>
      <c r="G1358" s="1" t="str">
        <f t="shared" si="21"/>
        <v>Pennsylvania2023</v>
      </c>
      <c r="H1358">
        <f>+INDEX(Sheet1!C:C, MATCH(Hoja1!G1358, Sheet1!D:D, 0))</f>
        <v>976360.8</v>
      </c>
      <c r="I1358">
        <f>+INDEX(Sheet1!G:G, MATCH(Hoja1!G1358, Sheet1!I:I, 0))</f>
        <v>105954</v>
      </c>
      <c r="J1358" s="2">
        <f>+INDEX(Sheet1!H:H, MATCH(Hoja1!G1358, Sheet1!I:I, 0))</f>
        <v>2.5493612078977934E-2</v>
      </c>
      <c r="K1358" s="2">
        <f>+INDEX(Sheet1!L:L, MATCH(Hoja1!G1358,Sheet1!M:M, 0))</f>
        <v>10.3</v>
      </c>
    </row>
    <row r="1359" spans="1:11" ht="16" x14ac:dyDescent="0.25">
      <c r="A1359" t="s">
        <v>1071</v>
      </c>
      <c r="B1359">
        <v>2</v>
      </c>
      <c r="C1359">
        <v>2023</v>
      </c>
      <c r="D1359" t="s">
        <v>1089</v>
      </c>
      <c r="E1359">
        <v>3.7</v>
      </c>
      <c r="F1359">
        <v>12961683</v>
      </c>
      <c r="G1359" s="1" t="str">
        <f t="shared" si="21"/>
        <v>Pennsylvania2023</v>
      </c>
      <c r="H1359">
        <f>+INDEX(Sheet1!C:C, MATCH(Hoja1!G1359, Sheet1!D:D, 0))</f>
        <v>976360.8</v>
      </c>
      <c r="I1359">
        <f>+INDEX(Sheet1!G:G, MATCH(Hoja1!G1359, Sheet1!I:I, 0))</f>
        <v>105954</v>
      </c>
      <c r="J1359" s="2">
        <f>+INDEX(Sheet1!H:H, MATCH(Hoja1!G1359, Sheet1!I:I, 0))</f>
        <v>2.5493612078977934E-2</v>
      </c>
      <c r="K1359" s="2">
        <f>+INDEX(Sheet1!L:L, MATCH(Hoja1!G1359,Sheet1!M:M, 0))</f>
        <v>10.3</v>
      </c>
    </row>
    <row r="1360" spans="1:11" ht="16" x14ac:dyDescent="0.25">
      <c r="A1360" t="s">
        <v>1071</v>
      </c>
      <c r="B1360">
        <v>3</v>
      </c>
      <c r="C1360">
        <v>2023</v>
      </c>
      <c r="D1360" t="s">
        <v>104</v>
      </c>
      <c r="E1360">
        <v>3.5</v>
      </c>
      <c r="F1360">
        <v>12961683</v>
      </c>
      <c r="G1360" s="1" t="str">
        <f t="shared" si="21"/>
        <v>Pennsylvania2023</v>
      </c>
      <c r="H1360">
        <f>+INDEX(Sheet1!C:C, MATCH(Hoja1!G1360, Sheet1!D:D, 0))</f>
        <v>976360.8</v>
      </c>
      <c r="I1360">
        <f>+INDEX(Sheet1!G:G, MATCH(Hoja1!G1360, Sheet1!I:I, 0))</f>
        <v>105954</v>
      </c>
      <c r="J1360" s="2">
        <f>+INDEX(Sheet1!H:H, MATCH(Hoja1!G1360, Sheet1!I:I, 0))</f>
        <v>2.5493612078977934E-2</v>
      </c>
      <c r="K1360" s="2">
        <f>+INDEX(Sheet1!L:L, MATCH(Hoja1!G1360,Sheet1!M:M, 0))</f>
        <v>10.3</v>
      </c>
    </row>
    <row r="1361" spans="1:11" ht="16" x14ac:dyDescent="0.25">
      <c r="A1361" t="s">
        <v>1071</v>
      </c>
      <c r="B1361">
        <v>4</v>
      </c>
      <c r="C1361">
        <v>2023</v>
      </c>
      <c r="D1361" t="s">
        <v>1090</v>
      </c>
      <c r="E1361">
        <v>3.4</v>
      </c>
      <c r="F1361">
        <v>12961683</v>
      </c>
      <c r="G1361" s="1" t="str">
        <f t="shared" si="21"/>
        <v>Pennsylvania2023</v>
      </c>
      <c r="H1361">
        <f>+INDEX(Sheet1!C:C, MATCH(Hoja1!G1361, Sheet1!D:D, 0))</f>
        <v>976360.8</v>
      </c>
      <c r="I1361">
        <f>+INDEX(Sheet1!G:G, MATCH(Hoja1!G1361, Sheet1!I:I, 0))</f>
        <v>105954</v>
      </c>
      <c r="J1361" s="2">
        <f>+INDEX(Sheet1!H:H, MATCH(Hoja1!G1361, Sheet1!I:I, 0))</f>
        <v>2.5493612078977934E-2</v>
      </c>
      <c r="K1361" s="2">
        <f>+INDEX(Sheet1!L:L, MATCH(Hoja1!G1361,Sheet1!M:M, 0))</f>
        <v>10.3</v>
      </c>
    </row>
    <row r="1362" spans="1:11" ht="16" x14ac:dyDescent="0.25">
      <c r="A1362" t="s">
        <v>1071</v>
      </c>
      <c r="B1362">
        <v>5</v>
      </c>
      <c r="C1362">
        <v>2023</v>
      </c>
      <c r="D1362" t="s">
        <v>1091</v>
      </c>
      <c r="E1362">
        <v>3.3</v>
      </c>
      <c r="F1362">
        <v>12961683</v>
      </c>
      <c r="G1362" s="1" t="str">
        <f t="shared" si="21"/>
        <v>Pennsylvania2023</v>
      </c>
      <c r="H1362">
        <f>+INDEX(Sheet1!C:C, MATCH(Hoja1!G1362, Sheet1!D:D, 0))</f>
        <v>976360.8</v>
      </c>
      <c r="I1362">
        <f>+INDEX(Sheet1!G:G, MATCH(Hoja1!G1362, Sheet1!I:I, 0))</f>
        <v>105954</v>
      </c>
      <c r="J1362" s="2">
        <f>+INDEX(Sheet1!H:H, MATCH(Hoja1!G1362, Sheet1!I:I, 0))</f>
        <v>2.5493612078977934E-2</v>
      </c>
      <c r="K1362" s="2">
        <f>+INDEX(Sheet1!L:L, MATCH(Hoja1!G1362,Sheet1!M:M, 0))</f>
        <v>10.3</v>
      </c>
    </row>
    <row r="1363" spans="1:11" ht="16" x14ac:dyDescent="0.25">
      <c r="A1363" t="s">
        <v>1071</v>
      </c>
      <c r="B1363">
        <v>6</v>
      </c>
      <c r="C1363">
        <v>2023</v>
      </c>
      <c r="D1363" t="s">
        <v>1092</v>
      </c>
      <c r="E1363">
        <v>3.2</v>
      </c>
      <c r="F1363">
        <v>12961683</v>
      </c>
      <c r="G1363" s="1" t="str">
        <f t="shared" si="21"/>
        <v>Pennsylvania2023</v>
      </c>
      <c r="H1363">
        <f>+INDEX(Sheet1!C:C, MATCH(Hoja1!G1363, Sheet1!D:D, 0))</f>
        <v>976360.8</v>
      </c>
      <c r="I1363">
        <f>+INDEX(Sheet1!G:G, MATCH(Hoja1!G1363, Sheet1!I:I, 0))</f>
        <v>105954</v>
      </c>
      <c r="J1363" s="2">
        <f>+INDEX(Sheet1!H:H, MATCH(Hoja1!G1363, Sheet1!I:I, 0))</f>
        <v>2.5493612078977934E-2</v>
      </c>
      <c r="K1363" s="2">
        <f>+INDEX(Sheet1!L:L, MATCH(Hoja1!G1363,Sheet1!M:M, 0))</f>
        <v>10.3</v>
      </c>
    </row>
    <row r="1364" spans="1:11" ht="16" x14ac:dyDescent="0.25">
      <c r="A1364" t="s">
        <v>1071</v>
      </c>
      <c r="B1364">
        <v>7</v>
      </c>
      <c r="C1364">
        <v>2023</v>
      </c>
      <c r="D1364" t="s">
        <v>1093</v>
      </c>
      <c r="E1364">
        <v>3.2</v>
      </c>
      <c r="F1364">
        <v>12961683</v>
      </c>
      <c r="G1364" s="1" t="str">
        <f t="shared" si="21"/>
        <v>Pennsylvania2023</v>
      </c>
      <c r="H1364">
        <f>+INDEX(Sheet1!C:C, MATCH(Hoja1!G1364, Sheet1!D:D, 0))</f>
        <v>976360.8</v>
      </c>
      <c r="I1364">
        <f>+INDEX(Sheet1!G:G, MATCH(Hoja1!G1364, Sheet1!I:I, 0))</f>
        <v>105954</v>
      </c>
      <c r="J1364" s="2">
        <f>+INDEX(Sheet1!H:H, MATCH(Hoja1!G1364, Sheet1!I:I, 0))</f>
        <v>2.5493612078977934E-2</v>
      </c>
      <c r="K1364" s="2">
        <f>+INDEX(Sheet1!L:L, MATCH(Hoja1!G1364,Sheet1!M:M, 0))</f>
        <v>10.3</v>
      </c>
    </row>
    <row r="1365" spans="1:11" ht="16" x14ac:dyDescent="0.25">
      <c r="A1365" t="s">
        <v>1071</v>
      </c>
      <c r="B1365">
        <v>8</v>
      </c>
      <c r="C1365">
        <v>2023</v>
      </c>
      <c r="D1365" t="s">
        <v>1094</v>
      </c>
      <c r="E1365">
        <v>3.3</v>
      </c>
      <c r="F1365">
        <v>12961683</v>
      </c>
      <c r="G1365" s="1" t="str">
        <f t="shared" si="21"/>
        <v>Pennsylvania2023</v>
      </c>
      <c r="H1365">
        <f>+INDEX(Sheet1!C:C, MATCH(Hoja1!G1365, Sheet1!D:D, 0))</f>
        <v>976360.8</v>
      </c>
      <c r="I1365">
        <f>+INDEX(Sheet1!G:G, MATCH(Hoja1!G1365, Sheet1!I:I, 0))</f>
        <v>105954</v>
      </c>
      <c r="J1365" s="2">
        <f>+INDEX(Sheet1!H:H, MATCH(Hoja1!G1365, Sheet1!I:I, 0))</f>
        <v>2.5493612078977934E-2</v>
      </c>
      <c r="K1365" s="2">
        <f>+INDEX(Sheet1!L:L, MATCH(Hoja1!G1365,Sheet1!M:M, 0))</f>
        <v>10.3</v>
      </c>
    </row>
    <row r="1366" spans="1:11" ht="16" x14ac:dyDescent="0.25">
      <c r="A1366" t="s">
        <v>1071</v>
      </c>
      <c r="B1366">
        <v>9</v>
      </c>
      <c r="C1366">
        <v>2023</v>
      </c>
      <c r="D1366" t="s">
        <v>1095</v>
      </c>
      <c r="E1366">
        <v>3.3</v>
      </c>
      <c r="F1366">
        <v>12961683</v>
      </c>
      <c r="G1366" s="1" t="str">
        <f t="shared" si="21"/>
        <v>Pennsylvania2023</v>
      </c>
      <c r="H1366">
        <f>+INDEX(Sheet1!C:C, MATCH(Hoja1!G1366, Sheet1!D:D, 0))</f>
        <v>976360.8</v>
      </c>
      <c r="I1366">
        <f>+INDEX(Sheet1!G:G, MATCH(Hoja1!G1366, Sheet1!I:I, 0))</f>
        <v>105954</v>
      </c>
      <c r="J1366" s="2">
        <f>+INDEX(Sheet1!H:H, MATCH(Hoja1!G1366, Sheet1!I:I, 0))</f>
        <v>2.5493612078977934E-2</v>
      </c>
      <c r="K1366" s="2">
        <f>+INDEX(Sheet1!L:L, MATCH(Hoja1!G1366,Sheet1!M:M, 0))</f>
        <v>10.3</v>
      </c>
    </row>
    <row r="1367" spans="1:11" ht="16" x14ac:dyDescent="0.25">
      <c r="A1367" t="s">
        <v>1071</v>
      </c>
      <c r="B1367">
        <v>10</v>
      </c>
      <c r="C1367">
        <v>2023</v>
      </c>
      <c r="D1367" t="s">
        <v>1096</v>
      </c>
      <c r="E1367">
        <v>3.4</v>
      </c>
      <c r="F1367">
        <v>12961683</v>
      </c>
      <c r="G1367" s="1" t="str">
        <f t="shared" si="21"/>
        <v>Pennsylvania2023</v>
      </c>
      <c r="H1367">
        <f>+INDEX(Sheet1!C:C, MATCH(Hoja1!G1367, Sheet1!D:D, 0))</f>
        <v>976360.8</v>
      </c>
      <c r="I1367">
        <f>+INDEX(Sheet1!G:G, MATCH(Hoja1!G1367, Sheet1!I:I, 0))</f>
        <v>105954</v>
      </c>
      <c r="J1367" s="2">
        <f>+INDEX(Sheet1!H:H, MATCH(Hoja1!G1367, Sheet1!I:I, 0))</f>
        <v>2.5493612078977934E-2</v>
      </c>
      <c r="K1367" s="2">
        <f>+INDEX(Sheet1!L:L, MATCH(Hoja1!G1367,Sheet1!M:M, 0))</f>
        <v>10.3</v>
      </c>
    </row>
    <row r="1368" spans="1:11" ht="16" x14ac:dyDescent="0.25">
      <c r="A1368" t="s">
        <v>1071</v>
      </c>
      <c r="B1368">
        <v>11</v>
      </c>
      <c r="C1368">
        <v>2023</v>
      </c>
      <c r="D1368" t="s">
        <v>1097</v>
      </c>
      <c r="E1368">
        <v>3.4</v>
      </c>
      <c r="F1368">
        <v>12961683</v>
      </c>
      <c r="G1368" s="1" t="str">
        <f t="shared" si="21"/>
        <v>Pennsylvania2023</v>
      </c>
      <c r="H1368">
        <f>+INDEX(Sheet1!C:C, MATCH(Hoja1!G1368, Sheet1!D:D, 0))</f>
        <v>976360.8</v>
      </c>
      <c r="I1368">
        <f>+INDEX(Sheet1!G:G, MATCH(Hoja1!G1368, Sheet1!I:I, 0))</f>
        <v>105954</v>
      </c>
      <c r="J1368" s="2">
        <f>+INDEX(Sheet1!H:H, MATCH(Hoja1!G1368, Sheet1!I:I, 0))</f>
        <v>2.5493612078977934E-2</v>
      </c>
      <c r="K1368" s="2">
        <f>+INDEX(Sheet1!L:L, MATCH(Hoja1!G1368,Sheet1!M:M, 0))</f>
        <v>10.3</v>
      </c>
    </row>
    <row r="1369" spans="1:11" ht="16" x14ac:dyDescent="0.25">
      <c r="A1369" t="s">
        <v>1071</v>
      </c>
      <c r="B1369">
        <v>12</v>
      </c>
      <c r="C1369">
        <v>2023</v>
      </c>
      <c r="D1369" t="s">
        <v>1098</v>
      </c>
      <c r="E1369">
        <v>3.4</v>
      </c>
      <c r="F1369">
        <v>12961683</v>
      </c>
      <c r="G1369" s="1" t="str">
        <f t="shared" si="21"/>
        <v>Pennsylvania2023</v>
      </c>
      <c r="H1369">
        <f>+INDEX(Sheet1!C:C, MATCH(Hoja1!G1369, Sheet1!D:D, 0))</f>
        <v>976360.8</v>
      </c>
      <c r="I1369">
        <f>+INDEX(Sheet1!G:G, MATCH(Hoja1!G1369, Sheet1!I:I, 0))</f>
        <v>105954</v>
      </c>
      <c r="J1369" s="2">
        <f>+INDEX(Sheet1!H:H, MATCH(Hoja1!G1369, Sheet1!I:I, 0))</f>
        <v>2.5493612078977934E-2</v>
      </c>
      <c r="K1369" s="2">
        <f>+INDEX(Sheet1!L:L, MATCH(Hoja1!G1369,Sheet1!M:M, 0))</f>
        <v>10.3</v>
      </c>
    </row>
    <row r="1370" spans="1:11" ht="16" x14ac:dyDescent="0.25">
      <c r="A1370" t="s">
        <v>1099</v>
      </c>
      <c r="B1370">
        <v>1</v>
      </c>
      <c r="C1370">
        <v>2021</v>
      </c>
      <c r="D1370" t="s">
        <v>1100</v>
      </c>
      <c r="E1370">
        <v>6.6</v>
      </c>
      <c r="F1370">
        <v>1097092</v>
      </c>
      <c r="G1370" s="1" t="str">
        <f t="shared" si="21"/>
        <v>Rhode Island2021</v>
      </c>
      <c r="H1370">
        <f>+INDEX(Sheet1!C:C, MATCH(Hoja1!G1370, Sheet1!D:D, 0))</f>
        <v>67228.3</v>
      </c>
      <c r="I1370">
        <f>+INDEX(Sheet1!G:G, MATCH(Hoja1!G1370, Sheet1!I:I, 0))</f>
        <v>103457</v>
      </c>
      <c r="J1370" s="2">
        <f>+INDEX(Sheet1!H:H, MATCH(Hoja1!G1370, Sheet1!I:I, 0))</f>
        <v>4.4165884478356093E-2</v>
      </c>
      <c r="K1370" s="2">
        <f>+INDEX(Sheet1!L:L, MATCH(Hoja1!G1370,Sheet1!M:M, 0))</f>
        <v>9.4</v>
      </c>
    </row>
    <row r="1371" spans="1:11" ht="16" x14ac:dyDescent="0.25">
      <c r="A1371" t="s">
        <v>1099</v>
      </c>
      <c r="B1371">
        <v>2</v>
      </c>
      <c r="C1371">
        <v>2021</v>
      </c>
      <c r="D1371" t="s">
        <v>1101</v>
      </c>
      <c r="E1371">
        <v>6.4</v>
      </c>
      <c r="F1371">
        <v>1097092</v>
      </c>
      <c r="G1371" s="1" t="str">
        <f t="shared" si="21"/>
        <v>Rhode Island2021</v>
      </c>
      <c r="H1371">
        <f>+INDEX(Sheet1!C:C, MATCH(Hoja1!G1371, Sheet1!D:D, 0))</f>
        <v>67228.3</v>
      </c>
      <c r="I1371">
        <f>+INDEX(Sheet1!G:G, MATCH(Hoja1!G1371, Sheet1!I:I, 0))</f>
        <v>103457</v>
      </c>
      <c r="J1371" s="2">
        <f>+INDEX(Sheet1!H:H, MATCH(Hoja1!G1371, Sheet1!I:I, 0))</f>
        <v>4.4165884478356093E-2</v>
      </c>
      <c r="K1371" s="2">
        <f>+INDEX(Sheet1!L:L, MATCH(Hoja1!G1371,Sheet1!M:M, 0))</f>
        <v>9.4</v>
      </c>
    </row>
    <row r="1372" spans="1:11" ht="16" x14ac:dyDescent="0.25">
      <c r="A1372" t="s">
        <v>1099</v>
      </c>
      <c r="B1372">
        <v>3</v>
      </c>
      <c r="C1372">
        <v>2021</v>
      </c>
      <c r="D1372" t="s">
        <v>1102</v>
      </c>
      <c r="E1372">
        <v>6.2</v>
      </c>
      <c r="F1372">
        <v>1097092</v>
      </c>
      <c r="G1372" s="1" t="str">
        <f t="shared" si="21"/>
        <v>Rhode Island2021</v>
      </c>
      <c r="H1372">
        <f>+INDEX(Sheet1!C:C, MATCH(Hoja1!G1372, Sheet1!D:D, 0))</f>
        <v>67228.3</v>
      </c>
      <c r="I1372">
        <f>+INDEX(Sheet1!G:G, MATCH(Hoja1!G1372, Sheet1!I:I, 0))</f>
        <v>103457</v>
      </c>
      <c r="J1372" s="2">
        <f>+INDEX(Sheet1!H:H, MATCH(Hoja1!G1372, Sheet1!I:I, 0))</f>
        <v>4.4165884478356093E-2</v>
      </c>
      <c r="K1372" s="2">
        <f>+INDEX(Sheet1!L:L, MATCH(Hoja1!G1372,Sheet1!M:M, 0))</f>
        <v>9.4</v>
      </c>
    </row>
    <row r="1373" spans="1:11" ht="16" x14ac:dyDescent="0.25">
      <c r="A1373" t="s">
        <v>1099</v>
      </c>
      <c r="B1373">
        <v>4</v>
      </c>
      <c r="C1373">
        <v>2021</v>
      </c>
      <c r="D1373" t="s">
        <v>1103</v>
      </c>
      <c r="E1373">
        <v>6.2</v>
      </c>
      <c r="F1373">
        <v>1097092</v>
      </c>
      <c r="G1373" s="1" t="str">
        <f t="shared" si="21"/>
        <v>Rhode Island2021</v>
      </c>
      <c r="H1373">
        <f>+INDEX(Sheet1!C:C, MATCH(Hoja1!G1373, Sheet1!D:D, 0))</f>
        <v>67228.3</v>
      </c>
      <c r="I1373">
        <f>+INDEX(Sheet1!G:G, MATCH(Hoja1!G1373, Sheet1!I:I, 0))</f>
        <v>103457</v>
      </c>
      <c r="J1373" s="2">
        <f>+INDEX(Sheet1!H:H, MATCH(Hoja1!G1373, Sheet1!I:I, 0))</f>
        <v>4.4165884478356093E-2</v>
      </c>
      <c r="K1373" s="2">
        <f>+INDEX(Sheet1!L:L, MATCH(Hoja1!G1373,Sheet1!M:M, 0))</f>
        <v>9.4</v>
      </c>
    </row>
    <row r="1374" spans="1:11" ht="16" x14ac:dyDescent="0.25">
      <c r="A1374" t="s">
        <v>1099</v>
      </c>
      <c r="B1374">
        <v>5</v>
      </c>
      <c r="C1374">
        <v>2021</v>
      </c>
      <c r="D1374" t="s">
        <v>1104</v>
      </c>
      <c r="E1374">
        <v>6</v>
      </c>
      <c r="F1374">
        <v>1097092</v>
      </c>
      <c r="G1374" s="1" t="str">
        <f t="shared" si="21"/>
        <v>Rhode Island2021</v>
      </c>
      <c r="H1374">
        <f>+INDEX(Sheet1!C:C, MATCH(Hoja1!G1374, Sheet1!D:D, 0))</f>
        <v>67228.3</v>
      </c>
      <c r="I1374">
        <f>+INDEX(Sheet1!G:G, MATCH(Hoja1!G1374, Sheet1!I:I, 0))</f>
        <v>103457</v>
      </c>
      <c r="J1374" s="2">
        <f>+INDEX(Sheet1!H:H, MATCH(Hoja1!G1374, Sheet1!I:I, 0))</f>
        <v>4.4165884478356093E-2</v>
      </c>
      <c r="K1374" s="2">
        <f>+INDEX(Sheet1!L:L, MATCH(Hoja1!G1374,Sheet1!M:M, 0))</f>
        <v>9.4</v>
      </c>
    </row>
    <row r="1375" spans="1:11" ht="16" x14ac:dyDescent="0.25">
      <c r="A1375" t="s">
        <v>1099</v>
      </c>
      <c r="B1375">
        <v>6</v>
      </c>
      <c r="C1375">
        <v>2021</v>
      </c>
      <c r="D1375" t="s">
        <v>1105</v>
      </c>
      <c r="E1375">
        <v>6</v>
      </c>
      <c r="F1375">
        <v>1097092</v>
      </c>
      <c r="G1375" s="1" t="str">
        <f t="shared" si="21"/>
        <v>Rhode Island2021</v>
      </c>
      <c r="H1375">
        <f>+INDEX(Sheet1!C:C, MATCH(Hoja1!G1375, Sheet1!D:D, 0))</f>
        <v>67228.3</v>
      </c>
      <c r="I1375">
        <f>+INDEX(Sheet1!G:G, MATCH(Hoja1!G1375, Sheet1!I:I, 0))</f>
        <v>103457</v>
      </c>
      <c r="J1375" s="2">
        <f>+INDEX(Sheet1!H:H, MATCH(Hoja1!G1375, Sheet1!I:I, 0))</f>
        <v>4.4165884478356093E-2</v>
      </c>
      <c r="K1375" s="2">
        <f>+INDEX(Sheet1!L:L, MATCH(Hoja1!G1375,Sheet1!M:M, 0))</f>
        <v>9.4</v>
      </c>
    </row>
    <row r="1376" spans="1:11" ht="16" x14ac:dyDescent="0.25">
      <c r="A1376" t="s">
        <v>1099</v>
      </c>
      <c r="B1376">
        <v>7</v>
      </c>
      <c r="C1376">
        <v>2021</v>
      </c>
      <c r="D1376" t="s">
        <v>1106</v>
      </c>
      <c r="E1376">
        <v>5.8</v>
      </c>
      <c r="F1376">
        <v>1097092</v>
      </c>
      <c r="G1376" s="1" t="str">
        <f t="shared" si="21"/>
        <v>Rhode Island2021</v>
      </c>
      <c r="H1376">
        <f>+INDEX(Sheet1!C:C, MATCH(Hoja1!G1376, Sheet1!D:D, 0))</f>
        <v>67228.3</v>
      </c>
      <c r="I1376">
        <f>+INDEX(Sheet1!G:G, MATCH(Hoja1!G1376, Sheet1!I:I, 0))</f>
        <v>103457</v>
      </c>
      <c r="J1376" s="2">
        <f>+INDEX(Sheet1!H:H, MATCH(Hoja1!G1376, Sheet1!I:I, 0))</f>
        <v>4.4165884478356093E-2</v>
      </c>
      <c r="K1376" s="2">
        <f>+INDEX(Sheet1!L:L, MATCH(Hoja1!G1376,Sheet1!M:M, 0))</f>
        <v>9.4</v>
      </c>
    </row>
    <row r="1377" spans="1:11" ht="16" x14ac:dyDescent="0.25">
      <c r="A1377" t="s">
        <v>1099</v>
      </c>
      <c r="B1377">
        <v>8</v>
      </c>
      <c r="C1377">
        <v>2021</v>
      </c>
      <c r="D1377" t="s">
        <v>1107</v>
      </c>
      <c r="E1377">
        <v>5.5</v>
      </c>
      <c r="F1377">
        <v>1097092</v>
      </c>
      <c r="G1377" s="1" t="str">
        <f t="shared" si="21"/>
        <v>Rhode Island2021</v>
      </c>
      <c r="H1377">
        <f>+INDEX(Sheet1!C:C, MATCH(Hoja1!G1377, Sheet1!D:D, 0))</f>
        <v>67228.3</v>
      </c>
      <c r="I1377">
        <f>+INDEX(Sheet1!G:G, MATCH(Hoja1!G1377, Sheet1!I:I, 0))</f>
        <v>103457</v>
      </c>
      <c r="J1377" s="2">
        <f>+INDEX(Sheet1!H:H, MATCH(Hoja1!G1377, Sheet1!I:I, 0))</f>
        <v>4.4165884478356093E-2</v>
      </c>
      <c r="K1377" s="2">
        <f>+INDEX(Sheet1!L:L, MATCH(Hoja1!G1377,Sheet1!M:M, 0))</f>
        <v>9.4</v>
      </c>
    </row>
    <row r="1378" spans="1:11" ht="16" x14ac:dyDescent="0.25">
      <c r="A1378" t="s">
        <v>1099</v>
      </c>
      <c r="B1378">
        <v>9</v>
      </c>
      <c r="C1378">
        <v>2021</v>
      </c>
      <c r="D1378" t="s">
        <v>1104</v>
      </c>
      <c r="E1378">
        <v>5.0999999999999996</v>
      </c>
      <c r="F1378">
        <v>1097092</v>
      </c>
      <c r="G1378" s="1" t="str">
        <f t="shared" si="21"/>
        <v>Rhode Island2021</v>
      </c>
      <c r="H1378">
        <f>+INDEX(Sheet1!C:C, MATCH(Hoja1!G1378, Sheet1!D:D, 0))</f>
        <v>67228.3</v>
      </c>
      <c r="I1378">
        <f>+INDEX(Sheet1!G:G, MATCH(Hoja1!G1378, Sheet1!I:I, 0))</f>
        <v>103457</v>
      </c>
      <c r="J1378" s="2">
        <f>+INDEX(Sheet1!H:H, MATCH(Hoja1!G1378, Sheet1!I:I, 0))</f>
        <v>4.4165884478356093E-2</v>
      </c>
      <c r="K1378" s="2">
        <f>+INDEX(Sheet1!L:L, MATCH(Hoja1!G1378,Sheet1!M:M, 0))</f>
        <v>9.4</v>
      </c>
    </row>
    <row r="1379" spans="1:11" ht="16" x14ac:dyDescent="0.25">
      <c r="A1379" t="s">
        <v>1099</v>
      </c>
      <c r="B1379">
        <v>10</v>
      </c>
      <c r="C1379">
        <v>2021</v>
      </c>
      <c r="D1379" t="s">
        <v>1108</v>
      </c>
      <c r="E1379">
        <v>4.5999999999999996</v>
      </c>
      <c r="F1379">
        <v>1097092</v>
      </c>
      <c r="G1379" s="1" t="str">
        <f t="shared" si="21"/>
        <v>Rhode Island2021</v>
      </c>
      <c r="H1379">
        <f>+INDEX(Sheet1!C:C, MATCH(Hoja1!G1379, Sheet1!D:D, 0))</f>
        <v>67228.3</v>
      </c>
      <c r="I1379">
        <f>+INDEX(Sheet1!G:G, MATCH(Hoja1!G1379, Sheet1!I:I, 0))</f>
        <v>103457</v>
      </c>
      <c r="J1379" s="2">
        <f>+INDEX(Sheet1!H:H, MATCH(Hoja1!G1379, Sheet1!I:I, 0))</f>
        <v>4.4165884478356093E-2</v>
      </c>
      <c r="K1379" s="2">
        <f>+INDEX(Sheet1!L:L, MATCH(Hoja1!G1379,Sheet1!M:M, 0))</f>
        <v>9.4</v>
      </c>
    </row>
    <row r="1380" spans="1:11" ht="16" x14ac:dyDescent="0.25">
      <c r="A1380" t="s">
        <v>1099</v>
      </c>
      <c r="B1380">
        <v>11</v>
      </c>
      <c r="C1380">
        <v>2021</v>
      </c>
      <c r="D1380" t="s">
        <v>1109</v>
      </c>
      <c r="E1380">
        <v>4.0999999999999996</v>
      </c>
      <c r="F1380">
        <v>1097092</v>
      </c>
      <c r="G1380" s="1" t="str">
        <f t="shared" si="21"/>
        <v>Rhode Island2021</v>
      </c>
      <c r="H1380">
        <f>+INDEX(Sheet1!C:C, MATCH(Hoja1!G1380, Sheet1!D:D, 0))</f>
        <v>67228.3</v>
      </c>
      <c r="I1380">
        <f>+INDEX(Sheet1!G:G, MATCH(Hoja1!G1380, Sheet1!I:I, 0))</f>
        <v>103457</v>
      </c>
      <c r="J1380" s="2">
        <f>+INDEX(Sheet1!H:H, MATCH(Hoja1!G1380, Sheet1!I:I, 0))</f>
        <v>4.4165884478356093E-2</v>
      </c>
      <c r="K1380" s="2">
        <f>+INDEX(Sheet1!L:L, MATCH(Hoja1!G1380,Sheet1!M:M, 0))</f>
        <v>9.4</v>
      </c>
    </row>
    <row r="1381" spans="1:11" ht="16" x14ac:dyDescent="0.25">
      <c r="A1381" t="s">
        <v>1099</v>
      </c>
      <c r="B1381">
        <v>12</v>
      </c>
      <c r="C1381">
        <v>2021</v>
      </c>
      <c r="D1381" t="s">
        <v>1110</v>
      </c>
      <c r="E1381">
        <v>3.7</v>
      </c>
      <c r="F1381">
        <v>1097092</v>
      </c>
      <c r="G1381" s="1" t="str">
        <f t="shared" si="21"/>
        <v>Rhode Island2021</v>
      </c>
      <c r="H1381">
        <f>+INDEX(Sheet1!C:C, MATCH(Hoja1!G1381, Sheet1!D:D, 0))</f>
        <v>67228.3</v>
      </c>
      <c r="I1381">
        <f>+INDEX(Sheet1!G:G, MATCH(Hoja1!G1381, Sheet1!I:I, 0))</f>
        <v>103457</v>
      </c>
      <c r="J1381" s="2">
        <f>+INDEX(Sheet1!H:H, MATCH(Hoja1!G1381, Sheet1!I:I, 0))</f>
        <v>4.4165884478356093E-2</v>
      </c>
      <c r="K1381" s="2">
        <f>+INDEX(Sheet1!L:L, MATCH(Hoja1!G1381,Sheet1!M:M, 0))</f>
        <v>9.4</v>
      </c>
    </row>
    <row r="1382" spans="1:11" ht="16" x14ac:dyDescent="0.25">
      <c r="A1382" t="s">
        <v>1099</v>
      </c>
      <c r="B1382">
        <v>1</v>
      </c>
      <c r="C1382">
        <v>2022</v>
      </c>
      <c r="D1382" t="s">
        <v>1111</v>
      </c>
      <c r="E1382">
        <v>3.5</v>
      </c>
      <c r="F1382">
        <v>1093842</v>
      </c>
      <c r="G1382" s="1" t="str">
        <f t="shared" si="21"/>
        <v>Rhode Island2022</v>
      </c>
      <c r="H1382">
        <f>+INDEX(Sheet1!C:C, MATCH(Hoja1!G1382, Sheet1!D:D, 0))</f>
        <v>72869.2</v>
      </c>
      <c r="I1382">
        <f>+INDEX(Sheet1!G:G, MATCH(Hoja1!G1382, Sheet1!I:I, 0))</f>
        <v>105969</v>
      </c>
      <c r="J1382" s="2">
        <f>+INDEX(Sheet1!H:H, MATCH(Hoja1!G1382, Sheet1!I:I, 0))</f>
        <v>2.4280619001130904E-2</v>
      </c>
      <c r="K1382" s="2">
        <f>+INDEX(Sheet1!L:L, MATCH(Hoja1!G1382,Sheet1!M:M, 0))</f>
        <v>8.4</v>
      </c>
    </row>
    <row r="1383" spans="1:11" ht="16" x14ac:dyDescent="0.25">
      <c r="A1383" t="s">
        <v>1099</v>
      </c>
      <c r="B1383">
        <v>2</v>
      </c>
      <c r="C1383">
        <v>2022</v>
      </c>
      <c r="D1383" t="s">
        <v>1112</v>
      </c>
      <c r="E1383">
        <v>3.3</v>
      </c>
      <c r="F1383">
        <v>1093842</v>
      </c>
      <c r="G1383" s="1" t="str">
        <f t="shared" si="21"/>
        <v>Rhode Island2022</v>
      </c>
      <c r="H1383">
        <f>+INDEX(Sheet1!C:C, MATCH(Hoja1!G1383, Sheet1!D:D, 0))</f>
        <v>72869.2</v>
      </c>
      <c r="I1383">
        <f>+INDEX(Sheet1!G:G, MATCH(Hoja1!G1383, Sheet1!I:I, 0))</f>
        <v>105969</v>
      </c>
      <c r="J1383" s="2">
        <f>+INDEX(Sheet1!H:H, MATCH(Hoja1!G1383, Sheet1!I:I, 0))</f>
        <v>2.4280619001130904E-2</v>
      </c>
      <c r="K1383" s="2">
        <f>+INDEX(Sheet1!L:L, MATCH(Hoja1!G1383,Sheet1!M:M, 0))</f>
        <v>8.4</v>
      </c>
    </row>
    <row r="1384" spans="1:11" ht="16" x14ac:dyDescent="0.25">
      <c r="A1384" t="s">
        <v>1099</v>
      </c>
      <c r="B1384">
        <v>3</v>
      </c>
      <c r="C1384">
        <v>2022</v>
      </c>
      <c r="D1384" t="s">
        <v>1113</v>
      </c>
      <c r="E1384">
        <v>3.1</v>
      </c>
      <c r="F1384">
        <v>1093842</v>
      </c>
      <c r="G1384" s="1" t="str">
        <f t="shared" si="21"/>
        <v>Rhode Island2022</v>
      </c>
      <c r="H1384">
        <f>+INDEX(Sheet1!C:C, MATCH(Hoja1!G1384, Sheet1!D:D, 0))</f>
        <v>72869.2</v>
      </c>
      <c r="I1384">
        <f>+INDEX(Sheet1!G:G, MATCH(Hoja1!G1384, Sheet1!I:I, 0))</f>
        <v>105969</v>
      </c>
      <c r="J1384" s="2">
        <f>+INDEX(Sheet1!H:H, MATCH(Hoja1!G1384, Sheet1!I:I, 0))</f>
        <v>2.4280619001130904E-2</v>
      </c>
      <c r="K1384" s="2">
        <f>+INDEX(Sheet1!L:L, MATCH(Hoja1!G1384,Sheet1!M:M, 0))</f>
        <v>8.4</v>
      </c>
    </row>
    <row r="1385" spans="1:11" ht="16" x14ac:dyDescent="0.25">
      <c r="A1385" t="s">
        <v>1099</v>
      </c>
      <c r="B1385">
        <v>4</v>
      </c>
      <c r="C1385">
        <v>2022</v>
      </c>
      <c r="D1385" t="s">
        <v>1114</v>
      </c>
      <c r="E1385">
        <v>3</v>
      </c>
      <c r="F1385">
        <v>1093842</v>
      </c>
      <c r="G1385" s="1" t="str">
        <f t="shared" si="21"/>
        <v>Rhode Island2022</v>
      </c>
      <c r="H1385">
        <f>+INDEX(Sheet1!C:C, MATCH(Hoja1!G1385, Sheet1!D:D, 0))</f>
        <v>72869.2</v>
      </c>
      <c r="I1385">
        <f>+INDEX(Sheet1!G:G, MATCH(Hoja1!G1385, Sheet1!I:I, 0))</f>
        <v>105969</v>
      </c>
      <c r="J1385" s="2">
        <f>+INDEX(Sheet1!H:H, MATCH(Hoja1!G1385, Sheet1!I:I, 0))</f>
        <v>2.4280619001130904E-2</v>
      </c>
      <c r="K1385" s="2">
        <f>+INDEX(Sheet1!L:L, MATCH(Hoja1!G1385,Sheet1!M:M, 0))</f>
        <v>8.4</v>
      </c>
    </row>
    <row r="1386" spans="1:11" ht="16" x14ac:dyDescent="0.25">
      <c r="A1386" t="s">
        <v>1099</v>
      </c>
      <c r="B1386">
        <v>5</v>
      </c>
      <c r="C1386">
        <v>2022</v>
      </c>
      <c r="D1386" t="s">
        <v>1115</v>
      </c>
      <c r="E1386">
        <v>3</v>
      </c>
      <c r="F1386">
        <v>1093842</v>
      </c>
      <c r="G1386" s="1" t="str">
        <f t="shared" si="21"/>
        <v>Rhode Island2022</v>
      </c>
      <c r="H1386">
        <f>+INDEX(Sheet1!C:C, MATCH(Hoja1!G1386, Sheet1!D:D, 0))</f>
        <v>72869.2</v>
      </c>
      <c r="I1386">
        <f>+INDEX(Sheet1!G:G, MATCH(Hoja1!G1386, Sheet1!I:I, 0))</f>
        <v>105969</v>
      </c>
      <c r="J1386" s="2">
        <f>+INDEX(Sheet1!H:H, MATCH(Hoja1!G1386, Sheet1!I:I, 0))</f>
        <v>2.4280619001130904E-2</v>
      </c>
      <c r="K1386" s="2">
        <f>+INDEX(Sheet1!L:L, MATCH(Hoja1!G1386,Sheet1!M:M, 0))</f>
        <v>8.4</v>
      </c>
    </row>
    <row r="1387" spans="1:11" ht="16" x14ac:dyDescent="0.25">
      <c r="A1387" t="s">
        <v>1099</v>
      </c>
      <c r="B1387">
        <v>6</v>
      </c>
      <c r="C1387">
        <v>2022</v>
      </c>
      <c r="D1387" t="s">
        <v>1116</v>
      </c>
      <c r="E1387">
        <v>3.1</v>
      </c>
      <c r="F1387">
        <v>1093842</v>
      </c>
      <c r="G1387" s="1" t="str">
        <f t="shared" si="21"/>
        <v>Rhode Island2022</v>
      </c>
      <c r="H1387">
        <f>+INDEX(Sheet1!C:C, MATCH(Hoja1!G1387, Sheet1!D:D, 0))</f>
        <v>72869.2</v>
      </c>
      <c r="I1387">
        <f>+INDEX(Sheet1!G:G, MATCH(Hoja1!G1387, Sheet1!I:I, 0))</f>
        <v>105969</v>
      </c>
      <c r="J1387" s="2">
        <f>+INDEX(Sheet1!H:H, MATCH(Hoja1!G1387, Sheet1!I:I, 0))</f>
        <v>2.4280619001130904E-2</v>
      </c>
      <c r="K1387" s="2">
        <f>+INDEX(Sheet1!L:L, MATCH(Hoja1!G1387,Sheet1!M:M, 0))</f>
        <v>8.4</v>
      </c>
    </row>
    <row r="1388" spans="1:11" ht="16" x14ac:dyDescent="0.25">
      <c r="A1388" t="s">
        <v>1099</v>
      </c>
      <c r="B1388">
        <v>7</v>
      </c>
      <c r="C1388">
        <v>2022</v>
      </c>
      <c r="D1388" t="s">
        <v>1117</v>
      </c>
      <c r="E1388">
        <v>3.2</v>
      </c>
      <c r="F1388">
        <v>1093842</v>
      </c>
      <c r="G1388" s="1" t="str">
        <f t="shared" si="21"/>
        <v>Rhode Island2022</v>
      </c>
      <c r="H1388">
        <f>+INDEX(Sheet1!C:C, MATCH(Hoja1!G1388, Sheet1!D:D, 0))</f>
        <v>72869.2</v>
      </c>
      <c r="I1388">
        <f>+INDEX(Sheet1!G:G, MATCH(Hoja1!G1388, Sheet1!I:I, 0))</f>
        <v>105969</v>
      </c>
      <c r="J1388" s="2">
        <f>+INDEX(Sheet1!H:H, MATCH(Hoja1!G1388, Sheet1!I:I, 0))</f>
        <v>2.4280619001130904E-2</v>
      </c>
      <c r="K1388" s="2">
        <f>+INDEX(Sheet1!L:L, MATCH(Hoja1!G1388,Sheet1!M:M, 0))</f>
        <v>8.4</v>
      </c>
    </row>
    <row r="1389" spans="1:11" ht="16" x14ac:dyDescent="0.25">
      <c r="A1389" t="s">
        <v>1099</v>
      </c>
      <c r="B1389">
        <v>8</v>
      </c>
      <c r="C1389">
        <v>2022</v>
      </c>
      <c r="D1389" t="s">
        <v>1118</v>
      </c>
      <c r="E1389">
        <v>3.3</v>
      </c>
      <c r="F1389">
        <v>1093842</v>
      </c>
      <c r="G1389" s="1" t="str">
        <f t="shared" si="21"/>
        <v>Rhode Island2022</v>
      </c>
      <c r="H1389">
        <f>+INDEX(Sheet1!C:C, MATCH(Hoja1!G1389, Sheet1!D:D, 0))</f>
        <v>72869.2</v>
      </c>
      <c r="I1389">
        <f>+INDEX(Sheet1!G:G, MATCH(Hoja1!G1389, Sheet1!I:I, 0))</f>
        <v>105969</v>
      </c>
      <c r="J1389" s="2">
        <f>+INDEX(Sheet1!H:H, MATCH(Hoja1!G1389, Sheet1!I:I, 0))</f>
        <v>2.4280619001130904E-2</v>
      </c>
      <c r="K1389" s="2">
        <f>+INDEX(Sheet1!L:L, MATCH(Hoja1!G1389,Sheet1!M:M, 0))</f>
        <v>8.4</v>
      </c>
    </row>
    <row r="1390" spans="1:11" ht="16" x14ac:dyDescent="0.25">
      <c r="A1390" t="s">
        <v>1099</v>
      </c>
      <c r="B1390">
        <v>9</v>
      </c>
      <c r="C1390">
        <v>2022</v>
      </c>
      <c r="D1390" t="s">
        <v>533</v>
      </c>
      <c r="E1390">
        <v>3.2</v>
      </c>
      <c r="F1390">
        <v>1093842</v>
      </c>
      <c r="G1390" s="1" t="str">
        <f t="shared" si="21"/>
        <v>Rhode Island2022</v>
      </c>
      <c r="H1390">
        <f>+INDEX(Sheet1!C:C, MATCH(Hoja1!G1390, Sheet1!D:D, 0))</f>
        <v>72869.2</v>
      </c>
      <c r="I1390">
        <f>+INDEX(Sheet1!G:G, MATCH(Hoja1!G1390, Sheet1!I:I, 0))</f>
        <v>105969</v>
      </c>
      <c r="J1390" s="2">
        <f>+INDEX(Sheet1!H:H, MATCH(Hoja1!G1390, Sheet1!I:I, 0))</f>
        <v>2.4280619001130904E-2</v>
      </c>
      <c r="K1390" s="2">
        <f>+INDEX(Sheet1!L:L, MATCH(Hoja1!G1390,Sheet1!M:M, 0))</f>
        <v>8.4</v>
      </c>
    </row>
    <row r="1391" spans="1:11" ht="16" x14ac:dyDescent="0.25">
      <c r="A1391" t="s">
        <v>1099</v>
      </c>
      <c r="B1391">
        <v>10</v>
      </c>
      <c r="C1391">
        <v>2022</v>
      </c>
      <c r="D1391" t="s">
        <v>1119</v>
      </c>
      <c r="E1391">
        <v>3.2</v>
      </c>
      <c r="F1391">
        <v>1093842</v>
      </c>
      <c r="G1391" s="1" t="str">
        <f t="shared" si="21"/>
        <v>Rhode Island2022</v>
      </c>
      <c r="H1391">
        <f>+INDEX(Sheet1!C:C, MATCH(Hoja1!G1391, Sheet1!D:D, 0))</f>
        <v>72869.2</v>
      </c>
      <c r="I1391">
        <f>+INDEX(Sheet1!G:G, MATCH(Hoja1!G1391, Sheet1!I:I, 0))</f>
        <v>105969</v>
      </c>
      <c r="J1391" s="2">
        <f>+INDEX(Sheet1!H:H, MATCH(Hoja1!G1391, Sheet1!I:I, 0))</f>
        <v>2.4280619001130904E-2</v>
      </c>
      <c r="K1391" s="2">
        <f>+INDEX(Sheet1!L:L, MATCH(Hoja1!G1391,Sheet1!M:M, 0))</f>
        <v>8.4</v>
      </c>
    </row>
    <row r="1392" spans="1:11" ht="16" x14ac:dyDescent="0.25">
      <c r="A1392" t="s">
        <v>1099</v>
      </c>
      <c r="B1392">
        <v>11</v>
      </c>
      <c r="C1392">
        <v>2022</v>
      </c>
      <c r="D1392" t="s">
        <v>155</v>
      </c>
      <c r="E1392">
        <v>3.1</v>
      </c>
      <c r="F1392">
        <v>1093842</v>
      </c>
      <c r="G1392" s="1" t="str">
        <f t="shared" si="21"/>
        <v>Rhode Island2022</v>
      </c>
      <c r="H1392">
        <f>+INDEX(Sheet1!C:C, MATCH(Hoja1!G1392, Sheet1!D:D, 0))</f>
        <v>72869.2</v>
      </c>
      <c r="I1392">
        <f>+INDEX(Sheet1!G:G, MATCH(Hoja1!G1392, Sheet1!I:I, 0))</f>
        <v>105969</v>
      </c>
      <c r="J1392" s="2">
        <f>+INDEX(Sheet1!H:H, MATCH(Hoja1!G1392, Sheet1!I:I, 0))</f>
        <v>2.4280619001130904E-2</v>
      </c>
      <c r="K1392" s="2">
        <f>+INDEX(Sheet1!L:L, MATCH(Hoja1!G1392,Sheet1!M:M, 0))</f>
        <v>8.4</v>
      </c>
    </row>
    <row r="1393" spans="1:11" ht="16" x14ac:dyDescent="0.25">
      <c r="A1393" t="s">
        <v>1099</v>
      </c>
      <c r="B1393">
        <v>12</v>
      </c>
      <c r="C1393">
        <v>2022</v>
      </c>
      <c r="D1393" t="s">
        <v>631</v>
      </c>
      <c r="E1393">
        <v>3</v>
      </c>
      <c r="F1393">
        <v>1093842</v>
      </c>
      <c r="G1393" s="1" t="str">
        <f t="shared" si="21"/>
        <v>Rhode Island2022</v>
      </c>
      <c r="H1393">
        <f>+INDEX(Sheet1!C:C, MATCH(Hoja1!G1393, Sheet1!D:D, 0))</f>
        <v>72869.2</v>
      </c>
      <c r="I1393">
        <f>+INDEX(Sheet1!G:G, MATCH(Hoja1!G1393, Sheet1!I:I, 0))</f>
        <v>105969</v>
      </c>
      <c r="J1393" s="2">
        <f>+INDEX(Sheet1!H:H, MATCH(Hoja1!G1393, Sheet1!I:I, 0))</f>
        <v>2.4280619001130904E-2</v>
      </c>
      <c r="K1393" s="2">
        <f>+INDEX(Sheet1!L:L, MATCH(Hoja1!G1393,Sheet1!M:M, 0))</f>
        <v>8.4</v>
      </c>
    </row>
    <row r="1394" spans="1:11" ht="16" x14ac:dyDescent="0.25">
      <c r="A1394" t="s">
        <v>1099</v>
      </c>
      <c r="B1394">
        <v>1</v>
      </c>
      <c r="C1394">
        <v>2023</v>
      </c>
      <c r="D1394" t="s">
        <v>384</v>
      </c>
      <c r="E1394">
        <v>2.9</v>
      </c>
      <c r="F1394">
        <v>1095962</v>
      </c>
      <c r="G1394" s="1" t="str">
        <f t="shared" si="21"/>
        <v>Rhode Island2023</v>
      </c>
      <c r="H1394">
        <f>+INDEX(Sheet1!C:C, MATCH(Hoja1!G1394, Sheet1!D:D, 0))</f>
        <v>77573.899999999994</v>
      </c>
      <c r="I1394">
        <f>+INDEX(Sheet1!G:G, MATCH(Hoja1!G1394, Sheet1!I:I, 0))</f>
        <v>107666</v>
      </c>
      <c r="J1394" s="2">
        <f>+INDEX(Sheet1!H:H, MATCH(Hoja1!G1394, Sheet1!I:I, 0))</f>
        <v>1.6014117336202095E-2</v>
      </c>
      <c r="K1394" s="2">
        <f>+INDEX(Sheet1!L:L, MATCH(Hoja1!G1394,Sheet1!M:M, 0))</f>
        <v>8.9</v>
      </c>
    </row>
    <row r="1395" spans="1:11" ht="16" x14ac:dyDescent="0.25">
      <c r="A1395" t="s">
        <v>1099</v>
      </c>
      <c r="B1395">
        <v>2</v>
      </c>
      <c r="C1395">
        <v>2023</v>
      </c>
      <c r="D1395" t="s">
        <v>1120</v>
      </c>
      <c r="E1395">
        <v>2.8</v>
      </c>
      <c r="F1395">
        <v>1095962</v>
      </c>
      <c r="G1395" s="1" t="str">
        <f t="shared" si="21"/>
        <v>Rhode Island2023</v>
      </c>
      <c r="H1395">
        <f>+INDEX(Sheet1!C:C, MATCH(Hoja1!G1395, Sheet1!D:D, 0))</f>
        <v>77573.899999999994</v>
      </c>
      <c r="I1395">
        <f>+INDEX(Sheet1!G:G, MATCH(Hoja1!G1395, Sheet1!I:I, 0))</f>
        <v>107666</v>
      </c>
      <c r="J1395" s="2">
        <f>+INDEX(Sheet1!H:H, MATCH(Hoja1!G1395, Sheet1!I:I, 0))</f>
        <v>1.6014117336202095E-2</v>
      </c>
      <c r="K1395" s="2">
        <f>+INDEX(Sheet1!L:L, MATCH(Hoja1!G1395,Sheet1!M:M, 0))</f>
        <v>8.9</v>
      </c>
    </row>
    <row r="1396" spans="1:11" ht="16" x14ac:dyDescent="0.25">
      <c r="A1396" t="s">
        <v>1099</v>
      </c>
      <c r="B1396">
        <v>3</v>
      </c>
      <c r="C1396">
        <v>2023</v>
      </c>
      <c r="D1396" t="s">
        <v>1121</v>
      </c>
      <c r="E1396">
        <v>2.7</v>
      </c>
      <c r="F1396">
        <v>1095962</v>
      </c>
      <c r="G1396" s="1" t="str">
        <f t="shared" si="21"/>
        <v>Rhode Island2023</v>
      </c>
      <c r="H1396">
        <f>+INDEX(Sheet1!C:C, MATCH(Hoja1!G1396, Sheet1!D:D, 0))</f>
        <v>77573.899999999994</v>
      </c>
      <c r="I1396">
        <f>+INDEX(Sheet1!G:G, MATCH(Hoja1!G1396, Sheet1!I:I, 0))</f>
        <v>107666</v>
      </c>
      <c r="J1396" s="2">
        <f>+INDEX(Sheet1!H:H, MATCH(Hoja1!G1396, Sheet1!I:I, 0))</f>
        <v>1.6014117336202095E-2</v>
      </c>
      <c r="K1396" s="2">
        <f>+INDEX(Sheet1!L:L, MATCH(Hoja1!G1396,Sheet1!M:M, 0))</f>
        <v>8.9</v>
      </c>
    </row>
    <row r="1397" spans="1:11" ht="16" x14ac:dyDescent="0.25">
      <c r="A1397" t="s">
        <v>1099</v>
      </c>
      <c r="B1397">
        <v>4</v>
      </c>
      <c r="C1397">
        <v>2023</v>
      </c>
      <c r="D1397" t="s">
        <v>399</v>
      </c>
      <c r="E1397">
        <v>2.7</v>
      </c>
      <c r="F1397">
        <v>1095962</v>
      </c>
      <c r="G1397" s="1" t="str">
        <f t="shared" si="21"/>
        <v>Rhode Island2023</v>
      </c>
      <c r="H1397">
        <f>+INDEX(Sheet1!C:C, MATCH(Hoja1!G1397, Sheet1!D:D, 0))</f>
        <v>77573.899999999994</v>
      </c>
      <c r="I1397">
        <f>+INDEX(Sheet1!G:G, MATCH(Hoja1!G1397, Sheet1!I:I, 0))</f>
        <v>107666</v>
      </c>
      <c r="J1397" s="2">
        <f>+INDEX(Sheet1!H:H, MATCH(Hoja1!G1397, Sheet1!I:I, 0))</f>
        <v>1.6014117336202095E-2</v>
      </c>
      <c r="K1397" s="2">
        <f>+INDEX(Sheet1!L:L, MATCH(Hoja1!G1397,Sheet1!M:M, 0))</f>
        <v>8.9</v>
      </c>
    </row>
    <row r="1398" spans="1:11" ht="16" x14ac:dyDescent="0.25">
      <c r="A1398" t="s">
        <v>1099</v>
      </c>
      <c r="B1398">
        <v>5</v>
      </c>
      <c r="C1398">
        <v>2023</v>
      </c>
      <c r="D1398" t="s">
        <v>400</v>
      </c>
      <c r="E1398">
        <v>2.6</v>
      </c>
      <c r="F1398">
        <v>1095962</v>
      </c>
      <c r="G1398" s="1" t="str">
        <f t="shared" si="21"/>
        <v>Rhode Island2023</v>
      </c>
      <c r="H1398">
        <f>+INDEX(Sheet1!C:C, MATCH(Hoja1!G1398, Sheet1!D:D, 0))</f>
        <v>77573.899999999994</v>
      </c>
      <c r="I1398">
        <f>+INDEX(Sheet1!G:G, MATCH(Hoja1!G1398, Sheet1!I:I, 0))</f>
        <v>107666</v>
      </c>
      <c r="J1398" s="2">
        <f>+INDEX(Sheet1!H:H, MATCH(Hoja1!G1398, Sheet1!I:I, 0))</f>
        <v>1.6014117336202095E-2</v>
      </c>
      <c r="K1398" s="2">
        <f>+INDEX(Sheet1!L:L, MATCH(Hoja1!G1398,Sheet1!M:M, 0))</f>
        <v>8.9</v>
      </c>
    </row>
    <row r="1399" spans="1:11" ht="16" x14ac:dyDescent="0.25">
      <c r="A1399" t="s">
        <v>1099</v>
      </c>
      <c r="B1399">
        <v>6</v>
      </c>
      <c r="C1399">
        <v>2023</v>
      </c>
      <c r="D1399" t="s">
        <v>528</v>
      </c>
      <c r="E1399">
        <v>2.6</v>
      </c>
      <c r="F1399">
        <v>1095962</v>
      </c>
      <c r="G1399" s="1" t="str">
        <f t="shared" si="21"/>
        <v>Rhode Island2023</v>
      </c>
      <c r="H1399">
        <f>+INDEX(Sheet1!C:C, MATCH(Hoja1!G1399, Sheet1!D:D, 0))</f>
        <v>77573.899999999994</v>
      </c>
      <c r="I1399">
        <f>+INDEX(Sheet1!G:G, MATCH(Hoja1!G1399, Sheet1!I:I, 0))</f>
        <v>107666</v>
      </c>
      <c r="J1399" s="2">
        <f>+INDEX(Sheet1!H:H, MATCH(Hoja1!G1399, Sheet1!I:I, 0))</f>
        <v>1.6014117336202095E-2</v>
      </c>
      <c r="K1399" s="2">
        <f>+INDEX(Sheet1!L:L, MATCH(Hoja1!G1399,Sheet1!M:M, 0))</f>
        <v>8.9</v>
      </c>
    </row>
    <row r="1400" spans="1:11" ht="16" x14ac:dyDescent="0.25">
      <c r="A1400" t="s">
        <v>1099</v>
      </c>
      <c r="B1400">
        <v>7</v>
      </c>
      <c r="C1400">
        <v>2023</v>
      </c>
      <c r="D1400" t="s">
        <v>1122</v>
      </c>
      <c r="E1400">
        <v>2.7</v>
      </c>
      <c r="F1400">
        <v>1095962</v>
      </c>
      <c r="G1400" s="1" t="str">
        <f t="shared" si="21"/>
        <v>Rhode Island2023</v>
      </c>
      <c r="H1400">
        <f>+INDEX(Sheet1!C:C, MATCH(Hoja1!G1400, Sheet1!D:D, 0))</f>
        <v>77573.899999999994</v>
      </c>
      <c r="I1400">
        <f>+INDEX(Sheet1!G:G, MATCH(Hoja1!G1400, Sheet1!I:I, 0))</f>
        <v>107666</v>
      </c>
      <c r="J1400" s="2">
        <f>+INDEX(Sheet1!H:H, MATCH(Hoja1!G1400, Sheet1!I:I, 0))</f>
        <v>1.6014117336202095E-2</v>
      </c>
      <c r="K1400" s="2">
        <f>+INDEX(Sheet1!L:L, MATCH(Hoja1!G1400,Sheet1!M:M, 0))</f>
        <v>8.9</v>
      </c>
    </row>
    <row r="1401" spans="1:11" ht="16" x14ac:dyDescent="0.25">
      <c r="A1401" t="s">
        <v>1099</v>
      </c>
      <c r="B1401">
        <v>8</v>
      </c>
      <c r="C1401">
        <v>2023</v>
      </c>
      <c r="D1401" t="s">
        <v>819</v>
      </c>
      <c r="E1401">
        <v>2.9</v>
      </c>
      <c r="F1401">
        <v>1095962</v>
      </c>
      <c r="G1401" s="1" t="str">
        <f t="shared" si="21"/>
        <v>Rhode Island2023</v>
      </c>
      <c r="H1401">
        <f>+INDEX(Sheet1!C:C, MATCH(Hoja1!G1401, Sheet1!D:D, 0))</f>
        <v>77573.899999999994</v>
      </c>
      <c r="I1401">
        <f>+INDEX(Sheet1!G:G, MATCH(Hoja1!G1401, Sheet1!I:I, 0))</f>
        <v>107666</v>
      </c>
      <c r="J1401" s="2">
        <f>+INDEX(Sheet1!H:H, MATCH(Hoja1!G1401, Sheet1!I:I, 0))</f>
        <v>1.6014117336202095E-2</v>
      </c>
      <c r="K1401" s="2">
        <f>+INDEX(Sheet1!L:L, MATCH(Hoja1!G1401,Sheet1!M:M, 0))</f>
        <v>8.9</v>
      </c>
    </row>
    <row r="1402" spans="1:11" ht="16" x14ac:dyDescent="0.25">
      <c r="A1402" t="s">
        <v>1099</v>
      </c>
      <c r="B1402">
        <v>9</v>
      </c>
      <c r="C1402">
        <v>2023</v>
      </c>
      <c r="D1402" t="s">
        <v>1123</v>
      </c>
      <c r="E1402">
        <v>3.2</v>
      </c>
      <c r="F1402">
        <v>1095962</v>
      </c>
      <c r="G1402" s="1" t="str">
        <f t="shared" si="21"/>
        <v>Rhode Island2023</v>
      </c>
      <c r="H1402">
        <f>+INDEX(Sheet1!C:C, MATCH(Hoja1!G1402, Sheet1!D:D, 0))</f>
        <v>77573.899999999994</v>
      </c>
      <c r="I1402">
        <f>+INDEX(Sheet1!G:G, MATCH(Hoja1!G1402, Sheet1!I:I, 0))</f>
        <v>107666</v>
      </c>
      <c r="J1402" s="2">
        <f>+INDEX(Sheet1!H:H, MATCH(Hoja1!G1402, Sheet1!I:I, 0))</f>
        <v>1.6014117336202095E-2</v>
      </c>
      <c r="K1402" s="2">
        <f>+INDEX(Sheet1!L:L, MATCH(Hoja1!G1402,Sheet1!M:M, 0))</f>
        <v>8.9</v>
      </c>
    </row>
    <row r="1403" spans="1:11" ht="16" x14ac:dyDescent="0.25">
      <c r="A1403" t="s">
        <v>1099</v>
      </c>
      <c r="B1403">
        <v>10</v>
      </c>
      <c r="C1403">
        <v>2023</v>
      </c>
      <c r="D1403" t="s">
        <v>1124</v>
      </c>
      <c r="E1403">
        <v>3.4</v>
      </c>
      <c r="F1403">
        <v>1095962</v>
      </c>
      <c r="G1403" s="1" t="str">
        <f t="shared" si="21"/>
        <v>Rhode Island2023</v>
      </c>
      <c r="H1403">
        <f>+INDEX(Sheet1!C:C, MATCH(Hoja1!G1403, Sheet1!D:D, 0))</f>
        <v>77573.899999999994</v>
      </c>
      <c r="I1403">
        <f>+INDEX(Sheet1!G:G, MATCH(Hoja1!G1403, Sheet1!I:I, 0))</f>
        <v>107666</v>
      </c>
      <c r="J1403" s="2">
        <f>+INDEX(Sheet1!H:H, MATCH(Hoja1!G1403, Sheet1!I:I, 0))</f>
        <v>1.6014117336202095E-2</v>
      </c>
      <c r="K1403" s="2">
        <f>+INDEX(Sheet1!L:L, MATCH(Hoja1!G1403,Sheet1!M:M, 0))</f>
        <v>8.9</v>
      </c>
    </row>
    <row r="1404" spans="1:11" ht="16" x14ac:dyDescent="0.25">
      <c r="A1404" t="s">
        <v>1099</v>
      </c>
      <c r="B1404">
        <v>11</v>
      </c>
      <c r="C1404">
        <v>2023</v>
      </c>
      <c r="D1404" t="s">
        <v>399</v>
      </c>
      <c r="E1404">
        <v>3.4</v>
      </c>
      <c r="F1404">
        <v>1095962</v>
      </c>
      <c r="G1404" s="1" t="str">
        <f t="shared" si="21"/>
        <v>Rhode Island2023</v>
      </c>
      <c r="H1404">
        <f>+INDEX(Sheet1!C:C, MATCH(Hoja1!G1404, Sheet1!D:D, 0))</f>
        <v>77573.899999999994</v>
      </c>
      <c r="I1404">
        <f>+INDEX(Sheet1!G:G, MATCH(Hoja1!G1404, Sheet1!I:I, 0))</f>
        <v>107666</v>
      </c>
      <c r="J1404" s="2">
        <f>+INDEX(Sheet1!H:H, MATCH(Hoja1!G1404, Sheet1!I:I, 0))</f>
        <v>1.6014117336202095E-2</v>
      </c>
      <c r="K1404" s="2">
        <f>+INDEX(Sheet1!L:L, MATCH(Hoja1!G1404,Sheet1!M:M, 0))</f>
        <v>8.9</v>
      </c>
    </row>
    <row r="1405" spans="1:11" ht="16" x14ac:dyDescent="0.25">
      <c r="A1405" t="s">
        <v>1099</v>
      </c>
      <c r="B1405">
        <v>12</v>
      </c>
      <c r="C1405">
        <v>2023</v>
      </c>
      <c r="D1405" t="s">
        <v>1125</v>
      </c>
      <c r="E1405">
        <v>3.4</v>
      </c>
      <c r="F1405">
        <v>1095962</v>
      </c>
      <c r="G1405" s="1" t="str">
        <f t="shared" si="21"/>
        <v>Rhode Island2023</v>
      </c>
      <c r="H1405">
        <f>+INDEX(Sheet1!C:C, MATCH(Hoja1!G1405, Sheet1!D:D, 0))</f>
        <v>77573.899999999994</v>
      </c>
      <c r="I1405">
        <f>+INDEX(Sheet1!G:G, MATCH(Hoja1!G1405, Sheet1!I:I, 0))</f>
        <v>107666</v>
      </c>
      <c r="J1405" s="2">
        <f>+INDEX(Sheet1!H:H, MATCH(Hoja1!G1405, Sheet1!I:I, 0))</f>
        <v>1.6014117336202095E-2</v>
      </c>
      <c r="K1405" s="2">
        <f>+INDEX(Sheet1!L:L, MATCH(Hoja1!G1405,Sheet1!M:M, 0))</f>
        <v>8.9</v>
      </c>
    </row>
    <row r="1406" spans="1:11" ht="16" x14ac:dyDescent="0.25">
      <c r="A1406" t="s">
        <v>1126</v>
      </c>
      <c r="B1406">
        <v>1</v>
      </c>
      <c r="C1406">
        <v>2021</v>
      </c>
      <c r="D1406" t="s">
        <v>1127</v>
      </c>
      <c r="E1406">
        <v>4.5999999999999996</v>
      </c>
      <c r="F1406">
        <v>5193848</v>
      </c>
      <c r="G1406" s="1" t="str">
        <f t="shared" si="21"/>
        <v>South Carolina2021</v>
      </c>
      <c r="H1406">
        <f>+INDEX(Sheet1!C:C, MATCH(Hoja1!G1406, Sheet1!D:D, 0))</f>
        <v>272384.7</v>
      </c>
      <c r="I1406">
        <f>+INDEX(Sheet1!G:G, MATCH(Hoja1!G1406, Sheet1!I:I, 0))</f>
        <v>109253</v>
      </c>
      <c r="J1406" s="2">
        <f>+INDEX(Sheet1!H:H, MATCH(Hoja1!G1406, Sheet1!I:I, 0))</f>
        <v>5.1794017694684856E-2</v>
      </c>
      <c r="K1406" s="2">
        <f>+INDEX(Sheet1!L:L, MATCH(Hoja1!G1406,Sheet1!M:M, 0))</f>
        <v>13.7</v>
      </c>
    </row>
    <row r="1407" spans="1:11" ht="16" x14ac:dyDescent="0.25">
      <c r="A1407" t="s">
        <v>1126</v>
      </c>
      <c r="B1407">
        <v>2</v>
      </c>
      <c r="C1407">
        <v>2021</v>
      </c>
      <c r="D1407" t="s">
        <v>885</v>
      </c>
      <c r="E1407">
        <v>4.4000000000000004</v>
      </c>
      <c r="F1407">
        <v>5193848</v>
      </c>
      <c r="G1407" s="1" t="str">
        <f t="shared" si="21"/>
        <v>South Carolina2021</v>
      </c>
      <c r="H1407">
        <f>+INDEX(Sheet1!C:C, MATCH(Hoja1!G1407, Sheet1!D:D, 0))</f>
        <v>272384.7</v>
      </c>
      <c r="I1407">
        <f>+INDEX(Sheet1!G:G, MATCH(Hoja1!G1407, Sheet1!I:I, 0))</f>
        <v>109253</v>
      </c>
      <c r="J1407" s="2">
        <f>+INDEX(Sheet1!H:H, MATCH(Hoja1!G1407, Sheet1!I:I, 0))</f>
        <v>5.1794017694684856E-2</v>
      </c>
      <c r="K1407" s="2">
        <f>+INDEX(Sheet1!L:L, MATCH(Hoja1!G1407,Sheet1!M:M, 0))</f>
        <v>13.7</v>
      </c>
    </row>
    <row r="1408" spans="1:11" ht="16" x14ac:dyDescent="0.25">
      <c r="A1408" t="s">
        <v>1126</v>
      </c>
      <c r="B1408">
        <v>3</v>
      </c>
      <c r="C1408">
        <v>2021</v>
      </c>
      <c r="D1408" t="s">
        <v>511</v>
      </c>
      <c r="E1408">
        <v>4.3</v>
      </c>
      <c r="F1408">
        <v>5193848</v>
      </c>
      <c r="G1408" s="1" t="str">
        <f t="shared" si="21"/>
        <v>South Carolina2021</v>
      </c>
      <c r="H1408">
        <f>+INDEX(Sheet1!C:C, MATCH(Hoja1!G1408, Sheet1!D:D, 0))</f>
        <v>272384.7</v>
      </c>
      <c r="I1408">
        <f>+INDEX(Sheet1!G:G, MATCH(Hoja1!G1408, Sheet1!I:I, 0))</f>
        <v>109253</v>
      </c>
      <c r="J1408" s="2">
        <f>+INDEX(Sheet1!H:H, MATCH(Hoja1!G1408, Sheet1!I:I, 0))</f>
        <v>5.1794017694684856E-2</v>
      </c>
      <c r="K1408" s="2">
        <f>+INDEX(Sheet1!L:L, MATCH(Hoja1!G1408,Sheet1!M:M, 0))</f>
        <v>13.7</v>
      </c>
    </row>
    <row r="1409" spans="1:11" ht="16" x14ac:dyDescent="0.25">
      <c r="A1409" t="s">
        <v>1126</v>
      </c>
      <c r="B1409">
        <v>4</v>
      </c>
      <c r="C1409">
        <v>2021</v>
      </c>
      <c r="D1409" t="s">
        <v>739</v>
      </c>
      <c r="E1409">
        <v>4.2</v>
      </c>
      <c r="F1409">
        <v>5193848</v>
      </c>
      <c r="G1409" s="1" t="str">
        <f t="shared" si="21"/>
        <v>South Carolina2021</v>
      </c>
      <c r="H1409">
        <f>+INDEX(Sheet1!C:C, MATCH(Hoja1!G1409, Sheet1!D:D, 0))</f>
        <v>272384.7</v>
      </c>
      <c r="I1409">
        <f>+INDEX(Sheet1!G:G, MATCH(Hoja1!G1409, Sheet1!I:I, 0))</f>
        <v>109253</v>
      </c>
      <c r="J1409" s="2">
        <f>+INDEX(Sheet1!H:H, MATCH(Hoja1!G1409, Sheet1!I:I, 0))</f>
        <v>5.1794017694684856E-2</v>
      </c>
      <c r="K1409" s="2">
        <f>+INDEX(Sheet1!L:L, MATCH(Hoja1!G1409,Sheet1!M:M, 0))</f>
        <v>13.7</v>
      </c>
    </row>
    <row r="1410" spans="1:11" ht="16" x14ac:dyDescent="0.25">
      <c r="A1410" t="s">
        <v>1126</v>
      </c>
      <c r="B1410">
        <v>5</v>
      </c>
      <c r="C1410">
        <v>2021</v>
      </c>
      <c r="D1410" t="s">
        <v>315</v>
      </c>
      <c r="E1410">
        <v>4.0999999999999996</v>
      </c>
      <c r="F1410">
        <v>5193848</v>
      </c>
      <c r="G1410" s="1" t="str">
        <f t="shared" si="21"/>
        <v>South Carolina2021</v>
      </c>
      <c r="H1410">
        <f>+INDEX(Sheet1!C:C, MATCH(Hoja1!G1410, Sheet1!D:D, 0))</f>
        <v>272384.7</v>
      </c>
      <c r="I1410">
        <f>+INDEX(Sheet1!G:G, MATCH(Hoja1!G1410, Sheet1!I:I, 0))</f>
        <v>109253</v>
      </c>
      <c r="J1410" s="2">
        <f>+INDEX(Sheet1!H:H, MATCH(Hoja1!G1410, Sheet1!I:I, 0))</f>
        <v>5.1794017694684856E-2</v>
      </c>
      <c r="K1410" s="2">
        <f>+INDEX(Sheet1!L:L, MATCH(Hoja1!G1410,Sheet1!M:M, 0))</f>
        <v>13.7</v>
      </c>
    </row>
    <row r="1411" spans="1:11" ht="16" x14ac:dyDescent="0.25">
      <c r="A1411" t="s">
        <v>1126</v>
      </c>
      <c r="B1411">
        <v>6</v>
      </c>
      <c r="C1411">
        <v>2021</v>
      </c>
      <c r="D1411" t="s">
        <v>1077</v>
      </c>
      <c r="E1411">
        <v>4.0999999999999996</v>
      </c>
      <c r="F1411">
        <v>5193848</v>
      </c>
      <c r="G1411" s="1" t="str">
        <f t="shared" ref="G1411:G1474" si="22">+A1411&amp;C1411</f>
        <v>South Carolina2021</v>
      </c>
      <c r="H1411">
        <f>+INDEX(Sheet1!C:C, MATCH(Hoja1!G1411, Sheet1!D:D, 0))</f>
        <v>272384.7</v>
      </c>
      <c r="I1411">
        <f>+INDEX(Sheet1!G:G, MATCH(Hoja1!G1411, Sheet1!I:I, 0))</f>
        <v>109253</v>
      </c>
      <c r="J1411" s="2">
        <f>+INDEX(Sheet1!H:H, MATCH(Hoja1!G1411, Sheet1!I:I, 0))</f>
        <v>5.1794017694684856E-2</v>
      </c>
      <c r="K1411" s="2">
        <f>+INDEX(Sheet1!L:L, MATCH(Hoja1!G1411,Sheet1!M:M, 0))</f>
        <v>13.7</v>
      </c>
    </row>
    <row r="1412" spans="1:11" ht="16" x14ac:dyDescent="0.25">
      <c r="A1412" t="s">
        <v>1126</v>
      </c>
      <c r="B1412">
        <v>7</v>
      </c>
      <c r="C1412">
        <v>2021</v>
      </c>
      <c r="D1412" t="s">
        <v>1128</v>
      </c>
      <c r="E1412">
        <v>3.9</v>
      </c>
      <c r="F1412">
        <v>5193848</v>
      </c>
      <c r="G1412" s="1" t="str">
        <f t="shared" si="22"/>
        <v>South Carolina2021</v>
      </c>
      <c r="H1412">
        <f>+INDEX(Sheet1!C:C, MATCH(Hoja1!G1412, Sheet1!D:D, 0))</f>
        <v>272384.7</v>
      </c>
      <c r="I1412">
        <f>+INDEX(Sheet1!G:G, MATCH(Hoja1!G1412, Sheet1!I:I, 0))</f>
        <v>109253</v>
      </c>
      <c r="J1412" s="2">
        <f>+INDEX(Sheet1!H:H, MATCH(Hoja1!G1412, Sheet1!I:I, 0))</f>
        <v>5.1794017694684856E-2</v>
      </c>
      <c r="K1412" s="2">
        <f>+INDEX(Sheet1!L:L, MATCH(Hoja1!G1412,Sheet1!M:M, 0))</f>
        <v>13.7</v>
      </c>
    </row>
    <row r="1413" spans="1:11" ht="16" x14ac:dyDescent="0.25">
      <c r="A1413" t="s">
        <v>1126</v>
      </c>
      <c r="B1413">
        <v>8</v>
      </c>
      <c r="C1413">
        <v>2021</v>
      </c>
      <c r="D1413" t="s">
        <v>1129</v>
      </c>
      <c r="E1413">
        <v>3.8</v>
      </c>
      <c r="F1413">
        <v>5193848</v>
      </c>
      <c r="G1413" s="1" t="str">
        <f t="shared" si="22"/>
        <v>South Carolina2021</v>
      </c>
      <c r="H1413">
        <f>+INDEX(Sheet1!C:C, MATCH(Hoja1!G1413, Sheet1!D:D, 0))</f>
        <v>272384.7</v>
      </c>
      <c r="I1413">
        <f>+INDEX(Sheet1!G:G, MATCH(Hoja1!G1413, Sheet1!I:I, 0))</f>
        <v>109253</v>
      </c>
      <c r="J1413" s="2">
        <f>+INDEX(Sheet1!H:H, MATCH(Hoja1!G1413, Sheet1!I:I, 0))</f>
        <v>5.1794017694684856E-2</v>
      </c>
      <c r="K1413" s="2">
        <f>+INDEX(Sheet1!L:L, MATCH(Hoja1!G1413,Sheet1!M:M, 0))</f>
        <v>13.7</v>
      </c>
    </row>
    <row r="1414" spans="1:11" ht="16" x14ac:dyDescent="0.25">
      <c r="A1414" t="s">
        <v>1126</v>
      </c>
      <c r="B1414">
        <v>9</v>
      </c>
      <c r="C1414">
        <v>2021</v>
      </c>
      <c r="D1414" t="s">
        <v>1130</v>
      </c>
      <c r="E1414">
        <v>3.7</v>
      </c>
      <c r="F1414">
        <v>5193848</v>
      </c>
      <c r="G1414" s="1" t="str">
        <f t="shared" si="22"/>
        <v>South Carolina2021</v>
      </c>
      <c r="H1414">
        <f>+INDEX(Sheet1!C:C, MATCH(Hoja1!G1414, Sheet1!D:D, 0))</f>
        <v>272384.7</v>
      </c>
      <c r="I1414">
        <f>+INDEX(Sheet1!G:G, MATCH(Hoja1!G1414, Sheet1!I:I, 0))</f>
        <v>109253</v>
      </c>
      <c r="J1414" s="2">
        <f>+INDEX(Sheet1!H:H, MATCH(Hoja1!G1414, Sheet1!I:I, 0))</f>
        <v>5.1794017694684856E-2</v>
      </c>
      <c r="K1414" s="2">
        <f>+INDEX(Sheet1!L:L, MATCH(Hoja1!G1414,Sheet1!M:M, 0))</f>
        <v>13.7</v>
      </c>
    </row>
    <row r="1415" spans="1:11" ht="16" x14ac:dyDescent="0.25">
      <c r="A1415" t="s">
        <v>1126</v>
      </c>
      <c r="B1415">
        <v>10</v>
      </c>
      <c r="C1415">
        <v>2021</v>
      </c>
      <c r="D1415" t="s">
        <v>978</v>
      </c>
      <c r="E1415">
        <v>3.5</v>
      </c>
      <c r="F1415">
        <v>5193848</v>
      </c>
      <c r="G1415" s="1" t="str">
        <f t="shared" si="22"/>
        <v>South Carolina2021</v>
      </c>
      <c r="H1415">
        <f>+INDEX(Sheet1!C:C, MATCH(Hoja1!G1415, Sheet1!D:D, 0))</f>
        <v>272384.7</v>
      </c>
      <c r="I1415">
        <f>+INDEX(Sheet1!G:G, MATCH(Hoja1!G1415, Sheet1!I:I, 0))</f>
        <v>109253</v>
      </c>
      <c r="J1415" s="2">
        <f>+INDEX(Sheet1!H:H, MATCH(Hoja1!G1415, Sheet1!I:I, 0))</f>
        <v>5.1794017694684856E-2</v>
      </c>
      <c r="K1415" s="2">
        <f>+INDEX(Sheet1!L:L, MATCH(Hoja1!G1415,Sheet1!M:M, 0))</f>
        <v>13.7</v>
      </c>
    </row>
    <row r="1416" spans="1:11" ht="16" x14ac:dyDescent="0.25">
      <c r="A1416" t="s">
        <v>1126</v>
      </c>
      <c r="B1416">
        <v>11</v>
      </c>
      <c r="C1416">
        <v>2021</v>
      </c>
      <c r="D1416" t="s">
        <v>759</v>
      </c>
      <c r="E1416">
        <v>3.4</v>
      </c>
      <c r="F1416">
        <v>5193848</v>
      </c>
      <c r="G1416" s="1" t="str">
        <f t="shared" si="22"/>
        <v>South Carolina2021</v>
      </c>
      <c r="H1416">
        <f>+INDEX(Sheet1!C:C, MATCH(Hoja1!G1416, Sheet1!D:D, 0))</f>
        <v>272384.7</v>
      </c>
      <c r="I1416">
        <f>+INDEX(Sheet1!G:G, MATCH(Hoja1!G1416, Sheet1!I:I, 0))</f>
        <v>109253</v>
      </c>
      <c r="J1416" s="2">
        <f>+INDEX(Sheet1!H:H, MATCH(Hoja1!G1416, Sheet1!I:I, 0))</f>
        <v>5.1794017694684856E-2</v>
      </c>
      <c r="K1416" s="2">
        <f>+INDEX(Sheet1!L:L, MATCH(Hoja1!G1416,Sheet1!M:M, 0))</f>
        <v>13.7</v>
      </c>
    </row>
    <row r="1417" spans="1:11" ht="16" x14ac:dyDescent="0.25">
      <c r="A1417" t="s">
        <v>1126</v>
      </c>
      <c r="B1417">
        <v>12</v>
      </c>
      <c r="C1417">
        <v>2021</v>
      </c>
      <c r="D1417" t="s">
        <v>74</v>
      </c>
      <c r="E1417">
        <v>3.3</v>
      </c>
      <c r="F1417">
        <v>5193848</v>
      </c>
      <c r="G1417" s="1" t="str">
        <f t="shared" si="22"/>
        <v>South Carolina2021</v>
      </c>
      <c r="H1417">
        <f>+INDEX(Sheet1!C:C, MATCH(Hoja1!G1417, Sheet1!D:D, 0))</f>
        <v>272384.7</v>
      </c>
      <c r="I1417">
        <f>+INDEX(Sheet1!G:G, MATCH(Hoja1!G1417, Sheet1!I:I, 0))</f>
        <v>109253</v>
      </c>
      <c r="J1417" s="2">
        <f>+INDEX(Sheet1!H:H, MATCH(Hoja1!G1417, Sheet1!I:I, 0))</f>
        <v>5.1794017694684856E-2</v>
      </c>
      <c r="K1417" s="2">
        <f>+INDEX(Sheet1!L:L, MATCH(Hoja1!G1417,Sheet1!M:M, 0))</f>
        <v>13.7</v>
      </c>
    </row>
    <row r="1418" spans="1:11" ht="16" x14ac:dyDescent="0.25">
      <c r="A1418" t="s">
        <v>1126</v>
      </c>
      <c r="B1418">
        <v>1</v>
      </c>
      <c r="C1418">
        <v>2022</v>
      </c>
      <c r="D1418" t="s">
        <v>242</v>
      </c>
      <c r="E1418">
        <v>3.3</v>
      </c>
      <c r="F1418">
        <v>5282955</v>
      </c>
      <c r="G1418" s="1" t="str">
        <f t="shared" si="22"/>
        <v>South Carolina2022</v>
      </c>
      <c r="H1418">
        <f>+INDEX(Sheet1!C:C, MATCH(Hoja1!G1418, Sheet1!D:D, 0))</f>
        <v>301945.09999999998</v>
      </c>
      <c r="I1418">
        <f>+INDEX(Sheet1!G:G, MATCH(Hoja1!G1418, Sheet1!I:I, 0))</f>
        <v>113144</v>
      </c>
      <c r="J1418" s="2">
        <f>+INDEX(Sheet1!H:H, MATCH(Hoja1!G1418, Sheet1!I:I, 0))</f>
        <v>3.5614582665922219E-2</v>
      </c>
      <c r="K1418" s="2">
        <f>+INDEX(Sheet1!L:L, MATCH(Hoja1!G1418,Sheet1!M:M, 0))</f>
        <v>12.9</v>
      </c>
    </row>
    <row r="1419" spans="1:11" ht="16" x14ac:dyDescent="0.25">
      <c r="A1419" t="s">
        <v>1126</v>
      </c>
      <c r="B1419">
        <v>2</v>
      </c>
      <c r="C1419">
        <v>2022</v>
      </c>
      <c r="D1419" t="s">
        <v>1131</v>
      </c>
      <c r="E1419">
        <v>3.2</v>
      </c>
      <c r="F1419">
        <v>5282955</v>
      </c>
      <c r="G1419" s="1" t="str">
        <f t="shared" si="22"/>
        <v>South Carolina2022</v>
      </c>
      <c r="H1419">
        <f>+INDEX(Sheet1!C:C, MATCH(Hoja1!G1419, Sheet1!D:D, 0))</f>
        <v>301945.09999999998</v>
      </c>
      <c r="I1419">
        <f>+INDEX(Sheet1!G:G, MATCH(Hoja1!G1419, Sheet1!I:I, 0))</f>
        <v>113144</v>
      </c>
      <c r="J1419" s="2">
        <f>+INDEX(Sheet1!H:H, MATCH(Hoja1!G1419, Sheet1!I:I, 0))</f>
        <v>3.5614582665922219E-2</v>
      </c>
      <c r="K1419" s="2">
        <f>+INDEX(Sheet1!L:L, MATCH(Hoja1!G1419,Sheet1!M:M, 0))</f>
        <v>12.9</v>
      </c>
    </row>
    <row r="1420" spans="1:11" ht="16" x14ac:dyDescent="0.25">
      <c r="A1420" t="s">
        <v>1126</v>
      </c>
      <c r="B1420">
        <v>3</v>
      </c>
      <c r="C1420">
        <v>2022</v>
      </c>
      <c r="D1420" t="s">
        <v>704</v>
      </c>
      <c r="E1420">
        <v>3.2</v>
      </c>
      <c r="F1420">
        <v>5282955</v>
      </c>
      <c r="G1420" s="1" t="str">
        <f t="shared" si="22"/>
        <v>South Carolina2022</v>
      </c>
      <c r="H1420">
        <f>+INDEX(Sheet1!C:C, MATCH(Hoja1!G1420, Sheet1!D:D, 0))</f>
        <v>301945.09999999998</v>
      </c>
      <c r="I1420">
        <f>+INDEX(Sheet1!G:G, MATCH(Hoja1!G1420, Sheet1!I:I, 0))</f>
        <v>113144</v>
      </c>
      <c r="J1420" s="2">
        <f>+INDEX(Sheet1!H:H, MATCH(Hoja1!G1420, Sheet1!I:I, 0))</f>
        <v>3.5614582665922219E-2</v>
      </c>
      <c r="K1420" s="2">
        <f>+INDEX(Sheet1!L:L, MATCH(Hoja1!G1420,Sheet1!M:M, 0))</f>
        <v>12.9</v>
      </c>
    </row>
    <row r="1421" spans="1:11" ht="16" x14ac:dyDescent="0.25">
      <c r="A1421" t="s">
        <v>1126</v>
      </c>
      <c r="B1421">
        <v>4</v>
      </c>
      <c r="C1421">
        <v>2022</v>
      </c>
      <c r="D1421" t="s">
        <v>1132</v>
      </c>
      <c r="E1421">
        <v>3.2</v>
      </c>
      <c r="F1421">
        <v>5282955</v>
      </c>
      <c r="G1421" s="1" t="str">
        <f t="shared" si="22"/>
        <v>South Carolina2022</v>
      </c>
      <c r="H1421">
        <f>+INDEX(Sheet1!C:C, MATCH(Hoja1!G1421, Sheet1!D:D, 0))</f>
        <v>301945.09999999998</v>
      </c>
      <c r="I1421">
        <f>+INDEX(Sheet1!G:G, MATCH(Hoja1!G1421, Sheet1!I:I, 0))</f>
        <v>113144</v>
      </c>
      <c r="J1421" s="2">
        <f>+INDEX(Sheet1!H:H, MATCH(Hoja1!G1421, Sheet1!I:I, 0))</f>
        <v>3.5614582665922219E-2</v>
      </c>
      <c r="K1421" s="2">
        <f>+INDEX(Sheet1!L:L, MATCH(Hoja1!G1421,Sheet1!M:M, 0))</f>
        <v>12.9</v>
      </c>
    </row>
    <row r="1422" spans="1:11" ht="16" x14ac:dyDescent="0.25">
      <c r="A1422" t="s">
        <v>1126</v>
      </c>
      <c r="B1422">
        <v>5</v>
      </c>
      <c r="C1422">
        <v>2022</v>
      </c>
      <c r="D1422" t="s">
        <v>1133</v>
      </c>
      <c r="E1422">
        <v>3.2</v>
      </c>
      <c r="F1422">
        <v>5282955</v>
      </c>
      <c r="G1422" s="1" t="str">
        <f t="shared" si="22"/>
        <v>South Carolina2022</v>
      </c>
      <c r="H1422">
        <f>+INDEX(Sheet1!C:C, MATCH(Hoja1!G1422, Sheet1!D:D, 0))</f>
        <v>301945.09999999998</v>
      </c>
      <c r="I1422">
        <f>+INDEX(Sheet1!G:G, MATCH(Hoja1!G1422, Sheet1!I:I, 0))</f>
        <v>113144</v>
      </c>
      <c r="J1422" s="2">
        <f>+INDEX(Sheet1!H:H, MATCH(Hoja1!G1422, Sheet1!I:I, 0))</f>
        <v>3.5614582665922219E-2</v>
      </c>
      <c r="K1422" s="2">
        <f>+INDEX(Sheet1!L:L, MATCH(Hoja1!G1422,Sheet1!M:M, 0))</f>
        <v>12.9</v>
      </c>
    </row>
    <row r="1423" spans="1:11" ht="16" x14ac:dyDescent="0.25">
      <c r="A1423" t="s">
        <v>1126</v>
      </c>
      <c r="B1423">
        <v>6</v>
      </c>
      <c r="C1423">
        <v>2022</v>
      </c>
      <c r="D1423" t="s">
        <v>1134</v>
      </c>
      <c r="E1423">
        <v>3.2</v>
      </c>
      <c r="F1423">
        <v>5282955</v>
      </c>
      <c r="G1423" s="1" t="str">
        <f t="shared" si="22"/>
        <v>South Carolina2022</v>
      </c>
      <c r="H1423">
        <f>+INDEX(Sheet1!C:C, MATCH(Hoja1!G1423, Sheet1!D:D, 0))</f>
        <v>301945.09999999998</v>
      </c>
      <c r="I1423">
        <f>+INDEX(Sheet1!G:G, MATCH(Hoja1!G1423, Sheet1!I:I, 0))</f>
        <v>113144</v>
      </c>
      <c r="J1423" s="2">
        <f>+INDEX(Sheet1!H:H, MATCH(Hoja1!G1423, Sheet1!I:I, 0))</f>
        <v>3.5614582665922219E-2</v>
      </c>
      <c r="K1423" s="2">
        <f>+INDEX(Sheet1!L:L, MATCH(Hoja1!G1423,Sheet1!M:M, 0))</f>
        <v>12.9</v>
      </c>
    </row>
    <row r="1424" spans="1:11" ht="16" x14ac:dyDescent="0.25">
      <c r="A1424" t="s">
        <v>1126</v>
      </c>
      <c r="B1424">
        <v>7</v>
      </c>
      <c r="C1424">
        <v>2022</v>
      </c>
      <c r="D1424" t="s">
        <v>1135</v>
      </c>
      <c r="E1424">
        <v>3.2</v>
      </c>
      <c r="F1424">
        <v>5282955</v>
      </c>
      <c r="G1424" s="1" t="str">
        <f t="shared" si="22"/>
        <v>South Carolina2022</v>
      </c>
      <c r="H1424">
        <f>+INDEX(Sheet1!C:C, MATCH(Hoja1!G1424, Sheet1!D:D, 0))</f>
        <v>301945.09999999998</v>
      </c>
      <c r="I1424">
        <f>+INDEX(Sheet1!G:G, MATCH(Hoja1!G1424, Sheet1!I:I, 0))</f>
        <v>113144</v>
      </c>
      <c r="J1424" s="2">
        <f>+INDEX(Sheet1!H:H, MATCH(Hoja1!G1424, Sheet1!I:I, 0))</f>
        <v>3.5614582665922219E-2</v>
      </c>
      <c r="K1424" s="2">
        <f>+INDEX(Sheet1!L:L, MATCH(Hoja1!G1424,Sheet1!M:M, 0))</f>
        <v>12.9</v>
      </c>
    </row>
    <row r="1425" spans="1:11" ht="16" x14ac:dyDescent="0.25">
      <c r="A1425" t="s">
        <v>1126</v>
      </c>
      <c r="B1425">
        <v>8</v>
      </c>
      <c r="C1425">
        <v>2022</v>
      </c>
      <c r="D1425" t="s">
        <v>1136</v>
      </c>
      <c r="E1425">
        <v>3.2</v>
      </c>
      <c r="F1425">
        <v>5282955</v>
      </c>
      <c r="G1425" s="1" t="str">
        <f t="shared" si="22"/>
        <v>South Carolina2022</v>
      </c>
      <c r="H1425">
        <f>+INDEX(Sheet1!C:C, MATCH(Hoja1!G1425, Sheet1!D:D, 0))</f>
        <v>301945.09999999998</v>
      </c>
      <c r="I1425">
        <f>+INDEX(Sheet1!G:G, MATCH(Hoja1!G1425, Sheet1!I:I, 0))</f>
        <v>113144</v>
      </c>
      <c r="J1425" s="2">
        <f>+INDEX(Sheet1!H:H, MATCH(Hoja1!G1425, Sheet1!I:I, 0))</f>
        <v>3.5614582665922219E-2</v>
      </c>
      <c r="K1425" s="2">
        <f>+INDEX(Sheet1!L:L, MATCH(Hoja1!G1425,Sheet1!M:M, 0))</f>
        <v>12.9</v>
      </c>
    </row>
    <row r="1426" spans="1:11" ht="16" x14ac:dyDescent="0.25">
      <c r="A1426" t="s">
        <v>1126</v>
      </c>
      <c r="B1426">
        <v>9</v>
      </c>
      <c r="C1426">
        <v>2022</v>
      </c>
      <c r="D1426" t="s">
        <v>1137</v>
      </c>
      <c r="E1426">
        <v>3.3</v>
      </c>
      <c r="F1426">
        <v>5282955</v>
      </c>
      <c r="G1426" s="1" t="str">
        <f t="shared" si="22"/>
        <v>South Carolina2022</v>
      </c>
      <c r="H1426">
        <f>+INDEX(Sheet1!C:C, MATCH(Hoja1!G1426, Sheet1!D:D, 0))</f>
        <v>301945.09999999998</v>
      </c>
      <c r="I1426">
        <f>+INDEX(Sheet1!G:G, MATCH(Hoja1!G1426, Sheet1!I:I, 0))</f>
        <v>113144</v>
      </c>
      <c r="J1426" s="2">
        <f>+INDEX(Sheet1!H:H, MATCH(Hoja1!G1426, Sheet1!I:I, 0))</f>
        <v>3.5614582665922219E-2</v>
      </c>
      <c r="K1426" s="2">
        <f>+INDEX(Sheet1!L:L, MATCH(Hoja1!G1426,Sheet1!M:M, 0))</f>
        <v>12.9</v>
      </c>
    </row>
    <row r="1427" spans="1:11" ht="16" x14ac:dyDescent="0.25">
      <c r="A1427" t="s">
        <v>1126</v>
      </c>
      <c r="B1427">
        <v>10</v>
      </c>
      <c r="C1427">
        <v>2022</v>
      </c>
      <c r="D1427" t="s">
        <v>1138</v>
      </c>
      <c r="E1427">
        <v>3.2</v>
      </c>
      <c r="F1427">
        <v>5282955</v>
      </c>
      <c r="G1427" s="1" t="str">
        <f t="shared" si="22"/>
        <v>South Carolina2022</v>
      </c>
      <c r="H1427">
        <f>+INDEX(Sheet1!C:C, MATCH(Hoja1!G1427, Sheet1!D:D, 0))</f>
        <v>301945.09999999998</v>
      </c>
      <c r="I1427">
        <f>+INDEX(Sheet1!G:G, MATCH(Hoja1!G1427, Sheet1!I:I, 0))</f>
        <v>113144</v>
      </c>
      <c r="J1427" s="2">
        <f>+INDEX(Sheet1!H:H, MATCH(Hoja1!G1427, Sheet1!I:I, 0))</f>
        <v>3.5614582665922219E-2</v>
      </c>
      <c r="K1427" s="2">
        <f>+INDEX(Sheet1!L:L, MATCH(Hoja1!G1427,Sheet1!M:M, 0))</f>
        <v>12.9</v>
      </c>
    </row>
    <row r="1428" spans="1:11" ht="16" x14ac:dyDescent="0.25">
      <c r="A1428" t="s">
        <v>1126</v>
      </c>
      <c r="B1428">
        <v>11</v>
      </c>
      <c r="C1428">
        <v>2022</v>
      </c>
      <c r="D1428" t="s">
        <v>1139</v>
      </c>
      <c r="E1428">
        <v>3.2</v>
      </c>
      <c r="F1428">
        <v>5282955</v>
      </c>
      <c r="G1428" s="1" t="str">
        <f t="shared" si="22"/>
        <v>South Carolina2022</v>
      </c>
      <c r="H1428">
        <f>+INDEX(Sheet1!C:C, MATCH(Hoja1!G1428, Sheet1!D:D, 0))</f>
        <v>301945.09999999998</v>
      </c>
      <c r="I1428">
        <f>+INDEX(Sheet1!G:G, MATCH(Hoja1!G1428, Sheet1!I:I, 0))</f>
        <v>113144</v>
      </c>
      <c r="J1428" s="2">
        <f>+INDEX(Sheet1!H:H, MATCH(Hoja1!G1428, Sheet1!I:I, 0))</f>
        <v>3.5614582665922219E-2</v>
      </c>
      <c r="K1428" s="2">
        <f>+INDEX(Sheet1!L:L, MATCH(Hoja1!G1428,Sheet1!M:M, 0))</f>
        <v>12.9</v>
      </c>
    </row>
    <row r="1429" spans="1:11" ht="16" x14ac:dyDescent="0.25">
      <c r="A1429" t="s">
        <v>1126</v>
      </c>
      <c r="B1429">
        <v>12</v>
      </c>
      <c r="C1429">
        <v>2022</v>
      </c>
      <c r="D1429" t="s">
        <v>1140</v>
      </c>
      <c r="E1429">
        <v>3.1</v>
      </c>
      <c r="F1429">
        <v>5282955</v>
      </c>
      <c r="G1429" s="1" t="str">
        <f t="shared" si="22"/>
        <v>South Carolina2022</v>
      </c>
      <c r="H1429">
        <f>+INDEX(Sheet1!C:C, MATCH(Hoja1!G1429, Sheet1!D:D, 0))</f>
        <v>301945.09999999998</v>
      </c>
      <c r="I1429">
        <f>+INDEX(Sheet1!G:G, MATCH(Hoja1!G1429, Sheet1!I:I, 0))</f>
        <v>113144</v>
      </c>
      <c r="J1429" s="2">
        <f>+INDEX(Sheet1!H:H, MATCH(Hoja1!G1429, Sheet1!I:I, 0))</f>
        <v>3.5614582665922219E-2</v>
      </c>
      <c r="K1429" s="2">
        <f>+INDEX(Sheet1!L:L, MATCH(Hoja1!G1429,Sheet1!M:M, 0))</f>
        <v>12.9</v>
      </c>
    </row>
    <row r="1430" spans="1:11" ht="16" x14ac:dyDescent="0.25">
      <c r="A1430" t="s">
        <v>1126</v>
      </c>
      <c r="B1430">
        <v>1</v>
      </c>
      <c r="C1430">
        <v>2023</v>
      </c>
      <c r="D1430" t="s">
        <v>517</v>
      </c>
      <c r="E1430">
        <v>3.1</v>
      </c>
      <c r="F1430">
        <v>5373555</v>
      </c>
      <c r="G1430" s="1" t="str">
        <f t="shared" si="22"/>
        <v>South Carolina2023</v>
      </c>
      <c r="H1430">
        <f>+INDEX(Sheet1!C:C, MATCH(Hoja1!G1430, Sheet1!D:D, 0))</f>
        <v>327420.09999999998</v>
      </c>
      <c r="I1430">
        <f>+INDEX(Sheet1!G:G, MATCH(Hoja1!G1430, Sheet1!I:I, 0))</f>
        <v>116609</v>
      </c>
      <c r="J1430" s="2">
        <f>+INDEX(Sheet1!H:H, MATCH(Hoja1!G1430, Sheet1!I:I, 0))</f>
        <v>3.0624690659690305E-2</v>
      </c>
      <c r="K1430" s="2">
        <f>+INDEX(Sheet1!L:L, MATCH(Hoja1!G1430,Sheet1!M:M, 0))</f>
        <v>11.7</v>
      </c>
    </row>
    <row r="1431" spans="1:11" ht="16" x14ac:dyDescent="0.25">
      <c r="A1431" t="s">
        <v>1126</v>
      </c>
      <c r="B1431">
        <v>2</v>
      </c>
      <c r="C1431">
        <v>2023</v>
      </c>
      <c r="D1431" t="s">
        <v>1141</v>
      </c>
      <c r="E1431">
        <v>3</v>
      </c>
      <c r="F1431">
        <v>5373555</v>
      </c>
      <c r="G1431" s="1" t="str">
        <f t="shared" si="22"/>
        <v>South Carolina2023</v>
      </c>
      <c r="H1431">
        <f>+INDEX(Sheet1!C:C, MATCH(Hoja1!G1431, Sheet1!D:D, 0))</f>
        <v>327420.09999999998</v>
      </c>
      <c r="I1431">
        <f>+INDEX(Sheet1!G:G, MATCH(Hoja1!G1431, Sheet1!I:I, 0))</f>
        <v>116609</v>
      </c>
      <c r="J1431" s="2">
        <f>+INDEX(Sheet1!H:H, MATCH(Hoja1!G1431, Sheet1!I:I, 0))</f>
        <v>3.0624690659690305E-2</v>
      </c>
      <c r="K1431" s="2">
        <f>+INDEX(Sheet1!L:L, MATCH(Hoja1!G1431,Sheet1!M:M, 0))</f>
        <v>11.7</v>
      </c>
    </row>
    <row r="1432" spans="1:11" ht="16" x14ac:dyDescent="0.25">
      <c r="A1432" t="s">
        <v>1126</v>
      </c>
      <c r="B1432">
        <v>3</v>
      </c>
      <c r="C1432">
        <v>2023</v>
      </c>
      <c r="D1432" t="s">
        <v>1142</v>
      </c>
      <c r="E1432">
        <v>3</v>
      </c>
      <c r="F1432">
        <v>5373555</v>
      </c>
      <c r="G1432" s="1" t="str">
        <f t="shared" si="22"/>
        <v>South Carolina2023</v>
      </c>
      <c r="H1432">
        <f>+INDEX(Sheet1!C:C, MATCH(Hoja1!G1432, Sheet1!D:D, 0))</f>
        <v>327420.09999999998</v>
      </c>
      <c r="I1432">
        <f>+INDEX(Sheet1!G:G, MATCH(Hoja1!G1432, Sheet1!I:I, 0))</f>
        <v>116609</v>
      </c>
      <c r="J1432" s="2">
        <f>+INDEX(Sheet1!H:H, MATCH(Hoja1!G1432, Sheet1!I:I, 0))</f>
        <v>3.0624690659690305E-2</v>
      </c>
      <c r="K1432" s="2">
        <f>+INDEX(Sheet1!L:L, MATCH(Hoja1!G1432,Sheet1!M:M, 0))</f>
        <v>11.7</v>
      </c>
    </row>
    <row r="1433" spans="1:11" ht="16" x14ac:dyDescent="0.25">
      <c r="A1433" t="s">
        <v>1126</v>
      </c>
      <c r="B1433">
        <v>4</v>
      </c>
      <c r="C1433">
        <v>2023</v>
      </c>
      <c r="D1433" t="s">
        <v>1143</v>
      </c>
      <c r="E1433">
        <v>2.9</v>
      </c>
      <c r="F1433">
        <v>5373555</v>
      </c>
      <c r="G1433" s="1" t="str">
        <f t="shared" si="22"/>
        <v>South Carolina2023</v>
      </c>
      <c r="H1433">
        <f>+INDEX(Sheet1!C:C, MATCH(Hoja1!G1433, Sheet1!D:D, 0))</f>
        <v>327420.09999999998</v>
      </c>
      <c r="I1433">
        <f>+INDEX(Sheet1!G:G, MATCH(Hoja1!G1433, Sheet1!I:I, 0))</f>
        <v>116609</v>
      </c>
      <c r="J1433" s="2">
        <f>+INDEX(Sheet1!H:H, MATCH(Hoja1!G1433, Sheet1!I:I, 0))</f>
        <v>3.0624690659690305E-2</v>
      </c>
      <c r="K1433" s="2">
        <f>+INDEX(Sheet1!L:L, MATCH(Hoja1!G1433,Sheet1!M:M, 0))</f>
        <v>11.7</v>
      </c>
    </row>
    <row r="1434" spans="1:11" ht="16" x14ac:dyDescent="0.25">
      <c r="A1434" t="s">
        <v>1126</v>
      </c>
      <c r="B1434">
        <v>5</v>
      </c>
      <c r="C1434">
        <v>2023</v>
      </c>
      <c r="D1434" t="s">
        <v>1144</v>
      </c>
      <c r="E1434">
        <v>2.9</v>
      </c>
      <c r="F1434">
        <v>5373555</v>
      </c>
      <c r="G1434" s="1" t="str">
        <f t="shared" si="22"/>
        <v>South Carolina2023</v>
      </c>
      <c r="H1434">
        <f>+INDEX(Sheet1!C:C, MATCH(Hoja1!G1434, Sheet1!D:D, 0))</f>
        <v>327420.09999999998</v>
      </c>
      <c r="I1434">
        <f>+INDEX(Sheet1!G:G, MATCH(Hoja1!G1434, Sheet1!I:I, 0))</f>
        <v>116609</v>
      </c>
      <c r="J1434" s="2">
        <f>+INDEX(Sheet1!H:H, MATCH(Hoja1!G1434, Sheet1!I:I, 0))</f>
        <v>3.0624690659690305E-2</v>
      </c>
      <c r="K1434" s="2">
        <f>+INDEX(Sheet1!L:L, MATCH(Hoja1!G1434,Sheet1!M:M, 0))</f>
        <v>11.7</v>
      </c>
    </row>
    <row r="1435" spans="1:11" ht="16" x14ac:dyDescent="0.25">
      <c r="A1435" t="s">
        <v>1126</v>
      </c>
      <c r="B1435">
        <v>6</v>
      </c>
      <c r="C1435">
        <v>2023</v>
      </c>
      <c r="D1435" t="s">
        <v>1145</v>
      </c>
      <c r="E1435">
        <v>2.8</v>
      </c>
      <c r="F1435">
        <v>5373555</v>
      </c>
      <c r="G1435" s="1" t="str">
        <f t="shared" si="22"/>
        <v>South Carolina2023</v>
      </c>
      <c r="H1435">
        <f>+INDEX(Sheet1!C:C, MATCH(Hoja1!G1435, Sheet1!D:D, 0))</f>
        <v>327420.09999999998</v>
      </c>
      <c r="I1435">
        <f>+INDEX(Sheet1!G:G, MATCH(Hoja1!G1435, Sheet1!I:I, 0))</f>
        <v>116609</v>
      </c>
      <c r="J1435" s="2">
        <f>+INDEX(Sheet1!H:H, MATCH(Hoja1!G1435, Sheet1!I:I, 0))</f>
        <v>3.0624690659690305E-2</v>
      </c>
      <c r="K1435" s="2">
        <f>+INDEX(Sheet1!L:L, MATCH(Hoja1!G1435,Sheet1!M:M, 0))</f>
        <v>11.7</v>
      </c>
    </row>
    <row r="1436" spans="1:11" ht="16" x14ac:dyDescent="0.25">
      <c r="A1436" t="s">
        <v>1126</v>
      </c>
      <c r="B1436">
        <v>7</v>
      </c>
      <c r="C1436">
        <v>2023</v>
      </c>
      <c r="D1436" t="s">
        <v>1146</v>
      </c>
      <c r="E1436">
        <v>2.8</v>
      </c>
      <c r="F1436">
        <v>5373555</v>
      </c>
      <c r="G1436" s="1" t="str">
        <f t="shared" si="22"/>
        <v>South Carolina2023</v>
      </c>
      <c r="H1436">
        <f>+INDEX(Sheet1!C:C, MATCH(Hoja1!G1436, Sheet1!D:D, 0))</f>
        <v>327420.09999999998</v>
      </c>
      <c r="I1436">
        <f>+INDEX(Sheet1!G:G, MATCH(Hoja1!G1436, Sheet1!I:I, 0))</f>
        <v>116609</v>
      </c>
      <c r="J1436" s="2">
        <f>+INDEX(Sheet1!H:H, MATCH(Hoja1!G1436, Sheet1!I:I, 0))</f>
        <v>3.0624690659690305E-2</v>
      </c>
      <c r="K1436" s="2">
        <f>+INDEX(Sheet1!L:L, MATCH(Hoja1!G1436,Sheet1!M:M, 0))</f>
        <v>11.7</v>
      </c>
    </row>
    <row r="1437" spans="1:11" ht="16" x14ac:dyDescent="0.25">
      <c r="A1437" t="s">
        <v>1126</v>
      </c>
      <c r="B1437">
        <v>8</v>
      </c>
      <c r="C1437">
        <v>2023</v>
      </c>
      <c r="D1437" t="s">
        <v>1147</v>
      </c>
      <c r="E1437">
        <v>2.9</v>
      </c>
      <c r="F1437">
        <v>5373555</v>
      </c>
      <c r="G1437" s="1" t="str">
        <f t="shared" si="22"/>
        <v>South Carolina2023</v>
      </c>
      <c r="H1437">
        <f>+INDEX(Sheet1!C:C, MATCH(Hoja1!G1437, Sheet1!D:D, 0))</f>
        <v>327420.09999999998</v>
      </c>
      <c r="I1437">
        <f>+INDEX(Sheet1!G:G, MATCH(Hoja1!G1437, Sheet1!I:I, 0))</f>
        <v>116609</v>
      </c>
      <c r="J1437" s="2">
        <f>+INDEX(Sheet1!H:H, MATCH(Hoja1!G1437, Sheet1!I:I, 0))</f>
        <v>3.0624690659690305E-2</v>
      </c>
      <c r="K1437" s="2">
        <f>+INDEX(Sheet1!L:L, MATCH(Hoja1!G1437,Sheet1!M:M, 0))</f>
        <v>11.7</v>
      </c>
    </row>
    <row r="1438" spans="1:11" ht="16" x14ac:dyDescent="0.25">
      <c r="A1438" t="s">
        <v>1126</v>
      </c>
      <c r="B1438">
        <v>9</v>
      </c>
      <c r="C1438">
        <v>2023</v>
      </c>
      <c r="D1438" t="s">
        <v>1044</v>
      </c>
      <c r="E1438">
        <v>3</v>
      </c>
      <c r="F1438">
        <v>5373555</v>
      </c>
      <c r="G1438" s="1" t="str">
        <f t="shared" si="22"/>
        <v>South Carolina2023</v>
      </c>
      <c r="H1438">
        <f>+INDEX(Sheet1!C:C, MATCH(Hoja1!G1438, Sheet1!D:D, 0))</f>
        <v>327420.09999999998</v>
      </c>
      <c r="I1438">
        <f>+INDEX(Sheet1!G:G, MATCH(Hoja1!G1438, Sheet1!I:I, 0))</f>
        <v>116609</v>
      </c>
      <c r="J1438" s="2">
        <f>+INDEX(Sheet1!H:H, MATCH(Hoja1!G1438, Sheet1!I:I, 0))</f>
        <v>3.0624690659690305E-2</v>
      </c>
      <c r="K1438" s="2">
        <f>+INDEX(Sheet1!L:L, MATCH(Hoja1!G1438,Sheet1!M:M, 0))</f>
        <v>11.7</v>
      </c>
    </row>
    <row r="1439" spans="1:11" ht="16" x14ac:dyDescent="0.25">
      <c r="A1439" t="s">
        <v>1126</v>
      </c>
      <c r="B1439">
        <v>10</v>
      </c>
      <c r="C1439">
        <v>2023</v>
      </c>
      <c r="D1439" t="s">
        <v>1148</v>
      </c>
      <c r="E1439">
        <v>3</v>
      </c>
      <c r="F1439">
        <v>5373555</v>
      </c>
      <c r="G1439" s="1" t="str">
        <f t="shared" si="22"/>
        <v>South Carolina2023</v>
      </c>
      <c r="H1439">
        <f>+INDEX(Sheet1!C:C, MATCH(Hoja1!G1439, Sheet1!D:D, 0))</f>
        <v>327420.09999999998</v>
      </c>
      <c r="I1439">
        <f>+INDEX(Sheet1!G:G, MATCH(Hoja1!G1439, Sheet1!I:I, 0))</f>
        <v>116609</v>
      </c>
      <c r="J1439" s="2">
        <f>+INDEX(Sheet1!H:H, MATCH(Hoja1!G1439, Sheet1!I:I, 0))</f>
        <v>3.0624690659690305E-2</v>
      </c>
      <c r="K1439" s="2">
        <f>+INDEX(Sheet1!L:L, MATCH(Hoja1!G1439,Sheet1!M:M, 0))</f>
        <v>11.7</v>
      </c>
    </row>
    <row r="1440" spans="1:11" ht="16" x14ac:dyDescent="0.25">
      <c r="A1440" t="s">
        <v>1126</v>
      </c>
      <c r="B1440">
        <v>11</v>
      </c>
      <c r="C1440">
        <v>2023</v>
      </c>
      <c r="D1440" t="s">
        <v>1149</v>
      </c>
      <c r="E1440">
        <v>3</v>
      </c>
      <c r="F1440">
        <v>5373555</v>
      </c>
      <c r="G1440" s="1" t="str">
        <f t="shared" si="22"/>
        <v>South Carolina2023</v>
      </c>
      <c r="H1440">
        <f>+INDEX(Sheet1!C:C, MATCH(Hoja1!G1440, Sheet1!D:D, 0))</f>
        <v>327420.09999999998</v>
      </c>
      <c r="I1440">
        <f>+INDEX(Sheet1!G:G, MATCH(Hoja1!G1440, Sheet1!I:I, 0))</f>
        <v>116609</v>
      </c>
      <c r="J1440" s="2">
        <f>+INDEX(Sheet1!H:H, MATCH(Hoja1!G1440, Sheet1!I:I, 0))</f>
        <v>3.0624690659690305E-2</v>
      </c>
      <c r="K1440" s="2">
        <f>+INDEX(Sheet1!L:L, MATCH(Hoja1!G1440,Sheet1!M:M, 0))</f>
        <v>11.7</v>
      </c>
    </row>
    <row r="1441" spans="1:11" ht="16" x14ac:dyDescent="0.25">
      <c r="A1441" t="s">
        <v>1126</v>
      </c>
      <c r="B1441">
        <v>12</v>
      </c>
      <c r="C1441">
        <v>2023</v>
      </c>
      <c r="D1441" t="s">
        <v>1150</v>
      </c>
      <c r="E1441">
        <v>3</v>
      </c>
      <c r="F1441">
        <v>5373555</v>
      </c>
      <c r="G1441" s="1" t="str">
        <f t="shared" si="22"/>
        <v>South Carolina2023</v>
      </c>
      <c r="H1441">
        <f>+INDEX(Sheet1!C:C, MATCH(Hoja1!G1441, Sheet1!D:D, 0))</f>
        <v>327420.09999999998</v>
      </c>
      <c r="I1441">
        <f>+INDEX(Sheet1!G:G, MATCH(Hoja1!G1441, Sheet1!I:I, 0))</f>
        <v>116609</v>
      </c>
      <c r="J1441" s="2">
        <f>+INDEX(Sheet1!H:H, MATCH(Hoja1!G1441, Sheet1!I:I, 0))</f>
        <v>3.0624690659690305E-2</v>
      </c>
      <c r="K1441" s="2">
        <f>+INDEX(Sheet1!L:L, MATCH(Hoja1!G1441,Sheet1!M:M, 0))</f>
        <v>11.7</v>
      </c>
    </row>
    <row r="1442" spans="1:11" ht="16" x14ac:dyDescent="0.25">
      <c r="A1442" t="s">
        <v>1151</v>
      </c>
      <c r="B1442">
        <v>1</v>
      </c>
      <c r="C1442">
        <v>2021</v>
      </c>
      <c r="D1442" t="s">
        <v>1007</v>
      </c>
      <c r="E1442">
        <v>3.1</v>
      </c>
      <c r="F1442">
        <v>896299</v>
      </c>
      <c r="G1442" s="1" t="str">
        <f t="shared" si="22"/>
        <v>South Dakota2021</v>
      </c>
      <c r="H1442">
        <f>+INDEX(Sheet1!C:C, MATCH(Hoja1!G1442, Sheet1!D:D, 0))</f>
        <v>62984.800000000003</v>
      </c>
      <c r="I1442">
        <f>+INDEX(Sheet1!G:G, MATCH(Hoja1!G1442, Sheet1!I:I, 0))</f>
        <v>107558</v>
      </c>
      <c r="J1442" s="2">
        <f>+INDEX(Sheet1!H:H, MATCH(Hoja1!G1442, Sheet1!I:I, 0))</f>
        <v>5.2025156740578449E-2</v>
      </c>
      <c r="K1442" s="2">
        <f>+INDEX(Sheet1!L:L, MATCH(Hoja1!G1442,Sheet1!M:M, 0))</f>
        <v>8.4</v>
      </c>
    </row>
    <row r="1443" spans="1:11" ht="16" x14ac:dyDescent="0.25">
      <c r="A1443" t="s">
        <v>1151</v>
      </c>
      <c r="B1443">
        <v>2</v>
      </c>
      <c r="C1443">
        <v>2021</v>
      </c>
      <c r="D1443" t="s">
        <v>596</v>
      </c>
      <c r="E1443">
        <v>3.5</v>
      </c>
      <c r="F1443">
        <v>896299</v>
      </c>
      <c r="G1443" s="1" t="str">
        <f t="shared" si="22"/>
        <v>South Dakota2021</v>
      </c>
      <c r="H1443">
        <f>+INDEX(Sheet1!C:C, MATCH(Hoja1!G1443, Sheet1!D:D, 0))</f>
        <v>62984.800000000003</v>
      </c>
      <c r="I1443">
        <f>+INDEX(Sheet1!G:G, MATCH(Hoja1!G1443, Sheet1!I:I, 0))</f>
        <v>107558</v>
      </c>
      <c r="J1443" s="2">
        <f>+INDEX(Sheet1!H:H, MATCH(Hoja1!G1443, Sheet1!I:I, 0))</f>
        <v>5.2025156740578449E-2</v>
      </c>
      <c r="K1443" s="2">
        <f>+INDEX(Sheet1!L:L, MATCH(Hoja1!G1443,Sheet1!M:M, 0))</f>
        <v>8.4</v>
      </c>
    </row>
    <row r="1444" spans="1:11" ht="16" x14ac:dyDescent="0.25">
      <c r="A1444" t="s">
        <v>1151</v>
      </c>
      <c r="B1444">
        <v>3</v>
      </c>
      <c r="C1444">
        <v>2021</v>
      </c>
      <c r="D1444" t="s">
        <v>1152</v>
      </c>
      <c r="E1444">
        <v>2.9</v>
      </c>
      <c r="F1444">
        <v>896299</v>
      </c>
      <c r="G1444" s="1" t="str">
        <f t="shared" si="22"/>
        <v>South Dakota2021</v>
      </c>
      <c r="H1444">
        <f>+INDEX(Sheet1!C:C, MATCH(Hoja1!G1444, Sheet1!D:D, 0))</f>
        <v>62984.800000000003</v>
      </c>
      <c r="I1444">
        <f>+INDEX(Sheet1!G:G, MATCH(Hoja1!G1444, Sheet1!I:I, 0))</f>
        <v>107558</v>
      </c>
      <c r="J1444" s="2">
        <f>+INDEX(Sheet1!H:H, MATCH(Hoja1!G1444, Sheet1!I:I, 0))</f>
        <v>5.2025156740578449E-2</v>
      </c>
      <c r="K1444" s="2">
        <f>+INDEX(Sheet1!L:L, MATCH(Hoja1!G1444,Sheet1!M:M, 0))</f>
        <v>8.4</v>
      </c>
    </row>
    <row r="1445" spans="1:11" ht="16" x14ac:dyDescent="0.25">
      <c r="A1445" t="s">
        <v>1151</v>
      </c>
      <c r="B1445">
        <v>4</v>
      </c>
      <c r="C1445">
        <v>2021</v>
      </c>
      <c r="D1445" t="s">
        <v>1153</v>
      </c>
      <c r="E1445">
        <v>2.9</v>
      </c>
      <c r="F1445">
        <v>896299</v>
      </c>
      <c r="G1445" s="1" t="str">
        <f t="shared" si="22"/>
        <v>South Dakota2021</v>
      </c>
      <c r="H1445">
        <f>+INDEX(Sheet1!C:C, MATCH(Hoja1!G1445, Sheet1!D:D, 0))</f>
        <v>62984.800000000003</v>
      </c>
      <c r="I1445">
        <f>+INDEX(Sheet1!G:G, MATCH(Hoja1!G1445, Sheet1!I:I, 0))</f>
        <v>107558</v>
      </c>
      <c r="J1445" s="2">
        <f>+INDEX(Sheet1!H:H, MATCH(Hoja1!G1445, Sheet1!I:I, 0))</f>
        <v>5.2025156740578449E-2</v>
      </c>
      <c r="K1445" s="2">
        <f>+INDEX(Sheet1!L:L, MATCH(Hoja1!G1445,Sheet1!M:M, 0))</f>
        <v>8.4</v>
      </c>
    </row>
    <row r="1446" spans="1:11" ht="16" x14ac:dyDescent="0.25">
      <c r="A1446" t="s">
        <v>1151</v>
      </c>
      <c r="B1446">
        <v>5</v>
      </c>
      <c r="C1446">
        <v>2021</v>
      </c>
      <c r="D1446" t="s">
        <v>1154</v>
      </c>
      <c r="E1446">
        <v>2.7</v>
      </c>
      <c r="F1446">
        <v>896299</v>
      </c>
      <c r="G1446" s="1" t="str">
        <f t="shared" si="22"/>
        <v>South Dakota2021</v>
      </c>
      <c r="H1446">
        <f>+INDEX(Sheet1!C:C, MATCH(Hoja1!G1446, Sheet1!D:D, 0))</f>
        <v>62984.800000000003</v>
      </c>
      <c r="I1446">
        <f>+INDEX(Sheet1!G:G, MATCH(Hoja1!G1446, Sheet1!I:I, 0))</f>
        <v>107558</v>
      </c>
      <c r="J1446" s="2">
        <f>+INDEX(Sheet1!H:H, MATCH(Hoja1!G1446, Sheet1!I:I, 0))</f>
        <v>5.2025156740578449E-2</v>
      </c>
      <c r="K1446" s="2">
        <f>+INDEX(Sheet1!L:L, MATCH(Hoja1!G1446,Sheet1!M:M, 0))</f>
        <v>8.4</v>
      </c>
    </row>
    <row r="1447" spans="1:11" ht="16" x14ac:dyDescent="0.25">
      <c r="A1447" t="s">
        <v>1151</v>
      </c>
      <c r="B1447">
        <v>6</v>
      </c>
      <c r="C1447">
        <v>2021</v>
      </c>
      <c r="D1447" t="s">
        <v>870</v>
      </c>
      <c r="E1447">
        <v>3</v>
      </c>
      <c r="F1447">
        <v>896299</v>
      </c>
      <c r="G1447" s="1" t="str">
        <f t="shared" si="22"/>
        <v>South Dakota2021</v>
      </c>
      <c r="H1447">
        <f>+INDEX(Sheet1!C:C, MATCH(Hoja1!G1447, Sheet1!D:D, 0))</f>
        <v>62984.800000000003</v>
      </c>
      <c r="I1447">
        <f>+INDEX(Sheet1!G:G, MATCH(Hoja1!G1447, Sheet1!I:I, 0))</f>
        <v>107558</v>
      </c>
      <c r="J1447" s="2">
        <f>+INDEX(Sheet1!H:H, MATCH(Hoja1!G1447, Sheet1!I:I, 0))</f>
        <v>5.2025156740578449E-2</v>
      </c>
      <c r="K1447" s="2">
        <f>+INDEX(Sheet1!L:L, MATCH(Hoja1!G1447,Sheet1!M:M, 0))</f>
        <v>8.4</v>
      </c>
    </row>
    <row r="1448" spans="1:11" ht="16" x14ac:dyDescent="0.25">
      <c r="A1448" t="s">
        <v>1151</v>
      </c>
      <c r="B1448">
        <v>7</v>
      </c>
      <c r="C1448">
        <v>2021</v>
      </c>
      <c r="D1448" t="s">
        <v>1155</v>
      </c>
      <c r="E1448">
        <v>2.4</v>
      </c>
      <c r="F1448">
        <v>896299</v>
      </c>
      <c r="G1448" s="1" t="str">
        <f t="shared" si="22"/>
        <v>South Dakota2021</v>
      </c>
      <c r="H1448">
        <f>+INDEX(Sheet1!C:C, MATCH(Hoja1!G1448, Sheet1!D:D, 0))</f>
        <v>62984.800000000003</v>
      </c>
      <c r="I1448">
        <f>+INDEX(Sheet1!G:G, MATCH(Hoja1!G1448, Sheet1!I:I, 0))</f>
        <v>107558</v>
      </c>
      <c r="J1448" s="2">
        <f>+INDEX(Sheet1!H:H, MATCH(Hoja1!G1448, Sheet1!I:I, 0))</f>
        <v>5.2025156740578449E-2</v>
      </c>
      <c r="K1448" s="2">
        <f>+INDEX(Sheet1!L:L, MATCH(Hoja1!G1448,Sheet1!M:M, 0))</f>
        <v>8.4</v>
      </c>
    </row>
    <row r="1449" spans="1:11" ht="16" x14ac:dyDescent="0.25">
      <c r="A1449" t="s">
        <v>1151</v>
      </c>
      <c r="B1449">
        <v>8</v>
      </c>
      <c r="C1449">
        <v>2021</v>
      </c>
      <c r="D1449" t="s">
        <v>1156</v>
      </c>
      <c r="E1449">
        <v>2.7</v>
      </c>
      <c r="F1449">
        <v>896299</v>
      </c>
      <c r="G1449" s="1" t="str">
        <f t="shared" si="22"/>
        <v>South Dakota2021</v>
      </c>
      <c r="H1449">
        <f>+INDEX(Sheet1!C:C, MATCH(Hoja1!G1449, Sheet1!D:D, 0))</f>
        <v>62984.800000000003</v>
      </c>
      <c r="I1449">
        <f>+INDEX(Sheet1!G:G, MATCH(Hoja1!G1449, Sheet1!I:I, 0))</f>
        <v>107558</v>
      </c>
      <c r="J1449" s="2">
        <f>+INDEX(Sheet1!H:H, MATCH(Hoja1!G1449, Sheet1!I:I, 0))</f>
        <v>5.2025156740578449E-2</v>
      </c>
      <c r="K1449" s="2">
        <f>+INDEX(Sheet1!L:L, MATCH(Hoja1!G1449,Sheet1!M:M, 0))</f>
        <v>8.4</v>
      </c>
    </row>
    <row r="1450" spans="1:11" ht="16" x14ac:dyDescent="0.25">
      <c r="A1450" t="s">
        <v>1151</v>
      </c>
      <c r="B1450">
        <v>9</v>
      </c>
      <c r="C1450">
        <v>2021</v>
      </c>
      <c r="D1450" t="s">
        <v>598</v>
      </c>
      <c r="E1450">
        <v>2</v>
      </c>
      <c r="F1450">
        <v>896299</v>
      </c>
      <c r="G1450" s="1" t="str">
        <f t="shared" si="22"/>
        <v>South Dakota2021</v>
      </c>
      <c r="H1450">
        <f>+INDEX(Sheet1!C:C, MATCH(Hoja1!G1450, Sheet1!D:D, 0))</f>
        <v>62984.800000000003</v>
      </c>
      <c r="I1450">
        <f>+INDEX(Sheet1!G:G, MATCH(Hoja1!G1450, Sheet1!I:I, 0))</f>
        <v>107558</v>
      </c>
      <c r="J1450" s="2">
        <f>+INDEX(Sheet1!H:H, MATCH(Hoja1!G1450, Sheet1!I:I, 0))</f>
        <v>5.2025156740578449E-2</v>
      </c>
      <c r="K1450" s="2">
        <f>+INDEX(Sheet1!L:L, MATCH(Hoja1!G1450,Sheet1!M:M, 0))</f>
        <v>8.4</v>
      </c>
    </row>
    <row r="1451" spans="1:11" ht="16" x14ac:dyDescent="0.25">
      <c r="A1451" t="s">
        <v>1151</v>
      </c>
      <c r="B1451">
        <v>10</v>
      </c>
      <c r="C1451">
        <v>2021</v>
      </c>
      <c r="D1451" t="s">
        <v>1157</v>
      </c>
      <c r="E1451">
        <v>2.2000000000000002</v>
      </c>
      <c r="F1451">
        <v>896299</v>
      </c>
      <c r="G1451" s="1" t="str">
        <f t="shared" si="22"/>
        <v>South Dakota2021</v>
      </c>
      <c r="H1451">
        <f>+INDEX(Sheet1!C:C, MATCH(Hoja1!G1451, Sheet1!D:D, 0))</f>
        <v>62984.800000000003</v>
      </c>
      <c r="I1451">
        <f>+INDEX(Sheet1!G:G, MATCH(Hoja1!G1451, Sheet1!I:I, 0))</f>
        <v>107558</v>
      </c>
      <c r="J1451" s="2">
        <f>+INDEX(Sheet1!H:H, MATCH(Hoja1!G1451, Sheet1!I:I, 0))</f>
        <v>5.2025156740578449E-2</v>
      </c>
      <c r="K1451" s="2">
        <f>+INDEX(Sheet1!L:L, MATCH(Hoja1!G1451,Sheet1!M:M, 0))</f>
        <v>8.4</v>
      </c>
    </row>
    <row r="1452" spans="1:11" ht="16" x14ac:dyDescent="0.25">
      <c r="A1452" t="s">
        <v>1151</v>
      </c>
      <c r="B1452">
        <v>11</v>
      </c>
      <c r="C1452">
        <v>2021</v>
      </c>
      <c r="D1452" t="s">
        <v>1158</v>
      </c>
      <c r="E1452">
        <v>1.9</v>
      </c>
      <c r="F1452">
        <v>896299</v>
      </c>
      <c r="G1452" s="1" t="str">
        <f t="shared" si="22"/>
        <v>South Dakota2021</v>
      </c>
      <c r="H1452">
        <f>+INDEX(Sheet1!C:C, MATCH(Hoja1!G1452, Sheet1!D:D, 0))</f>
        <v>62984.800000000003</v>
      </c>
      <c r="I1452">
        <f>+INDEX(Sheet1!G:G, MATCH(Hoja1!G1452, Sheet1!I:I, 0))</f>
        <v>107558</v>
      </c>
      <c r="J1452" s="2">
        <f>+INDEX(Sheet1!H:H, MATCH(Hoja1!G1452, Sheet1!I:I, 0))</f>
        <v>5.2025156740578449E-2</v>
      </c>
      <c r="K1452" s="2">
        <f>+INDEX(Sheet1!L:L, MATCH(Hoja1!G1452,Sheet1!M:M, 0))</f>
        <v>8.4</v>
      </c>
    </row>
    <row r="1453" spans="1:11" ht="16" x14ac:dyDescent="0.25">
      <c r="A1453" t="s">
        <v>1151</v>
      </c>
      <c r="B1453">
        <v>12</v>
      </c>
      <c r="C1453">
        <v>2021</v>
      </c>
      <c r="D1453" t="s">
        <v>138</v>
      </c>
      <c r="E1453">
        <v>2</v>
      </c>
      <c r="F1453">
        <v>896299</v>
      </c>
      <c r="G1453" s="1" t="str">
        <f t="shared" si="22"/>
        <v>South Dakota2021</v>
      </c>
      <c r="H1453">
        <f>+INDEX(Sheet1!C:C, MATCH(Hoja1!G1453, Sheet1!D:D, 0))</f>
        <v>62984.800000000003</v>
      </c>
      <c r="I1453">
        <f>+INDEX(Sheet1!G:G, MATCH(Hoja1!G1453, Sheet1!I:I, 0))</f>
        <v>107558</v>
      </c>
      <c r="J1453" s="2">
        <f>+INDEX(Sheet1!H:H, MATCH(Hoja1!G1453, Sheet1!I:I, 0))</f>
        <v>5.2025156740578449E-2</v>
      </c>
      <c r="K1453" s="2">
        <f>+INDEX(Sheet1!L:L, MATCH(Hoja1!G1453,Sheet1!M:M, 0))</f>
        <v>8.4</v>
      </c>
    </row>
    <row r="1454" spans="1:11" ht="16" x14ac:dyDescent="0.25">
      <c r="A1454" t="s">
        <v>1151</v>
      </c>
      <c r="B1454">
        <v>1</v>
      </c>
      <c r="C1454">
        <v>2022</v>
      </c>
      <c r="D1454" t="s">
        <v>1159</v>
      </c>
      <c r="E1454">
        <v>2.2000000000000002</v>
      </c>
      <c r="F1454">
        <v>909869</v>
      </c>
      <c r="G1454" s="1" t="str">
        <f t="shared" si="22"/>
        <v>South Dakota2022</v>
      </c>
      <c r="H1454">
        <f>+INDEX(Sheet1!C:C, MATCH(Hoja1!G1454, Sheet1!D:D, 0))</f>
        <v>69069.3</v>
      </c>
      <c r="I1454">
        <f>+INDEX(Sheet1!G:G, MATCH(Hoja1!G1454, Sheet1!I:I, 0))</f>
        <v>107061</v>
      </c>
      <c r="J1454" s="2">
        <f>+INDEX(Sheet1!H:H, MATCH(Hoja1!G1454, Sheet1!I:I, 0))</f>
        <v>-4.6207627512597858E-3</v>
      </c>
      <c r="K1454" s="2">
        <f>+INDEX(Sheet1!L:L, MATCH(Hoja1!G1454,Sheet1!M:M, 0))</f>
        <v>9.1</v>
      </c>
    </row>
    <row r="1455" spans="1:11" ht="16" x14ac:dyDescent="0.25">
      <c r="A1455" t="s">
        <v>1151</v>
      </c>
      <c r="B1455">
        <v>2</v>
      </c>
      <c r="C1455">
        <v>2022</v>
      </c>
      <c r="D1455" t="s">
        <v>1160</v>
      </c>
      <c r="E1455">
        <v>2.4</v>
      </c>
      <c r="F1455">
        <v>909869</v>
      </c>
      <c r="G1455" s="1" t="str">
        <f t="shared" si="22"/>
        <v>South Dakota2022</v>
      </c>
      <c r="H1455">
        <f>+INDEX(Sheet1!C:C, MATCH(Hoja1!G1455, Sheet1!D:D, 0))</f>
        <v>69069.3</v>
      </c>
      <c r="I1455">
        <f>+INDEX(Sheet1!G:G, MATCH(Hoja1!G1455, Sheet1!I:I, 0))</f>
        <v>107061</v>
      </c>
      <c r="J1455" s="2">
        <f>+INDEX(Sheet1!H:H, MATCH(Hoja1!G1455, Sheet1!I:I, 0))</f>
        <v>-4.6207627512597858E-3</v>
      </c>
      <c r="K1455" s="2">
        <f>+INDEX(Sheet1!L:L, MATCH(Hoja1!G1455,Sheet1!M:M, 0))</f>
        <v>9.1</v>
      </c>
    </row>
    <row r="1456" spans="1:11" ht="16" x14ac:dyDescent="0.25">
      <c r="A1456" t="s">
        <v>1151</v>
      </c>
      <c r="B1456">
        <v>3</v>
      </c>
      <c r="C1456">
        <v>2022</v>
      </c>
      <c r="D1456" t="s">
        <v>804</v>
      </c>
      <c r="E1456">
        <v>2</v>
      </c>
      <c r="F1456">
        <v>909869</v>
      </c>
      <c r="G1456" s="1" t="str">
        <f t="shared" si="22"/>
        <v>South Dakota2022</v>
      </c>
      <c r="H1456">
        <f>+INDEX(Sheet1!C:C, MATCH(Hoja1!G1456, Sheet1!D:D, 0))</f>
        <v>69069.3</v>
      </c>
      <c r="I1456">
        <f>+INDEX(Sheet1!G:G, MATCH(Hoja1!G1456, Sheet1!I:I, 0))</f>
        <v>107061</v>
      </c>
      <c r="J1456" s="2">
        <f>+INDEX(Sheet1!H:H, MATCH(Hoja1!G1456, Sheet1!I:I, 0))</f>
        <v>-4.6207627512597858E-3</v>
      </c>
      <c r="K1456" s="2">
        <f>+INDEX(Sheet1!L:L, MATCH(Hoja1!G1456,Sheet1!M:M, 0))</f>
        <v>9.1</v>
      </c>
    </row>
    <row r="1457" spans="1:11" ht="16" x14ac:dyDescent="0.25">
      <c r="A1457" t="s">
        <v>1151</v>
      </c>
      <c r="B1457">
        <v>4</v>
      </c>
      <c r="C1457">
        <v>2022</v>
      </c>
      <c r="D1457" t="s">
        <v>879</v>
      </c>
      <c r="E1457">
        <v>2</v>
      </c>
      <c r="F1457">
        <v>909869</v>
      </c>
      <c r="G1457" s="1" t="str">
        <f t="shared" si="22"/>
        <v>South Dakota2022</v>
      </c>
      <c r="H1457">
        <f>+INDEX(Sheet1!C:C, MATCH(Hoja1!G1457, Sheet1!D:D, 0))</f>
        <v>69069.3</v>
      </c>
      <c r="I1457">
        <f>+INDEX(Sheet1!G:G, MATCH(Hoja1!G1457, Sheet1!I:I, 0))</f>
        <v>107061</v>
      </c>
      <c r="J1457" s="2">
        <f>+INDEX(Sheet1!H:H, MATCH(Hoja1!G1457, Sheet1!I:I, 0))</f>
        <v>-4.6207627512597858E-3</v>
      </c>
      <c r="K1457" s="2">
        <f>+INDEX(Sheet1!L:L, MATCH(Hoja1!G1457,Sheet1!M:M, 0))</f>
        <v>9.1</v>
      </c>
    </row>
    <row r="1458" spans="1:11" ht="16" x14ac:dyDescent="0.25">
      <c r="A1458" t="s">
        <v>1151</v>
      </c>
      <c r="B1458">
        <v>5</v>
      </c>
      <c r="C1458">
        <v>2022</v>
      </c>
      <c r="D1458" t="s">
        <v>564</v>
      </c>
      <c r="E1458">
        <v>1.9</v>
      </c>
      <c r="F1458">
        <v>909869</v>
      </c>
      <c r="G1458" s="1" t="str">
        <f t="shared" si="22"/>
        <v>South Dakota2022</v>
      </c>
      <c r="H1458">
        <f>+INDEX(Sheet1!C:C, MATCH(Hoja1!G1458, Sheet1!D:D, 0))</f>
        <v>69069.3</v>
      </c>
      <c r="I1458">
        <f>+INDEX(Sheet1!G:G, MATCH(Hoja1!G1458, Sheet1!I:I, 0))</f>
        <v>107061</v>
      </c>
      <c r="J1458" s="2">
        <f>+INDEX(Sheet1!H:H, MATCH(Hoja1!G1458, Sheet1!I:I, 0))</f>
        <v>-4.6207627512597858E-3</v>
      </c>
      <c r="K1458" s="2">
        <f>+INDEX(Sheet1!L:L, MATCH(Hoja1!G1458,Sheet1!M:M, 0))</f>
        <v>9.1</v>
      </c>
    </row>
    <row r="1459" spans="1:11" ht="16" x14ac:dyDescent="0.25">
      <c r="A1459" t="s">
        <v>1151</v>
      </c>
      <c r="B1459">
        <v>6</v>
      </c>
      <c r="C1459">
        <v>2022</v>
      </c>
      <c r="D1459" t="s">
        <v>133</v>
      </c>
      <c r="E1459">
        <v>2.1</v>
      </c>
      <c r="F1459">
        <v>909869</v>
      </c>
      <c r="G1459" s="1" t="str">
        <f t="shared" si="22"/>
        <v>South Dakota2022</v>
      </c>
      <c r="H1459">
        <f>+INDEX(Sheet1!C:C, MATCH(Hoja1!G1459, Sheet1!D:D, 0))</f>
        <v>69069.3</v>
      </c>
      <c r="I1459">
        <f>+INDEX(Sheet1!G:G, MATCH(Hoja1!G1459, Sheet1!I:I, 0))</f>
        <v>107061</v>
      </c>
      <c r="J1459" s="2">
        <f>+INDEX(Sheet1!H:H, MATCH(Hoja1!G1459, Sheet1!I:I, 0))</f>
        <v>-4.6207627512597858E-3</v>
      </c>
      <c r="K1459" s="2">
        <f>+INDEX(Sheet1!L:L, MATCH(Hoja1!G1459,Sheet1!M:M, 0))</f>
        <v>9.1</v>
      </c>
    </row>
    <row r="1460" spans="1:11" ht="16" x14ac:dyDescent="0.25">
      <c r="A1460" t="s">
        <v>1151</v>
      </c>
      <c r="B1460">
        <v>7</v>
      </c>
      <c r="C1460">
        <v>2022</v>
      </c>
      <c r="D1460" t="s">
        <v>1161</v>
      </c>
      <c r="E1460">
        <v>1.8</v>
      </c>
      <c r="F1460">
        <v>909869</v>
      </c>
      <c r="G1460" s="1" t="str">
        <f t="shared" si="22"/>
        <v>South Dakota2022</v>
      </c>
      <c r="H1460">
        <f>+INDEX(Sheet1!C:C, MATCH(Hoja1!G1460, Sheet1!D:D, 0))</f>
        <v>69069.3</v>
      </c>
      <c r="I1460">
        <f>+INDEX(Sheet1!G:G, MATCH(Hoja1!G1460, Sheet1!I:I, 0))</f>
        <v>107061</v>
      </c>
      <c r="J1460" s="2">
        <f>+INDEX(Sheet1!H:H, MATCH(Hoja1!G1460, Sheet1!I:I, 0))</f>
        <v>-4.6207627512597858E-3</v>
      </c>
      <c r="K1460" s="2">
        <f>+INDEX(Sheet1!L:L, MATCH(Hoja1!G1460,Sheet1!M:M, 0))</f>
        <v>9.1</v>
      </c>
    </row>
    <row r="1461" spans="1:11" ht="16" x14ac:dyDescent="0.25">
      <c r="A1461" t="s">
        <v>1151</v>
      </c>
      <c r="B1461">
        <v>8</v>
      </c>
      <c r="C1461">
        <v>2022</v>
      </c>
      <c r="D1461" t="s">
        <v>1162</v>
      </c>
      <c r="E1461">
        <v>2.2000000000000002</v>
      </c>
      <c r="F1461">
        <v>909869</v>
      </c>
      <c r="G1461" s="1" t="str">
        <f t="shared" si="22"/>
        <v>South Dakota2022</v>
      </c>
      <c r="H1461">
        <f>+INDEX(Sheet1!C:C, MATCH(Hoja1!G1461, Sheet1!D:D, 0))</f>
        <v>69069.3</v>
      </c>
      <c r="I1461">
        <f>+INDEX(Sheet1!G:G, MATCH(Hoja1!G1461, Sheet1!I:I, 0))</f>
        <v>107061</v>
      </c>
      <c r="J1461" s="2">
        <f>+INDEX(Sheet1!H:H, MATCH(Hoja1!G1461, Sheet1!I:I, 0))</f>
        <v>-4.6207627512597858E-3</v>
      </c>
      <c r="K1461" s="2">
        <f>+INDEX(Sheet1!L:L, MATCH(Hoja1!G1461,Sheet1!M:M, 0))</f>
        <v>9.1</v>
      </c>
    </row>
    <row r="1462" spans="1:11" ht="16" x14ac:dyDescent="0.25">
      <c r="A1462" t="s">
        <v>1151</v>
      </c>
      <c r="B1462">
        <v>9</v>
      </c>
      <c r="C1462">
        <v>2022</v>
      </c>
      <c r="D1462" t="s">
        <v>1163</v>
      </c>
      <c r="E1462">
        <v>1.7</v>
      </c>
      <c r="F1462">
        <v>909869</v>
      </c>
      <c r="G1462" s="1" t="str">
        <f t="shared" si="22"/>
        <v>South Dakota2022</v>
      </c>
      <c r="H1462">
        <f>+INDEX(Sheet1!C:C, MATCH(Hoja1!G1462, Sheet1!D:D, 0))</f>
        <v>69069.3</v>
      </c>
      <c r="I1462">
        <f>+INDEX(Sheet1!G:G, MATCH(Hoja1!G1462, Sheet1!I:I, 0))</f>
        <v>107061</v>
      </c>
      <c r="J1462" s="2">
        <f>+INDEX(Sheet1!H:H, MATCH(Hoja1!G1462, Sheet1!I:I, 0))</f>
        <v>-4.6207627512597858E-3</v>
      </c>
      <c r="K1462" s="2">
        <f>+INDEX(Sheet1!L:L, MATCH(Hoja1!G1462,Sheet1!M:M, 0))</f>
        <v>9.1</v>
      </c>
    </row>
    <row r="1463" spans="1:11" ht="16" x14ac:dyDescent="0.25">
      <c r="A1463" t="s">
        <v>1151</v>
      </c>
      <c r="B1463">
        <v>10</v>
      </c>
      <c r="C1463">
        <v>2022</v>
      </c>
      <c r="D1463" t="s">
        <v>801</v>
      </c>
      <c r="E1463">
        <v>1.9</v>
      </c>
      <c r="F1463">
        <v>909869</v>
      </c>
      <c r="G1463" s="1" t="str">
        <f t="shared" si="22"/>
        <v>South Dakota2022</v>
      </c>
      <c r="H1463">
        <f>+INDEX(Sheet1!C:C, MATCH(Hoja1!G1463, Sheet1!D:D, 0))</f>
        <v>69069.3</v>
      </c>
      <c r="I1463">
        <f>+INDEX(Sheet1!G:G, MATCH(Hoja1!G1463, Sheet1!I:I, 0))</f>
        <v>107061</v>
      </c>
      <c r="J1463" s="2">
        <f>+INDEX(Sheet1!H:H, MATCH(Hoja1!G1463, Sheet1!I:I, 0))</f>
        <v>-4.6207627512597858E-3</v>
      </c>
      <c r="K1463" s="2">
        <f>+INDEX(Sheet1!L:L, MATCH(Hoja1!G1463,Sheet1!M:M, 0))</f>
        <v>9.1</v>
      </c>
    </row>
    <row r="1464" spans="1:11" ht="16" x14ac:dyDescent="0.25">
      <c r="A1464" t="s">
        <v>1151</v>
      </c>
      <c r="B1464">
        <v>11</v>
      </c>
      <c r="C1464">
        <v>2022</v>
      </c>
      <c r="D1464" t="s">
        <v>71</v>
      </c>
      <c r="E1464">
        <v>1.8</v>
      </c>
      <c r="F1464">
        <v>909869</v>
      </c>
      <c r="G1464" s="1" t="str">
        <f t="shared" si="22"/>
        <v>South Dakota2022</v>
      </c>
      <c r="H1464">
        <f>+INDEX(Sheet1!C:C, MATCH(Hoja1!G1464, Sheet1!D:D, 0))</f>
        <v>69069.3</v>
      </c>
      <c r="I1464">
        <f>+INDEX(Sheet1!G:G, MATCH(Hoja1!G1464, Sheet1!I:I, 0))</f>
        <v>107061</v>
      </c>
      <c r="J1464" s="2">
        <f>+INDEX(Sheet1!H:H, MATCH(Hoja1!G1464, Sheet1!I:I, 0))</f>
        <v>-4.6207627512597858E-3</v>
      </c>
      <c r="K1464" s="2">
        <f>+INDEX(Sheet1!L:L, MATCH(Hoja1!G1464,Sheet1!M:M, 0))</f>
        <v>9.1</v>
      </c>
    </row>
    <row r="1465" spans="1:11" ht="16" x14ac:dyDescent="0.25">
      <c r="A1465" t="s">
        <v>1151</v>
      </c>
      <c r="B1465">
        <v>12</v>
      </c>
      <c r="C1465">
        <v>2022</v>
      </c>
      <c r="D1465" t="s">
        <v>1164</v>
      </c>
      <c r="E1465">
        <v>2.1</v>
      </c>
      <c r="F1465">
        <v>909869</v>
      </c>
      <c r="G1465" s="1" t="str">
        <f t="shared" si="22"/>
        <v>South Dakota2022</v>
      </c>
      <c r="H1465">
        <f>+INDEX(Sheet1!C:C, MATCH(Hoja1!G1465, Sheet1!D:D, 0))</f>
        <v>69069.3</v>
      </c>
      <c r="I1465">
        <f>+INDEX(Sheet1!G:G, MATCH(Hoja1!G1465, Sheet1!I:I, 0))</f>
        <v>107061</v>
      </c>
      <c r="J1465" s="2">
        <f>+INDEX(Sheet1!H:H, MATCH(Hoja1!G1465, Sheet1!I:I, 0))</f>
        <v>-4.6207627512597858E-3</v>
      </c>
      <c r="K1465" s="2">
        <f>+INDEX(Sheet1!L:L, MATCH(Hoja1!G1465,Sheet1!M:M, 0))</f>
        <v>9.1</v>
      </c>
    </row>
    <row r="1466" spans="1:11" ht="16" x14ac:dyDescent="0.25">
      <c r="A1466" t="s">
        <v>1151</v>
      </c>
      <c r="B1466">
        <v>1</v>
      </c>
      <c r="C1466">
        <v>2023</v>
      </c>
      <c r="D1466" t="s">
        <v>1165</v>
      </c>
      <c r="E1466">
        <v>2</v>
      </c>
      <c r="F1466">
        <v>919318</v>
      </c>
      <c r="G1466" s="1" t="str">
        <f t="shared" si="22"/>
        <v>South Dakota2023</v>
      </c>
      <c r="H1466">
        <f>+INDEX(Sheet1!C:C, MATCH(Hoja1!G1466, Sheet1!D:D, 0))</f>
        <v>74033.899999999994</v>
      </c>
      <c r="I1466">
        <f>+INDEX(Sheet1!G:G, MATCH(Hoja1!G1466, Sheet1!I:I, 0))</f>
        <v>110966</v>
      </c>
      <c r="J1466" s="2">
        <f>+INDEX(Sheet1!H:H, MATCH(Hoja1!G1466, Sheet1!I:I, 0))</f>
        <v>3.6474533210039135E-2</v>
      </c>
      <c r="K1466" s="2">
        <f>+INDEX(Sheet1!L:L, MATCH(Hoja1!G1466,Sheet1!M:M, 0))</f>
        <v>7.5</v>
      </c>
    </row>
    <row r="1467" spans="1:11" ht="16" x14ac:dyDescent="0.25">
      <c r="A1467" t="s">
        <v>1151</v>
      </c>
      <c r="B1467">
        <v>2</v>
      </c>
      <c r="C1467">
        <v>2023</v>
      </c>
      <c r="D1467" t="s">
        <v>1166</v>
      </c>
      <c r="E1467">
        <v>2.4</v>
      </c>
      <c r="F1467">
        <v>919318</v>
      </c>
      <c r="G1467" s="1" t="str">
        <f t="shared" si="22"/>
        <v>South Dakota2023</v>
      </c>
      <c r="H1467">
        <f>+INDEX(Sheet1!C:C, MATCH(Hoja1!G1467, Sheet1!D:D, 0))</f>
        <v>74033.899999999994</v>
      </c>
      <c r="I1467">
        <f>+INDEX(Sheet1!G:G, MATCH(Hoja1!G1467, Sheet1!I:I, 0))</f>
        <v>110966</v>
      </c>
      <c r="J1467" s="2">
        <f>+INDEX(Sheet1!H:H, MATCH(Hoja1!G1467, Sheet1!I:I, 0))</f>
        <v>3.6474533210039135E-2</v>
      </c>
      <c r="K1467" s="2">
        <f>+INDEX(Sheet1!L:L, MATCH(Hoja1!G1467,Sheet1!M:M, 0))</f>
        <v>7.5</v>
      </c>
    </row>
    <row r="1468" spans="1:11" ht="16" x14ac:dyDescent="0.25">
      <c r="A1468" t="s">
        <v>1151</v>
      </c>
      <c r="B1468">
        <v>3</v>
      </c>
      <c r="C1468">
        <v>2023</v>
      </c>
      <c r="D1468" t="s">
        <v>458</v>
      </c>
      <c r="E1468">
        <v>1.9</v>
      </c>
      <c r="F1468">
        <v>919318</v>
      </c>
      <c r="G1468" s="1" t="str">
        <f t="shared" si="22"/>
        <v>South Dakota2023</v>
      </c>
      <c r="H1468">
        <f>+INDEX(Sheet1!C:C, MATCH(Hoja1!G1468, Sheet1!D:D, 0))</f>
        <v>74033.899999999994</v>
      </c>
      <c r="I1468">
        <f>+INDEX(Sheet1!G:G, MATCH(Hoja1!G1468, Sheet1!I:I, 0))</f>
        <v>110966</v>
      </c>
      <c r="J1468" s="2">
        <f>+INDEX(Sheet1!H:H, MATCH(Hoja1!G1468, Sheet1!I:I, 0))</f>
        <v>3.6474533210039135E-2</v>
      </c>
      <c r="K1468" s="2">
        <f>+INDEX(Sheet1!L:L, MATCH(Hoja1!G1468,Sheet1!M:M, 0))</f>
        <v>7.5</v>
      </c>
    </row>
    <row r="1469" spans="1:11" ht="16" x14ac:dyDescent="0.25">
      <c r="A1469" t="s">
        <v>1151</v>
      </c>
      <c r="B1469">
        <v>4</v>
      </c>
      <c r="C1469">
        <v>2023</v>
      </c>
      <c r="D1469" t="s">
        <v>1167</v>
      </c>
      <c r="E1469">
        <v>2.1</v>
      </c>
      <c r="F1469">
        <v>919318</v>
      </c>
      <c r="G1469" s="1" t="str">
        <f t="shared" si="22"/>
        <v>South Dakota2023</v>
      </c>
      <c r="H1469">
        <f>+INDEX(Sheet1!C:C, MATCH(Hoja1!G1469, Sheet1!D:D, 0))</f>
        <v>74033.899999999994</v>
      </c>
      <c r="I1469">
        <f>+INDEX(Sheet1!G:G, MATCH(Hoja1!G1469, Sheet1!I:I, 0))</f>
        <v>110966</v>
      </c>
      <c r="J1469" s="2">
        <f>+INDEX(Sheet1!H:H, MATCH(Hoja1!G1469, Sheet1!I:I, 0))</f>
        <v>3.6474533210039135E-2</v>
      </c>
      <c r="K1469" s="2">
        <f>+INDEX(Sheet1!L:L, MATCH(Hoja1!G1469,Sheet1!M:M, 0))</f>
        <v>7.5</v>
      </c>
    </row>
    <row r="1470" spans="1:11" ht="16" x14ac:dyDescent="0.25">
      <c r="A1470" t="s">
        <v>1151</v>
      </c>
      <c r="B1470">
        <v>5</v>
      </c>
      <c r="C1470">
        <v>2023</v>
      </c>
      <c r="D1470" t="s">
        <v>1168</v>
      </c>
      <c r="E1470">
        <v>2</v>
      </c>
      <c r="F1470">
        <v>919318</v>
      </c>
      <c r="G1470" s="1" t="str">
        <f t="shared" si="22"/>
        <v>South Dakota2023</v>
      </c>
      <c r="H1470">
        <f>+INDEX(Sheet1!C:C, MATCH(Hoja1!G1470, Sheet1!D:D, 0))</f>
        <v>74033.899999999994</v>
      </c>
      <c r="I1470">
        <f>+INDEX(Sheet1!G:G, MATCH(Hoja1!G1470, Sheet1!I:I, 0))</f>
        <v>110966</v>
      </c>
      <c r="J1470" s="2">
        <f>+INDEX(Sheet1!H:H, MATCH(Hoja1!G1470, Sheet1!I:I, 0))</f>
        <v>3.6474533210039135E-2</v>
      </c>
      <c r="K1470" s="2">
        <f>+INDEX(Sheet1!L:L, MATCH(Hoja1!G1470,Sheet1!M:M, 0))</f>
        <v>7.5</v>
      </c>
    </row>
    <row r="1471" spans="1:11" ht="16" x14ac:dyDescent="0.25">
      <c r="A1471" t="s">
        <v>1151</v>
      </c>
      <c r="B1471">
        <v>6</v>
      </c>
      <c r="C1471">
        <v>2023</v>
      </c>
      <c r="D1471" t="s">
        <v>1169</v>
      </c>
      <c r="E1471">
        <v>2.1</v>
      </c>
      <c r="F1471">
        <v>919318</v>
      </c>
      <c r="G1471" s="1" t="str">
        <f t="shared" si="22"/>
        <v>South Dakota2023</v>
      </c>
      <c r="H1471">
        <f>+INDEX(Sheet1!C:C, MATCH(Hoja1!G1471, Sheet1!D:D, 0))</f>
        <v>74033.899999999994</v>
      </c>
      <c r="I1471">
        <f>+INDEX(Sheet1!G:G, MATCH(Hoja1!G1471, Sheet1!I:I, 0))</f>
        <v>110966</v>
      </c>
      <c r="J1471" s="2">
        <f>+INDEX(Sheet1!H:H, MATCH(Hoja1!G1471, Sheet1!I:I, 0))</f>
        <v>3.6474533210039135E-2</v>
      </c>
      <c r="K1471" s="2">
        <f>+INDEX(Sheet1!L:L, MATCH(Hoja1!G1471,Sheet1!M:M, 0))</f>
        <v>7.5</v>
      </c>
    </row>
    <row r="1472" spans="1:11" ht="16" x14ac:dyDescent="0.25">
      <c r="A1472" t="s">
        <v>1151</v>
      </c>
      <c r="B1472">
        <v>7</v>
      </c>
      <c r="C1472">
        <v>2023</v>
      </c>
      <c r="D1472" t="s">
        <v>1170</v>
      </c>
      <c r="E1472">
        <v>1.7</v>
      </c>
      <c r="F1472">
        <v>919318</v>
      </c>
      <c r="G1472" s="1" t="str">
        <f t="shared" si="22"/>
        <v>South Dakota2023</v>
      </c>
      <c r="H1472">
        <f>+INDEX(Sheet1!C:C, MATCH(Hoja1!G1472, Sheet1!D:D, 0))</f>
        <v>74033.899999999994</v>
      </c>
      <c r="I1472">
        <f>+INDEX(Sheet1!G:G, MATCH(Hoja1!G1472, Sheet1!I:I, 0))</f>
        <v>110966</v>
      </c>
      <c r="J1472" s="2">
        <f>+INDEX(Sheet1!H:H, MATCH(Hoja1!G1472, Sheet1!I:I, 0))</f>
        <v>3.6474533210039135E-2</v>
      </c>
      <c r="K1472" s="2">
        <f>+INDEX(Sheet1!L:L, MATCH(Hoja1!G1472,Sheet1!M:M, 0))</f>
        <v>7.5</v>
      </c>
    </row>
    <row r="1473" spans="1:11" ht="16" x14ac:dyDescent="0.25">
      <c r="A1473" t="s">
        <v>1151</v>
      </c>
      <c r="B1473">
        <v>8</v>
      </c>
      <c r="C1473">
        <v>2023</v>
      </c>
      <c r="D1473" t="s">
        <v>485</v>
      </c>
      <c r="E1473">
        <v>2.1</v>
      </c>
      <c r="F1473">
        <v>919318</v>
      </c>
      <c r="G1473" s="1" t="str">
        <f t="shared" si="22"/>
        <v>South Dakota2023</v>
      </c>
      <c r="H1473">
        <f>+INDEX(Sheet1!C:C, MATCH(Hoja1!G1473, Sheet1!D:D, 0))</f>
        <v>74033.899999999994</v>
      </c>
      <c r="I1473">
        <f>+INDEX(Sheet1!G:G, MATCH(Hoja1!G1473, Sheet1!I:I, 0))</f>
        <v>110966</v>
      </c>
      <c r="J1473" s="2">
        <f>+INDEX(Sheet1!H:H, MATCH(Hoja1!G1473, Sheet1!I:I, 0))</f>
        <v>3.6474533210039135E-2</v>
      </c>
      <c r="K1473" s="2">
        <f>+INDEX(Sheet1!L:L, MATCH(Hoja1!G1473,Sheet1!M:M, 0))</f>
        <v>7.5</v>
      </c>
    </row>
    <row r="1474" spans="1:11" ht="16" x14ac:dyDescent="0.25">
      <c r="A1474" t="s">
        <v>1151</v>
      </c>
      <c r="B1474">
        <v>9</v>
      </c>
      <c r="C1474">
        <v>2023</v>
      </c>
      <c r="D1474" t="s">
        <v>1171</v>
      </c>
      <c r="E1474">
        <v>1.8</v>
      </c>
      <c r="F1474">
        <v>919318</v>
      </c>
      <c r="G1474" s="1" t="str">
        <f t="shared" si="22"/>
        <v>South Dakota2023</v>
      </c>
      <c r="H1474">
        <f>+INDEX(Sheet1!C:C, MATCH(Hoja1!G1474, Sheet1!D:D, 0))</f>
        <v>74033.899999999994</v>
      </c>
      <c r="I1474">
        <f>+INDEX(Sheet1!G:G, MATCH(Hoja1!G1474, Sheet1!I:I, 0))</f>
        <v>110966</v>
      </c>
      <c r="J1474" s="2">
        <f>+INDEX(Sheet1!H:H, MATCH(Hoja1!G1474, Sheet1!I:I, 0))</f>
        <v>3.6474533210039135E-2</v>
      </c>
      <c r="K1474" s="2">
        <f>+INDEX(Sheet1!L:L, MATCH(Hoja1!G1474,Sheet1!M:M, 0))</f>
        <v>7.5</v>
      </c>
    </row>
    <row r="1475" spans="1:11" ht="16" x14ac:dyDescent="0.25">
      <c r="A1475" t="s">
        <v>1151</v>
      </c>
      <c r="B1475">
        <v>10</v>
      </c>
      <c r="C1475">
        <v>2023</v>
      </c>
      <c r="D1475" t="s">
        <v>183</v>
      </c>
      <c r="E1475">
        <v>2</v>
      </c>
      <c r="F1475">
        <v>919318</v>
      </c>
      <c r="G1475" s="1" t="str">
        <f t="shared" ref="G1475:G1538" si="23">+A1475&amp;C1475</f>
        <v>South Dakota2023</v>
      </c>
      <c r="H1475">
        <f>+INDEX(Sheet1!C:C, MATCH(Hoja1!G1475, Sheet1!D:D, 0))</f>
        <v>74033.899999999994</v>
      </c>
      <c r="I1475">
        <f>+INDEX(Sheet1!G:G, MATCH(Hoja1!G1475, Sheet1!I:I, 0))</f>
        <v>110966</v>
      </c>
      <c r="J1475" s="2">
        <f>+INDEX(Sheet1!H:H, MATCH(Hoja1!G1475, Sheet1!I:I, 0))</f>
        <v>3.6474533210039135E-2</v>
      </c>
      <c r="K1475" s="2">
        <f>+INDEX(Sheet1!L:L, MATCH(Hoja1!G1475,Sheet1!M:M, 0))</f>
        <v>7.5</v>
      </c>
    </row>
    <row r="1476" spans="1:11" ht="16" x14ac:dyDescent="0.25">
      <c r="A1476" t="s">
        <v>1151</v>
      </c>
      <c r="B1476">
        <v>11</v>
      </c>
      <c r="C1476">
        <v>2023</v>
      </c>
      <c r="D1476" t="s">
        <v>732</v>
      </c>
      <c r="E1476">
        <v>1.7</v>
      </c>
      <c r="F1476">
        <v>919318</v>
      </c>
      <c r="G1476" s="1" t="str">
        <f t="shared" si="23"/>
        <v>South Dakota2023</v>
      </c>
      <c r="H1476">
        <f>+INDEX(Sheet1!C:C, MATCH(Hoja1!G1476, Sheet1!D:D, 0))</f>
        <v>74033.899999999994</v>
      </c>
      <c r="I1476">
        <f>+INDEX(Sheet1!G:G, MATCH(Hoja1!G1476, Sheet1!I:I, 0))</f>
        <v>110966</v>
      </c>
      <c r="J1476" s="2">
        <f>+INDEX(Sheet1!H:H, MATCH(Hoja1!G1476, Sheet1!I:I, 0))</f>
        <v>3.6474533210039135E-2</v>
      </c>
      <c r="K1476" s="2">
        <f>+INDEX(Sheet1!L:L, MATCH(Hoja1!G1476,Sheet1!M:M, 0))</f>
        <v>7.5</v>
      </c>
    </row>
    <row r="1477" spans="1:11" ht="16" x14ac:dyDescent="0.25">
      <c r="A1477" t="s">
        <v>1151</v>
      </c>
      <c r="B1477">
        <v>12</v>
      </c>
      <c r="C1477">
        <v>2023</v>
      </c>
      <c r="D1477" t="s">
        <v>1162</v>
      </c>
      <c r="E1477">
        <v>2</v>
      </c>
      <c r="F1477">
        <v>919318</v>
      </c>
      <c r="G1477" s="1" t="str">
        <f t="shared" si="23"/>
        <v>South Dakota2023</v>
      </c>
      <c r="H1477">
        <f>+INDEX(Sheet1!C:C, MATCH(Hoja1!G1477, Sheet1!D:D, 0))</f>
        <v>74033.899999999994</v>
      </c>
      <c r="I1477">
        <f>+INDEX(Sheet1!G:G, MATCH(Hoja1!G1477, Sheet1!I:I, 0))</f>
        <v>110966</v>
      </c>
      <c r="J1477" s="2">
        <f>+INDEX(Sheet1!H:H, MATCH(Hoja1!G1477, Sheet1!I:I, 0))</f>
        <v>3.6474533210039135E-2</v>
      </c>
      <c r="K1477" s="2">
        <f>+INDEX(Sheet1!L:L, MATCH(Hoja1!G1477,Sheet1!M:M, 0))</f>
        <v>7.5</v>
      </c>
    </row>
    <row r="1478" spans="1:11" ht="16" x14ac:dyDescent="0.25">
      <c r="A1478" t="s">
        <v>1172</v>
      </c>
      <c r="B1478">
        <v>1</v>
      </c>
      <c r="C1478">
        <v>2021</v>
      </c>
      <c r="D1478" t="s">
        <v>1173</v>
      </c>
      <c r="E1478">
        <v>5.4</v>
      </c>
      <c r="F1478">
        <v>6963709</v>
      </c>
      <c r="G1478" s="1" t="str">
        <f t="shared" si="23"/>
        <v>Tennessee2021</v>
      </c>
      <c r="H1478">
        <f>+INDEX(Sheet1!C:C, MATCH(Hoja1!G1478, Sheet1!D:D, 0))</f>
        <v>441952.5</v>
      </c>
      <c r="I1478">
        <f>+INDEX(Sheet1!G:G, MATCH(Hoja1!G1478, Sheet1!I:I, 0))</f>
        <v>112612</v>
      </c>
      <c r="J1478" s="2">
        <f>+INDEX(Sheet1!H:H, MATCH(Hoja1!G1478, Sheet1!I:I, 0))</f>
        <v>8.8017622847867669E-2</v>
      </c>
      <c r="K1478" s="2">
        <f>+INDEX(Sheet1!L:L, MATCH(Hoja1!G1478,Sheet1!M:M, 0))</f>
        <v>10.6</v>
      </c>
    </row>
    <row r="1479" spans="1:11" ht="16" x14ac:dyDescent="0.25">
      <c r="A1479" t="s">
        <v>1172</v>
      </c>
      <c r="B1479">
        <v>2</v>
      </c>
      <c r="C1479">
        <v>2021</v>
      </c>
      <c r="D1479" t="s">
        <v>1174</v>
      </c>
      <c r="E1479">
        <v>5.2</v>
      </c>
      <c r="F1479">
        <v>6963709</v>
      </c>
      <c r="G1479" s="1" t="str">
        <f t="shared" si="23"/>
        <v>Tennessee2021</v>
      </c>
      <c r="H1479">
        <f>+INDEX(Sheet1!C:C, MATCH(Hoja1!G1479, Sheet1!D:D, 0))</f>
        <v>441952.5</v>
      </c>
      <c r="I1479">
        <f>+INDEX(Sheet1!G:G, MATCH(Hoja1!G1479, Sheet1!I:I, 0))</f>
        <v>112612</v>
      </c>
      <c r="J1479" s="2">
        <f>+INDEX(Sheet1!H:H, MATCH(Hoja1!G1479, Sheet1!I:I, 0))</f>
        <v>8.8017622847867669E-2</v>
      </c>
      <c r="K1479" s="2">
        <f>+INDEX(Sheet1!L:L, MATCH(Hoja1!G1479,Sheet1!M:M, 0))</f>
        <v>10.6</v>
      </c>
    </row>
    <row r="1480" spans="1:11" ht="16" x14ac:dyDescent="0.25">
      <c r="A1480" t="s">
        <v>1172</v>
      </c>
      <c r="B1480">
        <v>3</v>
      </c>
      <c r="C1480">
        <v>2021</v>
      </c>
      <c r="D1480" t="s">
        <v>1175</v>
      </c>
      <c r="E1480">
        <v>5.0999999999999996</v>
      </c>
      <c r="F1480">
        <v>6963709</v>
      </c>
      <c r="G1480" s="1" t="str">
        <f t="shared" si="23"/>
        <v>Tennessee2021</v>
      </c>
      <c r="H1480">
        <f>+INDEX(Sheet1!C:C, MATCH(Hoja1!G1480, Sheet1!D:D, 0))</f>
        <v>441952.5</v>
      </c>
      <c r="I1480">
        <f>+INDEX(Sheet1!G:G, MATCH(Hoja1!G1480, Sheet1!I:I, 0))</f>
        <v>112612</v>
      </c>
      <c r="J1480" s="2">
        <f>+INDEX(Sheet1!H:H, MATCH(Hoja1!G1480, Sheet1!I:I, 0))</f>
        <v>8.8017622847867669E-2</v>
      </c>
      <c r="K1480" s="2">
        <f>+INDEX(Sheet1!L:L, MATCH(Hoja1!G1480,Sheet1!M:M, 0))</f>
        <v>10.6</v>
      </c>
    </row>
    <row r="1481" spans="1:11" ht="16" x14ac:dyDescent="0.25">
      <c r="A1481" t="s">
        <v>1172</v>
      </c>
      <c r="B1481">
        <v>4</v>
      </c>
      <c r="C1481">
        <v>2021</v>
      </c>
      <c r="D1481" t="s">
        <v>1176</v>
      </c>
      <c r="E1481">
        <v>5</v>
      </c>
      <c r="F1481">
        <v>6963709</v>
      </c>
      <c r="G1481" s="1" t="str">
        <f t="shared" si="23"/>
        <v>Tennessee2021</v>
      </c>
      <c r="H1481">
        <f>+INDEX(Sheet1!C:C, MATCH(Hoja1!G1481, Sheet1!D:D, 0))</f>
        <v>441952.5</v>
      </c>
      <c r="I1481">
        <f>+INDEX(Sheet1!G:G, MATCH(Hoja1!G1481, Sheet1!I:I, 0))</f>
        <v>112612</v>
      </c>
      <c r="J1481" s="2">
        <f>+INDEX(Sheet1!H:H, MATCH(Hoja1!G1481, Sheet1!I:I, 0))</f>
        <v>8.8017622847867669E-2</v>
      </c>
      <c r="K1481" s="2">
        <f>+INDEX(Sheet1!L:L, MATCH(Hoja1!G1481,Sheet1!M:M, 0))</f>
        <v>10.6</v>
      </c>
    </row>
    <row r="1482" spans="1:11" ht="16" x14ac:dyDescent="0.25">
      <c r="A1482" t="s">
        <v>1172</v>
      </c>
      <c r="B1482">
        <v>5</v>
      </c>
      <c r="C1482">
        <v>2021</v>
      </c>
      <c r="D1482" t="s">
        <v>1177</v>
      </c>
      <c r="E1482">
        <v>4.8</v>
      </c>
      <c r="F1482">
        <v>6963709</v>
      </c>
      <c r="G1482" s="1" t="str">
        <f t="shared" si="23"/>
        <v>Tennessee2021</v>
      </c>
      <c r="H1482">
        <f>+INDEX(Sheet1!C:C, MATCH(Hoja1!G1482, Sheet1!D:D, 0))</f>
        <v>441952.5</v>
      </c>
      <c r="I1482">
        <f>+INDEX(Sheet1!G:G, MATCH(Hoja1!G1482, Sheet1!I:I, 0))</f>
        <v>112612</v>
      </c>
      <c r="J1482" s="2">
        <f>+INDEX(Sheet1!H:H, MATCH(Hoja1!G1482, Sheet1!I:I, 0))</f>
        <v>8.8017622847867669E-2</v>
      </c>
      <c r="K1482" s="2">
        <f>+INDEX(Sheet1!L:L, MATCH(Hoja1!G1482,Sheet1!M:M, 0))</f>
        <v>10.6</v>
      </c>
    </row>
    <row r="1483" spans="1:11" ht="16" x14ac:dyDescent="0.25">
      <c r="A1483" t="s">
        <v>1172</v>
      </c>
      <c r="B1483">
        <v>6</v>
      </c>
      <c r="C1483">
        <v>2021</v>
      </c>
      <c r="D1483" t="s">
        <v>1178</v>
      </c>
      <c r="E1483">
        <v>4.7</v>
      </c>
      <c r="F1483">
        <v>6963709</v>
      </c>
      <c r="G1483" s="1" t="str">
        <f t="shared" si="23"/>
        <v>Tennessee2021</v>
      </c>
      <c r="H1483">
        <f>+INDEX(Sheet1!C:C, MATCH(Hoja1!G1483, Sheet1!D:D, 0))</f>
        <v>441952.5</v>
      </c>
      <c r="I1483">
        <f>+INDEX(Sheet1!G:G, MATCH(Hoja1!G1483, Sheet1!I:I, 0))</f>
        <v>112612</v>
      </c>
      <c r="J1483" s="2">
        <f>+INDEX(Sheet1!H:H, MATCH(Hoja1!G1483, Sheet1!I:I, 0))</f>
        <v>8.8017622847867669E-2</v>
      </c>
      <c r="K1483" s="2">
        <f>+INDEX(Sheet1!L:L, MATCH(Hoja1!G1483,Sheet1!M:M, 0))</f>
        <v>10.6</v>
      </c>
    </row>
    <row r="1484" spans="1:11" ht="16" x14ac:dyDescent="0.25">
      <c r="A1484" t="s">
        <v>1172</v>
      </c>
      <c r="B1484">
        <v>7</v>
      </c>
      <c r="C1484">
        <v>2021</v>
      </c>
      <c r="D1484" t="s">
        <v>1179</v>
      </c>
      <c r="E1484">
        <v>4.4000000000000004</v>
      </c>
      <c r="F1484">
        <v>6963709</v>
      </c>
      <c r="G1484" s="1" t="str">
        <f t="shared" si="23"/>
        <v>Tennessee2021</v>
      </c>
      <c r="H1484">
        <f>+INDEX(Sheet1!C:C, MATCH(Hoja1!G1484, Sheet1!D:D, 0))</f>
        <v>441952.5</v>
      </c>
      <c r="I1484">
        <f>+INDEX(Sheet1!G:G, MATCH(Hoja1!G1484, Sheet1!I:I, 0))</f>
        <v>112612</v>
      </c>
      <c r="J1484" s="2">
        <f>+INDEX(Sheet1!H:H, MATCH(Hoja1!G1484, Sheet1!I:I, 0))</f>
        <v>8.8017622847867669E-2</v>
      </c>
      <c r="K1484" s="2">
        <f>+INDEX(Sheet1!L:L, MATCH(Hoja1!G1484,Sheet1!M:M, 0))</f>
        <v>10.6</v>
      </c>
    </row>
    <row r="1485" spans="1:11" ht="16" x14ac:dyDescent="0.25">
      <c r="A1485" t="s">
        <v>1172</v>
      </c>
      <c r="B1485">
        <v>8</v>
      </c>
      <c r="C1485">
        <v>2021</v>
      </c>
      <c r="D1485" t="s">
        <v>1180</v>
      </c>
      <c r="E1485">
        <v>4.2</v>
      </c>
      <c r="F1485">
        <v>6963709</v>
      </c>
      <c r="G1485" s="1" t="str">
        <f t="shared" si="23"/>
        <v>Tennessee2021</v>
      </c>
      <c r="H1485">
        <f>+INDEX(Sheet1!C:C, MATCH(Hoja1!G1485, Sheet1!D:D, 0))</f>
        <v>441952.5</v>
      </c>
      <c r="I1485">
        <f>+INDEX(Sheet1!G:G, MATCH(Hoja1!G1485, Sheet1!I:I, 0))</f>
        <v>112612</v>
      </c>
      <c r="J1485" s="2">
        <f>+INDEX(Sheet1!H:H, MATCH(Hoja1!G1485, Sheet1!I:I, 0))</f>
        <v>8.8017622847867669E-2</v>
      </c>
      <c r="K1485" s="2">
        <f>+INDEX(Sheet1!L:L, MATCH(Hoja1!G1485,Sheet1!M:M, 0))</f>
        <v>10.6</v>
      </c>
    </row>
    <row r="1486" spans="1:11" ht="16" x14ac:dyDescent="0.25">
      <c r="A1486" t="s">
        <v>1172</v>
      </c>
      <c r="B1486">
        <v>9</v>
      </c>
      <c r="C1486">
        <v>2021</v>
      </c>
      <c r="D1486" t="s">
        <v>1181</v>
      </c>
      <c r="E1486">
        <v>3.9</v>
      </c>
      <c r="F1486">
        <v>6963709</v>
      </c>
      <c r="G1486" s="1" t="str">
        <f t="shared" si="23"/>
        <v>Tennessee2021</v>
      </c>
      <c r="H1486">
        <f>+INDEX(Sheet1!C:C, MATCH(Hoja1!G1486, Sheet1!D:D, 0))</f>
        <v>441952.5</v>
      </c>
      <c r="I1486">
        <f>+INDEX(Sheet1!G:G, MATCH(Hoja1!G1486, Sheet1!I:I, 0))</f>
        <v>112612</v>
      </c>
      <c r="J1486" s="2">
        <f>+INDEX(Sheet1!H:H, MATCH(Hoja1!G1486, Sheet1!I:I, 0))</f>
        <v>8.8017622847867669E-2</v>
      </c>
      <c r="K1486" s="2">
        <f>+INDEX(Sheet1!L:L, MATCH(Hoja1!G1486,Sheet1!M:M, 0))</f>
        <v>10.6</v>
      </c>
    </row>
    <row r="1487" spans="1:11" ht="16" x14ac:dyDescent="0.25">
      <c r="A1487" t="s">
        <v>1172</v>
      </c>
      <c r="B1487">
        <v>10</v>
      </c>
      <c r="C1487">
        <v>2021</v>
      </c>
      <c r="D1487" t="s">
        <v>1182</v>
      </c>
      <c r="E1487">
        <v>3.8</v>
      </c>
      <c r="F1487">
        <v>6963709</v>
      </c>
      <c r="G1487" s="1" t="str">
        <f t="shared" si="23"/>
        <v>Tennessee2021</v>
      </c>
      <c r="H1487">
        <f>+INDEX(Sheet1!C:C, MATCH(Hoja1!G1487, Sheet1!D:D, 0))</f>
        <v>441952.5</v>
      </c>
      <c r="I1487">
        <f>+INDEX(Sheet1!G:G, MATCH(Hoja1!G1487, Sheet1!I:I, 0))</f>
        <v>112612</v>
      </c>
      <c r="J1487" s="2">
        <f>+INDEX(Sheet1!H:H, MATCH(Hoja1!G1487, Sheet1!I:I, 0))</f>
        <v>8.8017622847867669E-2</v>
      </c>
      <c r="K1487" s="2">
        <f>+INDEX(Sheet1!L:L, MATCH(Hoja1!G1487,Sheet1!M:M, 0))</f>
        <v>10.6</v>
      </c>
    </row>
    <row r="1488" spans="1:11" ht="16" x14ac:dyDescent="0.25">
      <c r="A1488" t="s">
        <v>1172</v>
      </c>
      <c r="B1488">
        <v>11</v>
      </c>
      <c r="C1488">
        <v>2021</v>
      </c>
      <c r="D1488" t="s">
        <v>617</v>
      </c>
      <c r="E1488">
        <v>3.6</v>
      </c>
      <c r="F1488">
        <v>6963709</v>
      </c>
      <c r="G1488" s="1" t="str">
        <f t="shared" si="23"/>
        <v>Tennessee2021</v>
      </c>
      <c r="H1488">
        <f>+INDEX(Sheet1!C:C, MATCH(Hoja1!G1488, Sheet1!D:D, 0))</f>
        <v>441952.5</v>
      </c>
      <c r="I1488">
        <f>+INDEX(Sheet1!G:G, MATCH(Hoja1!G1488, Sheet1!I:I, 0))</f>
        <v>112612</v>
      </c>
      <c r="J1488" s="2">
        <f>+INDEX(Sheet1!H:H, MATCH(Hoja1!G1488, Sheet1!I:I, 0))</f>
        <v>8.8017622847867669E-2</v>
      </c>
      <c r="K1488" s="2">
        <f>+INDEX(Sheet1!L:L, MATCH(Hoja1!G1488,Sheet1!M:M, 0))</f>
        <v>10.6</v>
      </c>
    </row>
    <row r="1489" spans="1:11" ht="16" x14ac:dyDescent="0.25">
      <c r="A1489" t="s">
        <v>1172</v>
      </c>
      <c r="B1489">
        <v>12</v>
      </c>
      <c r="C1489">
        <v>2021</v>
      </c>
      <c r="D1489" t="s">
        <v>994</v>
      </c>
      <c r="E1489">
        <v>3.5</v>
      </c>
      <c r="F1489">
        <v>6963709</v>
      </c>
      <c r="G1489" s="1" t="str">
        <f t="shared" si="23"/>
        <v>Tennessee2021</v>
      </c>
      <c r="H1489">
        <f>+INDEX(Sheet1!C:C, MATCH(Hoja1!G1489, Sheet1!D:D, 0))</f>
        <v>441952.5</v>
      </c>
      <c r="I1489">
        <f>+INDEX(Sheet1!G:G, MATCH(Hoja1!G1489, Sheet1!I:I, 0))</f>
        <v>112612</v>
      </c>
      <c r="J1489" s="2">
        <f>+INDEX(Sheet1!H:H, MATCH(Hoja1!G1489, Sheet1!I:I, 0))</f>
        <v>8.8017622847867669E-2</v>
      </c>
      <c r="K1489" s="2">
        <f>+INDEX(Sheet1!L:L, MATCH(Hoja1!G1489,Sheet1!M:M, 0))</f>
        <v>10.6</v>
      </c>
    </row>
    <row r="1490" spans="1:11" ht="16" x14ac:dyDescent="0.25">
      <c r="A1490" t="s">
        <v>1172</v>
      </c>
      <c r="B1490">
        <v>1</v>
      </c>
      <c r="C1490">
        <v>2022</v>
      </c>
      <c r="D1490" t="s">
        <v>621</v>
      </c>
      <c r="E1490">
        <v>3.4</v>
      </c>
      <c r="F1490">
        <v>7048976</v>
      </c>
      <c r="G1490" s="1" t="str">
        <f t="shared" si="23"/>
        <v>Tennessee2022</v>
      </c>
      <c r="H1490">
        <f>+INDEX(Sheet1!C:C, MATCH(Hoja1!G1490, Sheet1!D:D, 0))</f>
        <v>488670.1</v>
      </c>
      <c r="I1490">
        <f>+INDEX(Sheet1!G:G, MATCH(Hoja1!G1490, Sheet1!I:I, 0))</f>
        <v>116615</v>
      </c>
      <c r="J1490" s="2">
        <f>+INDEX(Sheet1!H:H, MATCH(Hoja1!G1490, Sheet1!I:I, 0))</f>
        <v>3.5546833374773559E-2</v>
      </c>
      <c r="K1490" s="2">
        <f>+INDEX(Sheet1!L:L, MATCH(Hoja1!G1490,Sheet1!M:M, 0))</f>
        <v>10.5</v>
      </c>
    </row>
    <row r="1491" spans="1:11" ht="16" x14ac:dyDescent="0.25">
      <c r="A1491" t="s">
        <v>1172</v>
      </c>
      <c r="B1491">
        <v>2</v>
      </c>
      <c r="C1491">
        <v>2022</v>
      </c>
      <c r="D1491" t="s">
        <v>1183</v>
      </c>
      <c r="E1491">
        <v>3.4</v>
      </c>
      <c r="F1491">
        <v>7048976</v>
      </c>
      <c r="G1491" s="1" t="str">
        <f t="shared" si="23"/>
        <v>Tennessee2022</v>
      </c>
      <c r="H1491">
        <f>+INDEX(Sheet1!C:C, MATCH(Hoja1!G1491, Sheet1!D:D, 0))</f>
        <v>488670.1</v>
      </c>
      <c r="I1491">
        <f>+INDEX(Sheet1!G:G, MATCH(Hoja1!G1491, Sheet1!I:I, 0))</f>
        <v>116615</v>
      </c>
      <c r="J1491" s="2">
        <f>+INDEX(Sheet1!H:H, MATCH(Hoja1!G1491, Sheet1!I:I, 0))</f>
        <v>3.5546833374773559E-2</v>
      </c>
      <c r="K1491" s="2">
        <f>+INDEX(Sheet1!L:L, MATCH(Hoja1!G1491,Sheet1!M:M, 0))</f>
        <v>10.5</v>
      </c>
    </row>
    <row r="1492" spans="1:11" ht="16" x14ac:dyDescent="0.25">
      <c r="A1492" t="s">
        <v>1172</v>
      </c>
      <c r="B1492">
        <v>3</v>
      </c>
      <c r="C1492">
        <v>2022</v>
      </c>
      <c r="D1492" t="s">
        <v>1184</v>
      </c>
      <c r="E1492">
        <v>3.3</v>
      </c>
      <c r="F1492">
        <v>7048976</v>
      </c>
      <c r="G1492" s="1" t="str">
        <f t="shared" si="23"/>
        <v>Tennessee2022</v>
      </c>
      <c r="H1492">
        <f>+INDEX(Sheet1!C:C, MATCH(Hoja1!G1492, Sheet1!D:D, 0))</f>
        <v>488670.1</v>
      </c>
      <c r="I1492">
        <f>+INDEX(Sheet1!G:G, MATCH(Hoja1!G1492, Sheet1!I:I, 0))</f>
        <v>116615</v>
      </c>
      <c r="J1492" s="2">
        <f>+INDEX(Sheet1!H:H, MATCH(Hoja1!G1492, Sheet1!I:I, 0))</f>
        <v>3.5546833374773559E-2</v>
      </c>
      <c r="K1492" s="2">
        <f>+INDEX(Sheet1!L:L, MATCH(Hoja1!G1492,Sheet1!M:M, 0))</f>
        <v>10.5</v>
      </c>
    </row>
    <row r="1493" spans="1:11" ht="16" x14ac:dyDescent="0.25">
      <c r="A1493" t="s">
        <v>1172</v>
      </c>
      <c r="B1493">
        <v>4</v>
      </c>
      <c r="C1493">
        <v>2022</v>
      </c>
      <c r="D1493" t="s">
        <v>1185</v>
      </c>
      <c r="E1493">
        <v>3.3</v>
      </c>
      <c r="F1493">
        <v>7048976</v>
      </c>
      <c r="G1493" s="1" t="str">
        <f t="shared" si="23"/>
        <v>Tennessee2022</v>
      </c>
      <c r="H1493">
        <f>+INDEX(Sheet1!C:C, MATCH(Hoja1!G1493, Sheet1!D:D, 0))</f>
        <v>488670.1</v>
      </c>
      <c r="I1493">
        <f>+INDEX(Sheet1!G:G, MATCH(Hoja1!G1493, Sheet1!I:I, 0))</f>
        <v>116615</v>
      </c>
      <c r="J1493" s="2">
        <f>+INDEX(Sheet1!H:H, MATCH(Hoja1!G1493, Sheet1!I:I, 0))</f>
        <v>3.5546833374773559E-2</v>
      </c>
      <c r="K1493" s="2">
        <f>+INDEX(Sheet1!L:L, MATCH(Hoja1!G1493,Sheet1!M:M, 0))</f>
        <v>10.5</v>
      </c>
    </row>
    <row r="1494" spans="1:11" ht="16" x14ac:dyDescent="0.25">
      <c r="A1494" t="s">
        <v>1172</v>
      </c>
      <c r="B1494">
        <v>5</v>
      </c>
      <c r="C1494">
        <v>2022</v>
      </c>
      <c r="D1494" t="s">
        <v>1186</v>
      </c>
      <c r="E1494">
        <v>3.3</v>
      </c>
      <c r="F1494">
        <v>7048976</v>
      </c>
      <c r="G1494" s="1" t="str">
        <f t="shared" si="23"/>
        <v>Tennessee2022</v>
      </c>
      <c r="H1494">
        <f>+INDEX(Sheet1!C:C, MATCH(Hoja1!G1494, Sheet1!D:D, 0))</f>
        <v>488670.1</v>
      </c>
      <c r="I1494">
        <f>+INDEX(Sheet1!G:G, MATCH(Hoja1!G1494, Sheet1!I:I, 0))</f>
        <v>116615</v>
      </c>
      <c r="J1494" s="2">
        <f>+INDEX(Sheet1!H:H, MATCH(Hoja1!G1494, Sheet1!I:I, 0))</f>
        <v>3.5546833374773559E-2</v>
      </c>
      <c r="K1494" s="2">
        <f>+INDEX(Sheet1!L:L, MATCH(Hoja1!G1494,Sheet1!M:M, 0))</f>
        <v>10.5</v>
      </c>
    </row>
    <row r="1495" spans="1:11" ht="16" x14ac:dyDescent="0.25">
      <c r="A1495" t="s">
        <v>1172</v>
      </c>
      <c r="B1495">
        <v>6</v>
      </c>
      <c r="C1495">
        <v>2022</v>
      </c>
      <c r="D1495" t="s">
        <v>1187</v>
      </c>
      <c r="E1495">
        <v>3.3</v>
      </c>
      <c r="F1495">
        <v>7048976</v>
      </c>
      <c r="G1495" s="1" t="str">
        <f t="shared" si="23"/>
        <v>Tennessee2022</v>
      </c>
      <c r="H1495">
        <f>+INDEX(Sheet1!C:C, MATCH(Hoja1!G1495, Sheet1!D:D, 0))</f>
        <v>488670.1</v>
      </c>
      <c r="I1495">
        <f>+INDEX(Sheet1!G:G, MATCH(Hoja1!G1495, Sheet1!I:I, 0))</f>
        <v>116615</v>
      </c>
      <c r="J1495" s="2">
        <f>+INDEX(Sheet1!H:H, MATCH(Hoja1!G1495, Sheet1!I:I, 0))</f>
        <v>3.5546833374773559E-2</v>
      </c>
      <c r="K1495" s="2">
        <f>+INDEX(Sheet1!L:L, MATCH(Hoja1!G1495,Sheet1!M:M, 0))</f>
        <v>10.5</v>
      </c>
    </row>
    <row r="1496" spans="1:11" ht="16" x14ac:dyDescent="0.25">
      <c r="A1496" t="s">
        <v>1172</v>
      </c>
      <c r="B1496">
        <v>7</v>
      </c>
      <c r="C1496">
        <v>2022</v>
      </c>
      <c r="D1496" t="s">
        <v>519</v>
      </c>
      <c r="E1496">
        <v>3.3</v>
      </c>
      <c r="F1496">
        <v>7048976</v>
      </c>
      <c r="G1496" s="1" t="str">
        <f t="shared" si="23"/>
        <v>Tennessee2022</v>
      </c>
      <c r="H1496">
        <f>+INDEX(Sheet1!C:C, MATCH(Hoja1!G1496, Sheet1!D:D, 0))</f>
        <v>488670.1</v>
      </c>
      <c r="I1496">
        <f>+INDEX(Sheet1!G:G, MATCH(Hoja1!G1496, Sheet1!I:I, 0))</f>
        <v>116615</v>
      </c>
      <c r="J1496" s="2">
        <f>+INDEX(Sheet1!H:H, MATCH(Hoja1!G1496, Sheet1!I:I, 0))</f>
        <v>3.5546833374773559E-2</v>
      </c>
      <c r="K1496" s="2">
        <f>+INDEX(Sheet1!L:L, MATCH(Hoja1!G1496,Sheet1!M:M, 0))</f>
        <v>10.5</v>
      </c>
    </row>
    <row r="1497" spans="1:11" ht="16" x14ac:dyDescent="0.25">
      <c r="A1497" t="s">
        <v>1172</v>
      </c>
      <c r="B1497">
        <v>8</v>
      </c>
      <c r="C1497">
        <v>2022</v>
      </c>
      <c r="D1497" t="s">
        <v>1188</v>
      </c>
      <c r="E1497">
        <v>3.4</v>
      </c>
      <c r="F1497">
        <v>7048976</v>
      </c>
      <c r="G1497" s="1" t="str">
        <f t="shared" si="23"/>
        <v>Tennessee2022</v>
      </c>
      <c r="H1497">
        <f>+INDEX(Sheet1!C:C, MATCH(Hoja1!G1497, Sheet1!D:D, 0))</f>
        <v>488670.1</v>
      </c>
      <c r="I1497">
        <f>+INDEX(Sheet1!G:G, MATCH(Hoja1!G1497, Sheet1!I:I, 0))</f>
        <v>116615</v>
      </c>
      <c r="J1497" s="2">
        <f>+INDEX(Sheet1!H:H, MATCH(Hoja1!G1497, Sheet1!I:I, 0))</f>
        <v>3.5546833374773559E-2</v>
      </c>
      <c r="K1497" s="2">
        <f>+INDEX(Sheet1!L:L, MATCH(Hoja1!G1497,Sheet1!M:M, 0))</f>
        <v>10.5</v>
      </c>
    </row>
    <row r="1498" spans="1:11" ht="16" x14ac:dyDescent="0.25">
      <c r="A1498" t="s">
        <v>1172</v>
      </c>
      <c r="B1498">
        <v>9</v>
      </c>
      <c r="C1498">
        <v>2022</v>
      </c>
      <c r="D1498" t="s">
        <v>1188</v>
      </c>
      <c r="E1498">
        <v>3.4</v>
      </c>
      <c r="F1498">
        <v>7048976</v>
      </c>
      <c r="G1498" s="1" t="str">
        <f t="shared" si="23"/>
        <v>Tennessee2022</v>
      </c>
      <c r="H1498">
        <f>+INDEX(Sheet1!C:C, MATCH(Hoja1!G1498, Sheet1!D:D, 0))</f>
        <v>488670.1</v>
      </c>
      <c r="I1498">
        <f>+INDEX(Sheet1!G:G, MATCH(Hoja1!G1498, Sheet1!I:I, 0))</f>
        <v>116615</v>
      </c>
      <c r="J1498" s="2">
        <f>+INDEX(Sheet1!H:H, MATCH(Hoja1!G1498, Sheet1!I:I, 0))</f>
        <v>3.5546833374773559E-2</v>
      </c>
      <c r="K1498" s="2">
        <f>+INDEX(Sheet1!L:L, MATCH(Hoja1!G1498,Sheet1!M:M, 0))</f>
        <v>10.5</v>
      </c>
    </row>
    <row r="1499" spans="1:11" ht="16" x14ac:dyDescent="0.25">
      <c r="A1499" t="s">
        <v>1172</v>
      </c>
      <c r="B1499">
        <v>10</v>
      </c>
      <c r="C1499">
        <v>2022</v>
      </c>
      <c r="D1499" t="s">
        <v>626</v>
      </c>
      <c r="E1499">
        <v>3.5</v>
      </c>
      <c r="F1499">
        <v>7048976</v>
      </c>
      <c r="G1499" s="1" t="str">
        <f t="shared" si="23"/>
        <v>Tennessee2022</v>
      </c>
      <c r="H1499">
        <f>+INDEX(Sheet1!C:C, MATCH(Hoja1!G1499, Sheet1!D:D, 0))</f>
        <v>488670.1</v>
      </c>
      <c r="I1499">
        <f>+INDEX(Sheet1!G:G, MATCH(Hoja1!G1499, Sheet1!I:I, 0))</f>
        <v>116615</v>
      </c>
      <c r="J1499" s="2">
        <f>+INDEX(Sheet1!H:H, MATCH(Hoja1!G1499, Sheet1!I:I, 0))</f>
        <v>3.5546833374773559E-2</v>
      </c>
      <c r="K1499" s="2">
        <f>+INDEX(Sheet1!L:L, MATCH(Hoja1!G1499,Sheet1!M:M, 0))</f>
        <v>10.5</v>
      </c>
    </row>
    <row r="1500" spans="1:11" ht="16" x14ac:dyDescent="0.25">
      <c r="A1500" t="s">
        <v>1172</v>
      </c>
      <c r="B1500">
        <v>11</v>
      </c>
      <c r="C1500">
        <v>2022</v>
      </c>
      <c r="D1500" t="s">
        <v>1189</v>
      </c>
      <c r="E1500">
        <v>3.5</v>
      </c>
      <c r="F1500">
        <v>7048976</v>
      </c>
      <c r="G1500" s="1" t="str">
        <f t="shared" si="23"/>
        <v>Tennessee2022</v>
      </c>
      <c r="H1500">
        <f>+INDEX(Sheet1!C:C, MATCH(Hoja1!G1500, Sheet1!D:D, 0))</f>
        <v>488670.1</v>
      </c>
      <c r="I1500">
        <f>+INDEX(Sheet1!G:G, MATCH(Hoja1!G1500, Sheet1!I:I, 0))</f>
        <v>116615</v>
      </c>
      <c r="J1500" s="2">
        <f>+INDEX(Sheet1!H:H, MATCH(Hoja1!G1500, Sheet1!I:I, 0))</f>
        <v>3.5546833374773559E-2</v>
      </c>
      <c r="K1500" s="2">
        <f>+INDEX(Sheet1!L:L, MATCH(Hoja1!G1500,Sheet1!M:M, 0))</f>
        <v>10.5</v>
      </c>
    </row>
    <row r="1501" spans="1:11" ht="16" x14ac:dyDescent="0.25">
      <c r="A1501" t="s">
        <v>1172</v>
      </c>
      <c r="B1501">
        <v>12</v>
      </c>
      <c r="C1501">
        <v>2022</v>
      </c>
      <c r="D1501" t="s">
        <v>1190</v>
      </c>
      <c r="E1501">
        <v>3.5</v>
      </c>
      <c r="F1501">
        <v>7048976</v>
      </c>
      <c r="G1501" s="1" t="str">
        <f t="shared" si="23"/>
        <v>Tennessee2022</v>
      </c>
      <c r="H1501">
        <f>+INDEX(Sheet1!C:C, MATCH(Hoja1!G1501, Sheet1!D:D, 0))</f>
        <v>488670.1</v>
      </c>
      <c r="I1501">
        <f>+INDEX(Sheet1!G:G, MATCH(Hoja1!G1501, Sheet1!I:I, 0))</f>
        <v>116615</v>
      </c>
      <c r="J1501" s="2">
        <f>+INDEX(Sheet1!H:H, MATCH(Hoja1!G1501, Sheet1!I:I, 0))</f>
        <v>3.5546833374773559E-2</v>
      </c>
      <c r="K1501" s="2">
        <f>+INDEX(Sheet1!L:L, MATCH(Hoja1!G1501,Sheet1!M:M, 0))</f>
        <v>10.5</v>
      </c>
    </row>
    <row r="1502" spans="1:11" ht="16" x14ac:dyDescent="0.25">
      <c r="A1502" t="s">
        <v>1172</v>
      </c>
      <c r="B1502">
        <v>1</v>
      </c>
      <c r="C1502">
        <v>2023</v>
      </c>
      <c r="D1502" t="s">
        <v>702</v>
      </c>
      <c r="E1502">
        <v>3.4</v>
      </c>
      <c r="F1502">
        <v>7126489</v>
      </c>
      <c r="G1502" s="1" t="str">
        <f t="shared" si="23"/>
        <v>Tennessee2023</v>
      </c>
      <c r="H1502">
        <f>+INDEX(Sheet1!C:C, MATCH(Hoja1!G1502, Sheet1!D:D, 0))</f>
        <v>523031.6</v>
      </c>
      <c r="I1502">
        <f>+INDEX(Sheet1!G:G, MATCH(Hoja1!G1502, Sheet1!I:I, 0))</f>
        <v>118758</v>
      </c>
      <c r="J1502" s="2">
        <f>+INDEX(Sheet1!H:H, MATCH(Hoja1!G1502, Sheet1!I:I, 0))</f>
        <v>1.837670968571796E-2</v>
      </c>
      <c r="K1502" s="2">
        <f>+INDEX(Sheet1!L:L, MATCH(Hoja1!G1502,Sheet1!M:M, 0))</f>
        <v>10.7</v>
      </c>
    </row>
    <row r="1503" spans="1:11" ht="16" x14ac:dyDescent="0.25">
      <c r="A1503" t="s">
        <v>1172</v>
      </c>
      <c r="B1503">
        <v>2</v>
      </c>
      <c r="C1503">
        <v>2023</v>
      </c>
      <c r="D1503" t="s">
        <v>1191</v>
      </c>
      <c r="E1503">
        <v>3.3</v>
      </c>
      <c r="F1503">
        <v>7126489</v>
      </c>
      <c r="G1503" s="1" t="str">
        <f t="shared" si="23"/>
        <v>Tennessee2023</v>
      </c>
      <c r="H1503">
        <f>+INDEX(Sheet1!C:C, MATCH(Hoja1!G1503, Sheet1!D:D, 0))</f>
        <v>523031.6</v>
      </c>
      <c r="I1503">
        <f>+INDEX(Sheet1!G:G, MATCH(Hoja1!G1503, Sheet1!I:I, 0))</f>
        <v>118758</v>
      </c>
      <c r="J1503" s="2">
        <f>+INDEX(Sheet1!H:H, MATCH(Hoja1!G1503, Sheet1!I:I, 0))</f>
        <v>1.837670968571796E-2</v>
      </c>
      <c r="K1503" s="2">
        <f>+INDEX(Sheet1!L:L, MATCH(Hoja1!G1503,Sheet1!M:M, 0))</f>
        <v>10.7</v>
      </c>
    </row>
    <row r="1504" spans="1:11" ht="16" x14ac:dyDescent="0.25">
      <c r="A1504" t="s">
        <v>1172</v>
      </c>
      <c r="B1504">
        <v>3</v>
      </c>
      <c r="C1504">
        <v>2023</v>
      </c>
      <c r="D1504" t="s">
        <v>810</v>
      </c>
      <c r="E1504">
        <v>3.2</v>
      </c>
      <c r="F1504">
        <v>7126489</v>
      </c>
      <c r="G1504" s="1" t="str">
        <f t="shared" si="23"/>
        <v>Tennessee2023</v>
      </c>
      <c r="H1504">
        <f>+INDEX(Sheet1!C:C, MATCH(Hoja1!G1504, Sheet1!D:D, 0))</f>
        <v>523031.6</v>
      </c>
      <c r="I1504">
        <f>+INDEX(Sheet1!G:G, MATCH(Hoja1!G1504, Sheet1!I:I, 0))</f>
        <v>118758</v>
      </c>
      <c r="J1504" s="2">
        <f>+INDEX(Sheet1!H:H, MATCH(Hoja1!G1504, Sheet1!I:I, 0))</f>
        <v>1.837670968571796E-2</v>
      </c>
      <c r="K1504" s="2">
        <f>+INDEX(Sheet1!L:L, MATCH(Hoja1!G1504,Sheet1!M:M, 0))</f>
        <v>10.7</v>
      </c>
    </row>
    <row r="1505" spans="1:11" ht="16" x14ac:dyDescent="0.25">
      <c r="A1505" t="s">
        <v>1172</v>
      </c>
      <c r="B1505">
        <v>4</v>
      </c>
      <c r="C1505">
        <v>2023</v>
      </c>
      <c r="D1505" t="s">
        <v>1192</v>
      </c>
      <c r="E1505">
        <v>3.1</v>
      </c>
      <c r="F1505">
        <v>7126489</v>
      </c>
      <c r="G1505" s="1" t="str">
        <f t="shared" si="23"/>
        <v>Tennessee2023</v>
      </c>
      <c r="H1505">
        <f>+INDEX(Sheet1!C:C, MATCH(Hoja1!G1505, Sheet1!D:D, 0))</f>
        <v>523031.6</v>
      </c>
      <c r="I1505">
        <f>+INDEX(Sheet1!G:G, MATCH(Hoja1!G1505, Sheet1!I:I, 0))</f>
        <v>118758</v>
      </c>
      <c r="J1505" s="2">
        <f>+INDEX(Sheet1!H:H, MATCH(Hoja1!G1505, Sheet1!I:I, 0))</f>
        <v>1.837670968571796E-2</v>
      </c>
      <c r="K1505" s="2">
        <f>+INDEX(Sheet1!L:L, MATCH(Hoja1!G1505,Sheet1!M:M, 0))</f>
        <v>10.7</v>
      </c>
    </row>
    <row r="1506" spans="1:11" ht="16" x14ac:dyDescent="0.25">
      <c r="A1506" t="s">
        <v>1172</v>
      </c>
      <c r="B1506">
        <v>5</v>
      </c>
      <c r="C1506">
        <v>2023</v>
      </c>
      <c r="D1506" t="s">
        <v>1193</v>
      </c>
      <c r="E1506">
        <v>3.1</v>
      </c>
      <c r="F1506">
        <v>7126489</v>
      </c>
      <c r="G1506" s="1" t="str">
        <f t="shared" si="23"/>
        <v>Tennessee2023</v>
      </c>
      <c r="H1506">
        <f>+INDEX(Sheet1!C:C, MATCH(Hoja1!G1506, Sheet1!D:D, 0))</f>
        <v>523031.6</v>
      </c>
      <c r="I1506">
        <f>+INDEX(Sheet1!G:G, MATCH(Hoja1!G1506, Sheet1!I:I, 0))</f>
        <v>118758</v>
      </c>
      <c r="J1506" s="2">
        <f>+INDEX(Sheet1!H:H, MATCH(Hoja1!G1506, Sheet1!I:I, 0))</f>
        <v>1.837670968571796E-2</v>
      </c>
      <c r="K1506" s="2">
        <f>+INDEX(Sheet1!L:L, MATCH(Hoja1!G1506,Sheet1!M:M, 0))</f>
        <v>10.7</v>
      </c>
    </row>
    <row r="1507" spans="1:11" ht="16" x14ac:dyDescent="0.25">
      <c r="A1507" t="s">
        <v>1172</v>
      </c>
      <c r="B1507">
        <v>6</v>
      </c>
      <c r="C1507">
        <v>2023</v>
      </c>
      <c r="D1507" t="s">
        <v>1194</v>
      </c>
      <c r="E1507">
        <v>3.1</v>
      </c>
      <c r="F1507">
        <v>7126489</v>
      </c>
      <c r="G1507" s="1" t="str">
        <f t="shared" si="23"/>
        <v>Tennessee2023</v>
      </c>
      <c r="H1507">
        <f>+INDEX(Sheet1!C:C, MATCH(Hoja1!G1507, Sheet1!D:D, 0))</f>
        <v>523031.6</v>
      </c>
      <c r="I1507">
        <f>+INDEX(Sheet1!G:G, MATCH(Hoja1!G1507, Sheet1!I:I, 0))</f>
        <v>118758</v>
      </c>
      <c r="J1507" s="2">
        <f>+INDEX(Sheet1!H:H, MATCH(Hoja1!G1507, Sheet1!I:I, 0))</f>
        <v>1.837670968571796E-2</v>
      </c>
      <c r="K1507" s="2">
        <f>+INDEX(Sheet1!L:L, MATCH(Hoja1!G1507,Sheet1!M:M, 0))</f>
        <v>10.7</v>
      </c>
    </row>
    <row r="1508" spans="1:11" ht="16" x14ac:dyDescent="0.25">
      <c r="A1508" t="s">
        <v>1172</v>
      </c>
      <c r="B1508">
        <v>7</v>
      </c>
      <c r="C1508">
        <v>2023</v>
      </c>
      <c r="D1508" t="s">
        <v>1195</v>
      </c>
      <c r="E1508">
        <v>3.2</v>
      </c>
      <c r="F1508">
        <v>7126489</v>
      </c>
      <c r="G1508" s="1" t="str">
        <f t="shared" si="23"/>
        <v>Tennessee2023</v>
      </c>
      <c r="H1508">
        <f>+INDEX(Sheet1!C:C, MATCH(Hoja1!G1508, Sheet1!D:D, 0))</f>
        <v>523031.6</v>
      </c>
      <c r="I1508">
        <f>+INDEX(Sheet1!G:G, MATCH(Hoja1!G1508, Sheet1!I:I, 0))</f>
        <v>118758</v>
      </c>
      <c r="J1508" s="2">
        <f>+INDEX(Sheet1!H:H, MATCH(Hoja1!G1508, Sheet1!I:I, 0))</f>
        <v>1.837670968571796E-2</v>
      </c>
      <c r="K1508" s="2">
        <f>+INDEX(Sheet1!L:L, MATCH(Hoja1!G1508,Sheet1!M:M, 0))</f>
        <v>10.7</v>
      </c>
    </row>
    <row r="1509" spans="1:11" ht="16" x14ac:dyDescent="0.25">
      <c r="A1509" t="s">
        <v>1172</v>
      </c>
      <c r="B1509">
        <v>8</v>
      </c>
      <c r="C1509">
        <v>2023</v>
      </c>
      <c r="D1509" t="s">
        <v>1196</v>
      </c>
      <c r="E1509">
        <v>3.3</v>
      </c>
      <c r="F1509">
        <v>7126489</v>
      </c>
      <c r="G1509" s="1" t="str">
        <f t="shared" si="23"/>
        <v>Tennessee2023</v>
      </c>
      <c r="H1509">
        <f>+INDEX(Sheet1!C:C, MATCH(Hoja1!G1509, Sheet1!D:D, 0))</f>
        <v>523031.6</v>
      </c>
      <c r="I1509">
        <f>+INDEX(Sheet1!G:G, MATCH(Hoja1!G1509, Sheet1!I:I, 0))</f>
        <v>118758</v>
      </c>
      <c r="J1509" s="2">
        <f>+INDEX(Sheet1!H:H, MATCH(Hoja1!G1509, Sheet1!I:I, 0))</f>
        <v>1.837670968571796E-2</v>
      </c>
      <c r="K1509" s="2">
        <f>+INDEX(Sheet1!L:L, MATCH(Hoja1!G1509,Sheet1!M:M, 0))</f>
        <v>10.7</v>
      </c>
    </row>
    <row r="1510" spans="1:11" ht="16" x14ac:dyDescent="0.25">
      <c r="A1510" t="s">
        <v>1172</v>
      </c>
      <c r="B1510">
        <v>9</v>
      </c>
      <c r="C1510">
        <v>2023</v>
      </c>
      <c r="D1510" t="s">
        <v>1197</v>
      </c>
      <c r="E1510">
        <v>3.4</v>
      </c>
      <c r="F1510">
        <v>7126489</v>
      </c>
      <c r="G1510" s="1" t="str">
        <f t="shared" si="23"/>
        <v>Tennessee2023</v>
      </c>
      <c r="H1510">
        <f>+INDEX(Sheet1!C:C, MATCH(Hoja1!G1510, Sheet1!D:D, 0))</f>
        <v>523031.6</v>
      </c>
      <c r="I1510">
        <f>+INDEX(Sheet1!G:G, MATCH(Hoja1!G1510, Sheet1!I:I, 0))</f>
        <v>118758</v>
      </c>
      <c r="J1510" s="2">
        <f>+INDEX(Sheet1!H:H, MATCH(Hoja1!G1510, Sheet1!I:I, 0))</f>
        <v>1.837670968571796E-2</v>
      </c>
      <c r="K1510" s="2">
        <f>+INDEX(Sheet1!L:L, MATCH(Hoja1!G1510,Sheet1!M:M, 0))</f>
        <v>10.7</v>
      </c>
    </row>
    <row r="1511" spans="1:11" ht="16" x14ac:dyDescent="0.25">
      <c r="A1511" t="s">
        <v>1172</v>
      </c>
      <c r="B1511">
        <v>10</v>
      </c>
      <c r="C1511">
        <v>2023</v>
      </c>
      <c r="D1511" t="s">
        <v>1198</v>
      </c>
      <c r="E1511">
        <v>3.5</v>
      </c>
      <c r="F1511">
        <v>7126489</v>
      </c>
      <c r="G1511" s="1" t="str">
        <f t="shared" si="23"/>
        <v>Tennessee2023</v>
      </c>
      <c r="H1511">
        <f>+INDEX(Sheet1!C:C, MATCH(Hoja1!G1511, Sheet1!D:D, 0))</f>
        <v>523031.6</v>
      </c>
      <c r="I1511">
        <f>+INDEX(Sheet1!G:G, MATCH(Hoja1!G1511, Sheet1!I:I, 0))</f>
        <v>118758</v>
      </c>
      <c r="J1511" s="2">
        <f>+INDEX(Sheet1!H:H, MATCH(Hoja1!G1511, Sheet1!I:I, 0))</f>
        <v>1.837670968571796E-2</v>
      </c>
      <c r="K1511" s="2">
        <f>+INDEX(Sheet1!L:L, MATCH(Hoja1!G1511,Sheet1!M:M, 0))</f>
        <v>10.7</v>
      </c>
    </row>
    <row r="1512" spans="1:11" ht="16" x14ac:dyDescent="0.25">
      <c r="A1512" t="s">
        <v>1172</v>
      </c>
      <c r="B1512">
        <v>11</v>
      </c>
      <c r="C1512">
        <v>2023</v>
      </c>
      <c r="D1512" t="s">
        <v>92</v>
      </c>
      <c r="E1512">
        <v>3.5</v>
      </c>
      <c r="F1512">
        <v>7126489</v>
      </c>
      <c r="G1512" s="1" t="str">
        <f t="shared" si="23"/>
        <v>Tennessee2023</v>
      </c>
      <c r="H1512">
        <f>+INDEX(Sheet1!C:C, MATCH(Hoja1!G1512, Sheet1!D:D, 0))</f>
        <v>523031.6</v>
      </c>
      <c r="I1512">
        <f>+INDEX(Sheet1!G:G, MATCH(Hoja1!G1512, Sheet1!I:I, 0))</f>
        <v>118758</v>
      </c>
      <c r="J1512" s="2">
        <f>+INDEX(Sheet1!H:H, MATCH(Hoja1!G1512, Sheet1!I:I, 0))</f>
        <v>1.837670968571796E-2</v>
      </c>
      <c r="K1512" s="2">
        <f>+INDEX(Sheet1!L:L, MATCH(Hoja1!G1512,Sheet1!M:M, 0))</f>
        <v>10.7</v>
      </c>
    </row>
    <row r="1513" spans="1:11" ht="16" x14ac:dyDescent="0.25">
      <c r="A1513" t="s">
        <v>1172</v>
      </c>
      <c r="B1513">
        <v>12</v>
      </c>
      <c r="C1513">
        <v>2023</v>
      </c>
      <c r="D1513" t="s">
        <v>1199</v>
      </c>
      <c r="E1513">
        <v>3.4</v>
      </c>
      <c r="F1513">
        <v>7126489</v>
      </c>
      <c r="G1513" s="1" t="str">
        <f t="shared" si="23"/>
        <v>Tennessee2023</v>
      </c>
      <c r="H1513">
        <f>+INDEX(Sheet1!C:C, MATCH(Hoja1!G1513, Sheet1!D:D, 0))</f>
        <v>523031.6</v>
      </c>
      <c r="I1513">
        <f>+INDEX(Sheet1!G:G, MATCH(Hoja1!G1513, Sheet1!I:I, 0))</f>
        <v>118758</v>
      </c>
      <c r="J1513" s="2">
        <f>+INDEX(Sheet1!H:H, MATCH(Hoja1!G1513, Sheet1!I:I, 0))</f>
        <v>1.837670968571796E-2</v>
      </c>
      <c r="K1513" s="2">
        <f>+INDEX(Sheet1!L:L, MATCH(Hoja1!G1513,Sheet1!M:M, 0))</f>
        <v>10.7</v>
      </c>
    </row>
    <row r="1514" spans="1:11" ht="16" x14ac:dyDescent="0.25">
      <c r="A1514" t="s">
        <v>1200</v>
      </c>
      <c r="B1514">
        <v>1</v>
      </c>
      <c r="C1514">
        <v>2021</v>
      </c>
      <c r="D1514" t="s">
        <v>368</v>
      </c>
      <c r="E1514">
        <v>6.7</v>
      </c>
      <c r="F1514">
        <v>29561286</v>
      </c>
      <c r="G1514" s="1" t="str">
        <f t="shared" si="23"/>
        <v>Texas2021</v>
      </c>
      <c r="H1514">
        <f>+INDEX(Sheet1!C:C, MATCH(Hoja1!G1514, Sheet1!D:D, 0))</f>
        <v>2088972.3</v>
      </c>
      <c r="I1514">
        <f>+INDEX(Sheet1!G:G, MATCH(Hoja1!G1514, Sheet1!I:I, 0))</f>
        <v>112702</v>
      </c>
      <c r="J1514" s="2">
        <f>+INDEX(Sheet1!H:H, MATCH(Hoja1!G1514, Sheet1!I:I, 0))</f>
        <v>5.9448382184286226E-2</v>
      </c>
      <c r="K1514" s="2">
        <f>+INDEX(Sheet1!L:L, MATCH(Hoja1!G1514,Sheet1!M:M, 0))</f>
        <v>13.5</v>
      </c>
    </row>
    <row r="1515" spans="1:11" ht="16" x14ac:dyDescent="0.25">
      <c r="A1515" t="s">
        <v>1200</v>
      </c>
      <c r="B1515">
        <v>2</v>
      </c>
      <c r="C1515">
        <v>2021</v>
      </c>
      <c r="D1515" t="s">
        <v>47</v>
      </c>
      <c r="E1515">
        <v>6.6</v>
      </c>
      <c r="F1515">
        <v>29561286</v>
      </c>
      <c r="G1515" s="1" t="str">
        <f t="shared" si="23"/>
        <v>Texas2021</v>
      </c>
      <c r="H1515">
        <f>+INDEX(Sheet1!C:C, MATCH(Hoja1!G1515, Sheet1!D:D, 0))</f>
        <v>2088972.3</v>
      </c>
      <c r="I1515">
        <f>+INDEX(Sheet1!G:G, MATCH(Hoja1!G1515, Sheet1!I:I, 0))</f>
        <v>112702</v>
      </c>
      <c r="J1515" s="2">
        <f>+INDEX(Sheet1!H:H, MATCH(Hoja1!G1515, Sheet1!I:I, 0))</f>
        <v>5.9448382184286226E-2</v>
      </c>
      <c r="K1515" s="2">
        <f>+INDEX(Sheet1!L:L, MATCH(Hoja1!G1515,Sheet1!M:M, 0))</f>
        <v>13.5</v>
      </c>
    </row>
    <row r="1516" spans="1:11" ht="16" x14ac:dyDescent="0.25">
      <c r="A1516" t="s">
        <v>1200</v>
      </c>
      <c r="B1516">
        <v>3</v>
      </c>
      <c r="C1516">
        <v>2021</v>
      </c>
      <c r="D1516" t="s">
        <v>1201</v>
      </c>
      <c r="E1516">
        <v>6.4</v>
      </c>
      <c r="F1516">
        <v>29561286</v>
      </c>
      <c r="G1516" s="1" t="str">
        <f t="shared" si="23"/>
        <v>Texas2021</v>
      </c>
      <c r="H1516">
        <f>+INDEX(Sheet1!C:C, MATCH(Hoja1!G1516, Sheet1!D:D, 0))</f>
        <v>2088972.3</v>
      </c>
      <c r="I1516">
        <f>+INDEX(Sheet1!G:G, MATCH(Hoja1!G1516, Sheet1!I:I, 0))</f>
        <v>112702</v>
      </c>
      <c r="J1516" s="2">
        <f>+INDEX(Sheet1!H:H, MATCH(Hoja1!G1516, Sheet1!I:I, 0))</f>
        <v>5.9448382184286226E-2</v>
      </c>
      <c r="K1516" s="2">
        <f>+INDEX(Sheet1!L:L, MATCH(Hoja1!G1516,Sheet1!M:M, 0))</f>
        <v>13.5</v>
      </c>
    </row>
    <row r="1517" spans="1:11" ht="16" x14ac:dyDescent="0.25">
      <c r="A1517" t="s">
        <v>1200</v>
      </c>
      <c r="B1517">
        <v>4</v>
      </c>
      <c r="C1517">
        <v>2021</v>
      </c>
      <c r="D1517" t="s">
        <v>1202</v>
      </c>
      <c r="E1517">
        <v>6.2</v>
      </c>
      <c r="F1517">
        <v>29561286</v>
      </c>
      <c r="G1517" s="1" t="str">
        <f t="shared" si="23"/>
        <v>Texas2021</v>
      </c>
      <c r="H1517">
        <f>+INDEX(Sheet1!C:C, MATCH(Hoja1!G1517, Sheet1!D:D, 0))</f>
        <v>2088972.3</v>
      </c>
      <c r="I1517">
        <f>+INDEX(Sheet1!G:G, MATCH(Hoja1!G1517, Sheet1!I:I, 0))</f>
        <v>112702</v>
      </c>
      <c r="J1517" s="2">
        <f>+INDEX(Sheet1!H:H, MATCH(Hoja1!G1517, Sheet1!I:I, 0))</f>
        <v>5.9448382184286226E-2</v>
      </c>
      <c r="K1517" s="2">
        <f>+INDEX(Sheet1!L:L, MATCH(Hoja1!G1517,Sheet1!M:M, 0))</f>
        <v>13.5</v>
      </c>
    </row>
    <row r="1518" spans="1:11" ht="16" x14ac:dyDescent="0.25">
      <c r="A1518" t="s">
        <v>1200</v>
      </c>
      <c r="B1518">
        <v>5</v>
      </c>
      <c r="C1518">
        <v>2021</v>
      </c>
      <c r="D1518" t="s">
        <v>476</v>
      </c>
      <c r="E1518">
        <v>6</v>
      </c>
      <c r="F1518">
        <v>29561286</v>
      </c>
      <c r="G1518" s="1" t="str">
        <f t="shared" si="23"/>
        <v>Texas2021</v>
      </c>
      <c r="H1518">
        <f>+INDEX(Sheet1!C:C, MATCH(Hoja1!G1518, Sheet1!D:D, 0))</f>
        <v>2088972.3</v>
      </c>
      <c r="I1518">
        <f>+INDEX(Sheet1!G:G, MATCH(Hoja1!G1518, Sheet1!I:I, 0))</f>
        <v>112702</v>
      </c>
      <c r="J1518" s="2">
        <f>+INDEX(Sheet1!H:H, MATCH(Hoja1!G1518, Sheet1!I:I, 0))</f>
        <v>5.9448382184286226E-2</v>
      </c>
      <c r="K1518" s="2">
        <f>+INDEX(Sheet1!L:L, MATCH(Hoja1!G1518,Sheet1!M:M, 0))</f>
        <v>13.5</v>
      </c>
    </row>
    <row r="1519" spans="1:11" ht="16" x14ac:dyDescent="0.25">
      <c r="A1519" t="s">
        <v>1200</v>
      </c>
      <c r="B1519">
        <v>6</v>
      </c>
      <c r="C1519">
        <v>2021</v>
      </c>
      <c r="D1519" t="s">
        <v>1203</v>
      </c>
      <c r="E1519">
        <v>5.8</v>
      </c>
      <c r="F1519">
        <v>29561286</v>
      </c>
      <c r="G1519" s="1" t="str">
        <f t="shared" si="23"/>
        <v>Texas2021</v>
      </c>
      <c r="H1519">
        <f>+INDEX(Sheet1!C:C, MATCH(Hoja1!G1519, Sheet1!D:D, 0))</f>
        <v>2088972.3</v>
      </c>
      <c r="I1519">
        <f>+INDEX(Sheet1!G:G, MATCH(Hoja1!G1519, Sheet1!I:I, 0))</f>
        <v>112702</v>
      </c>
      <c r="J1519" s="2">
        <f>+INDEX(Sheet1!H:H, MATCH(Hoja1!G1519, Sheet1!I:I, 0))</f>
        <v>5.9448382184286226E-2</v>
      </c>
      <c r="K1519" s="2">
        <f>+INDEX(Sheet1!L:L, MATCH(Hoja1!G1519,Sheet1!M:M, 0))</f>
        <v>13.5</v>
      </c>
    </row>
    <row r="1520" spans="1:11" ht="16" x14ac:dyDescent="0.25">
      <c r="A1520" t="s">
        <v>1200</v>
      </c>
      <c r="B1520">
        <v>7</v>
      </c>
      <c r="C1520">
        <v>2021</v>
      </c>
      <c r="D1520" t="s">
        <v>1204</v>
      </c>
      <c r="E1520">
        <v>5.6</v>
      </c>
      <c r="F1520">
        <v>29561286</v>
      </c>
      <c r="G1520" s="1" t="str">
        <f t="shared" si="23"/>
        <v>Texas2021</v>
      </c>
      <c r="H1520">
        <f>+INDEX(Sheet1!C:C, MATCH(Hoja1!G1520, Sheet1!D:D, 0))</f>
        <v>2088972.3</v>
      </c>
      <c r="I1520">
        <f>+INDEX(Sheet1!G:G, MATCH(Hoja1!G1520, Sheet1!I:I, 0))</f>
        <v>112702</v>
      </c>
      <c r="J1520" s="2">
        <f>+INDEX(Sheet1!H:H, MATCH(Hoja1!G1520, Sheet1!I:I, 0))</f>
        <v>5.9448382184286226E-2</v>
      </c>
      <c r="K1520" s="2">
        <f>+INDEX(Sheet1!L:L, MATCH(Hoja1!G1520,Sheet1!M:M, 0))</f>
        <v>13.5</v>
      </c>
    </row>
    <row r="1521" spans="1:11" ht="16" x14ac:dyDescent="0.25">
      <c r="A1521" t="s">
        <v>1200</v>
      </c>
      <c r="B1521">
        <v>8</v>
      </c>
      <c r="C1521">
        <v>2021</v>
      </c>
      <c r="D1521" t="s">
        <v>473</v>
      </c>
      <c r="E1521">
        <v>5.3</v>
      </c>
      <c r="F1521">
        <v>29561286</v>
      </c>
      <c r="G1521" s="1" t="str">
        <f t="shared" si="23"/>
        <v>Texas2021</v>
      </c>
      <c r="H1521">
        <f>+INDEX(Sheet1!C:C, MATCH(Hoja1!G1521, Sheet1!D:D, 0))</f>
        <v>2088972.3</v>
      </c>
      <c r="I1521">
        <f>+INDEX(Sheet1!G:G, MATCH(Hoja1!G1521, Sheet1!I:I, 0))</f>
        <v>112702</v>
      </c>
      <c r="J1521" s="2">
        <f>+INDEX(Sheet1!H:H, MATCH(Hoja1!G1521, Sheet1!I:I, 0))</f>
        <v>5.9448382184286226E-2</v>
      </c>
      <c r="K1521" s="2">
        <f>+INDEX(Sheet1!L:L, MATCH(Hoja1!G1521,Sheet1!M:M, 0))</f>
        <v>13.5</v>
      </c>
    </row>
    <row r="1522" spans="1:11" ht="16" x14ac:dyDescent="0.25">
      <c r="A1522" t="s">
        <v>1200</v>
      </c>
      <c r="B1522">
        <v>9</v>
      </c>
      <c r="C1522">
        <v>2021</v>
      </c>
      <c r="D1522" t="s">
        <v>1205</v>
      </c>
      <c r="E1522">
        <v>5.0999999999999996</v>
      </c>
      <c r="F1522">
        <v>29561286</v>
      </c>
      <c r="G1522" s="1" t="str">
        <f t="shared" si="23"/>
        <v>Texas2021</v>
      </c>
      <c r="H1522">
        <f>+INDEX(Sheet1!C:C, MATCH(Hoja1!G1522, Sheet1!D:D, 0))</f>
        <v>2088972.3</v>
      </c>
      <c r="I1522">
        <f>+INDEX(Sheet1!G:G, MATCH(Hoja1!G1522, Sheet1!I:I, 0))</f>
        <v>112702</v>
      </c>
      <c r="J1522" s="2">
        <f>+INDEX(Sheet1!H:H, MATCH(Hoja1!G1522, Sheet1!I:I, 0))</f>
        <v>5.9448382184286226E-2</v>
      </c>
      <c r="K1522" s="2">
        <f>+INDEX(Sheet1!L:L, MATCH(Hoja1!G1522,Sheet1!M:M, 0))</f>
        <v>13.5</v>
      </c>
    </row>
    <row r="1523" spans="1:11" ht="16" x14ac:dyDescent="0.25">
      <c r="A1523" t="s">
        <v>1200</v>
      </c>
      <c r="B1523">
        <v>10</v>
      </c>
      <c r="C1523">
        <v>2021</v>
      </c>
      <c r="D1523" t="s">
        <v>1206</v>
      </c>
      <c r="E1523">
        <v>4.9000000000000004</v>
      </c>
      <c r="F1523">
        <v>29561286</v>
      </c>
      <c r="G1523" s="1" t="str">
        <f t="shared" si="23"/>
        <v>Texas2021</v>
      </c>
      <c r="H1523">
        <f>+INDEX(Sheet1!C:C, MATCH(Hoja1!G1523, Sheet1!D:D, 0))</f>
        <v>2088972.3</v>
      </c>
      <c r="I1523">
        <f>+INDEX(Sheet1!G:G, MATCH(Hoja1!G1523, Sheet1!I:I, 0))</f>
        <v>112702</v>
      </c>
      <c r="J1523" s="2">
        <f>+INDEX(Sheet1!H:H, MATCH(Hoja1!G1523, Sheet1!I:I, 0))</f>
        <v>5.9448382184286226E-2</v>
      </c>
      <c r="K1523" s="2">
        <f>+INDEX(Sheet1!L:L, MATCH(Hoja1!G1523,Sheet1!M:M, 0))</f>
        <v>13.5</v>
      </c>
    </row>
    <row r="1524" spans="1:11" ht="16" x14ac:dyDescent="0.25">
      <c r="A1524" t="s">
        <v>1200</v>
      </c>
      <c r="B1524">
        <v>11</v>
      </c>
      <c r="C1524">
        <v>2021</v>
      </c>
      <c r="D1524" t="s">
        <v>798</v>
      </c>
      <c r="E1524">
        <v>4.5999999999999996</v>
      </c>
      <c r="F1524">
        <v>29561286</v>
      </c>
      <c r="G1524" s="1" t="str">
        <f t="shared" si="23"/>
        <v>Texas2021</v>
      </c>
      <c r="H1524">
        <f>+INDEX(Sheet1!C:C, MATCH(Hoja1!G1524, Sheet1!D:D, 0))</f>
        <v>2088972.3</v>
      </c>
      <c r="I1524">
        <f>+INDEX(Sheet1!G:G, MATCH(Hoja1!G1524, Sheet1!I:I, 0))</f>
        <v>112702</v>
      </c>
      <c r="J1524" s="2">
        <f>+INDEX(Sheet1!H:H, MATCH(Hoja1!G1524, Sheet1!I:I, 0))</f>
        <v>5.9448382184286226E-2</v>
      </c>
      <c r="K1524" s="2">
        <f>+INDEX(Sheet1!L:L, MATCH(Hoja1!G1524,Sheet1!M:M, 0))</f>
        <v>13.5</v>
      </c>
    </row>
    <row r="1525" spans="1:11" ht="16" x14ac:dyDescent="0.25">
      <c r="A1525" t="s">
        <v>1200</v>
      </c>
      <c r="B1525">
        <v>12</v>
      </c>
      <c r="C1525">
        <v>2021</v>
      </c>
      <c r="D1525" t="s">
        <v>1207</v>
      </c>
      <c r="E1525">
        <v>4.5</v>
      </c>
      <c r="F1525">
        <v>29561286</v>
      </c>
      <c r="G1525" s="1" t="str">
        <f t="shared" si="23"/>
        <v>Texas2021</v>
      </c>
      <c r="H1525">
        <f>+INDEX(Sheet1!C:C, MATCH(Hoja1!G1525, Sheet1!D:D, 0))</f>
        <v>2088972.3</v>
      </c>
      <c r="I1525">
        <f>+INDEX(Sheet1!G:G, MATCH(Hoja1!G1525, Sheet1!I:I, 0))</f>
        <v>112702</v>
      </c>
      <c r="J1525" s="2">
        <f>+INDEX(Sheet1!H:H, MATCH(Hoja1!G1525, Sheet1!I:I, 0))</f>
        <v>5.9448382184286226E-2</v>
      </c>
      <c r="K1525" s="2">
        <f>+INDEX(Sheet1!L:L, MATCH(Hoja1!G1525,Sheet1!M:M, 0))</f>
        <v>13.5</v>
      </c>
    </row>
    <row r="1526" spans="1:11" ht="16" x14ac:dyDescent="0.25">
      <c r="A1526" t="s">
        <v>1200</v>
      </c>
      <c r="B1526">
        <v>1</v>
      </c>
      <c r="C1526">
        <v>2022</v>
      </c>
      <c r="D1526" t="s">
        <v>1208</v>
      </c>
      <c r="E1526">
        <v>4.3</v>
      </c>
      <c r="F1526">
        <v>30029848</v>
      </c>
      <c r="G1526" s="1" t="str">
        <f t="shared" si="23"/>
        <v>Texas2022</v>
      </c>
      <c r="H1526">
        <f>+INDEX(Sheet1!C:C, MATCH(Hoja1!G1526, Sheet1!D:D, 0))</f>
        <v>2436925</v>
      </c>
      <c r="I1526">
        <f>+INDEX(Sheet1!G:G, MATCH(Hoja1!G1526, Sheet1!I:I, 0))</f>
        <v>117117</v>
      </c>
      <c r="J1526" s="2">
        <f>+INDEX(Sheet1!H:H, MATCH(Hoja1!G1526, Sheet1!I:I, 0))</f>
        <v>3.9174105162286386E-2</v>
      </c>
      <c r="K1526" s="2">
        <f>+INDEX(Sheet1!L:L, MATCH(Hoja1!G1526,Sheet1!M:M, 0))</f>
        <v>13.5</v>
      </c>
    </row>
    <row r="1527" spans="1:11" ht="16" x14ac:dyDescent="0.25">
      <c r="A1527" t="s">
        <v>1200</v>
      </c>
      <c r="B1527">
        <v>2</v>
      </c>
      <c r="C1527">
        <v>2022</v>
      </c>
      <c r="D1527" t="s">
        <v>1209</v>
      </c>
      <c r="E1527">
        <v>4.0999999999999996</v>
      </c>
      <c r="F1527">
        <v>30029848</v>
      </c>
      <c r="G1527" s="1" t="str">
        <f t="shared" si="23"/>
        <v>Texas2022</v>
      </c>
      <c r="H1527">
        <f>+INDEX(Sheet1!C:C, MATCH(Hoja1!G1527, Sheet1!D:D, 0))</f>
        <v>2436925</v>
      </c>
      <c r="I1527">
        <f>+INDEX(Sheet1!G:G, MATCH(Hoja1!G1527, Sheet1!I:I, 0))</f>
        <v>117117</v>
      </c>
      <c r="J1527" s="2">
        <f>+INDEX(Sheet1!H:H, MATCH(Hoja1!G1527, Sheet1!I:I, 0))</f>
        <v>3.9174105162286386E-2</v>
      </c>
      <c r="K1527" s="2">
        <f>+INDEX(Sheet1!L:L, MATCH(Hoja1!G1527,Sheet1!M:M, 0))</f>
        <v>13.5</v>
      </c>
    </row>
    <row r="1528" spans="1:11" ht="16" x14ac:dyDescent="0.25">
      <c r="A1528" t="s">
        <v>1200</v>
      </c>
      <c r="B1528">
        <v>3</v>
      </c>
      <c r="C1528">
        <v>2022</v>
      </c>
      <c r="D1528" t="s">
        <v>1210</v>
      </c>
      <c r="E1528">
        <v>3.9</v>
      </c>
      <c r="F1528">
        <v>30029848</v>
      </c>
      <c r="G1528" s="1" t="str">
        <f t="shared" si="23"/>
        <v>Texas2022</v>
      </c>
      <c r="H1528">
        <f>+INDEX(Sheet1!C:C, MATCH(Hoja1!G1528, Sheet1!D:D, 0))</f>
        <v>2436925</v>
      </c>
      <c r="I1528">
        <f>+INDEX(Sheet1!G:G, MATCH(Hoja1!G1528, Sheet1!I:I, 0))</f>
        <v>117117</v>
      </c>
      <c r="J1528" s="2">
        <f>+INDEX(Sheet1!H:H, MATCH(Hoja1!G1528, Sheet1!I:I, 0))</f>
        <v>3.9174105162286386E-2</v>
      </c>
      <c r="K1528" s="2">
        <f>+INDEX(Sheet1!L:L, MATCH(Hoja1!G1528,Sheet1!M:M, 0))</f>
        <v>13.5</v>
      </c>
    </row>
    <row r="1529" spans="1:11" ht="16" x14ac:dyDescent="0.25">
      <c r="A1529" t="s">
        <v>1200</v>
      </c>
      <c r="B1529">
        <v>4</v>
      </c>
      <c r="C1529">
        <v>2022</v>
      </c>
      <c r="D1529" t="s">
        <v>1211</v>
      </c>
      <c r="E1529">
        <v>3.8</v>
      </c>
      <c r="F1529">
        <v>30029848</v>
      </c>
      <c r="G1529" s="1" t="str">
        <f t="shared" si="23"/>
        <v>Texas2022</v>
      </c>
      <c r="H1529">
        <f>+INDEX(Sheet1!C:C, MATCH(Hoja1!G1529, Sheet1!D:D, 0))</f>
        <v>2436925</v>
      </c>
      <c r="I1529">
        <f>+INDEX(Sheet1!G:G, MATCH(Hoja1!G1529, Sheet1!I:I, 0))</f>
        <v>117117</v>
      </c>
      <c r="J1529" s="2">
        <f>+INDEX(Sheet1!H:H, MATCH(Hoja1!G1529, Sheet1!I:I, 0))</f>
        <v>3.9174105162286386E-2</v>
      </c>
      <c r="K1529" s="2">
        <f>+INDEX(Sheet1!L:L, MATCH(Hoja1!G1529,Sheet1!M:M, 0))</f>
        <v>13.5</v>
      </c>
    </row>
    <row r="1530" spans="1:11" ht="16" x14ac:dyDescent="0.25">
      <c r="A1530" t="s">
        <v>1200</v>
      </c>
      <c r="B1530">
        <v>5</v>
      </c>
      <c r="C1530">
        <v>2022</v>
      </c>
      <c r="D1530" t="s">
        <v>1212</v>
      </c>
      <c r="E1530">
        <v>3.8</v>
      </c>
      <c r="F1530">
        <v>30029848</v>
      </c>
      <c r="G1530" s="1" t="str">
        <f t="shared" si="23"/>
        <v>Texas2022</v>
      </c>
      <c r="H1530">
        <f>+INDEX(Sheet1!C:C, MATCH(Hoja1!G1530, Sheet1!D:D, 0))</f>
        <v>2436925</v>
      </c>
      <c r="I1530">
        <f>+INDEX(Sheet1!G:G, MATCH(Hoja1!G1530, Sheet1!I:I, 0))</f>
        <v>117117</v>
      </c>
      <c r="J1530" s="2">
        <f>+INDEX(Sheet1!H:H, MATCH(Hoja1!G1530, Sheet1!I:I, 0))</f>
        <v>3.9174105162286386E-2</v>
      </c>
      <c r="K1530" s="2">
        <f>+INDEX(Sheet1!L:L, MATCH(Hoja1!G1530,Sheet1!M:M, 0))</f>
        <v>13.5</v>
      </c>
    </row>
    <row r="1531" spans="1:11" ht="16" x14ac:dyDescent="0.25">
      <c r="A1531" t="s">
        <v>1200</v>
      </c>
      <c r="B1531">
        <v>6</v>
      </c>
      <c r="C1531">
        <v>2022</v>
      </c>
      <c r="D1531" t="s">
        <v>825</v>
      </c>
      <c r="E1531">
        <v>3.8</v>
      </c>
      <c r="F1531">
        <v>30029848</v>
      </c>
      <c r="G1531" s="1" t="str">
        <f t="shared" si="23"/>
        <v>Texas2022</v>
      </c>
      <c r="H1531">
        <f>+INDEX(Sheet1!C:C, MATCH(Hoja1!G1531, Sheet1!D:D, 0))</f>
        <v>2436925</v>
      </c>
      <c r="I1531">
        <f>+INDEX(Sheet1!G:G, MATCH(Hoja1!G1531, Sheet1!I:I, 0))</f>
        <v>117117</v>
      </c>
      <c r="J1531" s="2">
        <f>+INDEX(Sheet1!H:H, MATCH(Hoja1!G1531, Sheet1!I:I, 0))</f>
        <v>3.9174105162286386E-2</v>
      </c>
      <c r="K1531" s="2">
        <f>+INDEX(Sheet1!L:L, MATCH(Hoja1!G1531,Sheet1!M:M, 0))</f>
        <v>13.5</v>
      </c>
    </row>
    <row r="1532" spans="1:11" ht="16" x14ac:dyDescent="0.25">
      <c r="A1532" t="s">
        <v>1200</v>
      </c>
      <c r="B1532">
        <v>7</v>
      </c>
      <c r="C1532">
        <v>2022</v>
      </c>
      <c r="D1532" t="s">
        <v>1213</v>
      </c>
      <c r="E1532">
        <v>3.8</v>
      </c>
      <c r="F1532">
        <v>30029848</v>
      </c>
      <c r="G1532" s="1" t="str">
        <f t="shared" si="23"/>
        <v>Texas2022</v>
      </c>
      <c r="H1532">
        <f>+INDEX(Sheet1!C:C, MATCH(Hoja1!G1532, Sheet1!D:D, 0))</f>
        <v>2436925</v>
      </c>
      <c r="I1532">
        <f>+INDEX(Sheet1!G:G, MATCH(Hoja1!G1532, Sheet1!I:I, 0))</f>
        <v>117117</v>
      </c>
      <c r="J1532" s="2">
        <f>+INDEX(Sheet1!H:H, MATCH(Hoja1!G1532, Sheet1!I:I, 0))</f>
        <v>3.9174105162286386E-2</v>
      </c>
      <c r="K1532" s="2">
        <f>+INDEX(Sheet1!L:L, MATCH(Hoja1!G1532,Sheet1!M:M, 0))</f>
        <v>13.5</v>
      </c>
    </row>
    <row r="1533" spans="1:11" ht="16" x14ac:dyDescent="0.25">
      <c r="A1533" t="s">
        <v>1200</v>
      </c>
      <c r="B1533">
        <v>8</v>
      </c>
      <c r="C1533">
        <v>2022</v>
      </c>
      <c r="D1533" t="s">
        <v>1214</v>
      </c>
      <c r="E1533">
        <v>3.8</v>
      </c>
      <c r="F1533">
        <v>30029848</v>
      </c>
      <c r="G1533" s="1" t="str">
        <f t="shared" si="23"/>
        <v>Texas2022</v>
      </c>
      <c r="H1533">
        <f>+INDEX(Sheet1!C:C, MATCH(Hoja1!G1533, Sheet1!D:D, 0))</f>
        <v>2436925</v>
      </c>
      <c r="I1533">
        <f>+INDEX(Sheet1!G:G, MATCH(Hoja1!G1533, Sheet1!I:I, 0))</f>
        <v>117117</v>
      </c>
      <c r="J1533" s="2">
        <f>+INDEX(Sheet1!H:H, MATCH(Hoja1!G1533, Sheet1!I:I, 0))</f>
        <v>3.9174105162286386E-2</v>
      </c>
      <c r="K1533" s="2">
        <f>+INDEX(Sheet1!L:L, MATCH(Hoja1!G1533,Sheet1!M:M, 0))</f>
        <v>13.5</v>
      </c>
    </row>
    <row r="1534" spans="1:11" ht="16" x14ac:dyDescent="0.25">
      <c r="A1534" t="s">
        <v>1200</v>
      </c>
      <c r="B1534">
        <v>9</v>
      </c>
      <c r="C1534">
        <v>2022</v>
      </c>
      <c r="D1534" t="s">
        <v>1159</v>
      </c>
      <c r="E1534">
        <v>3.9</v>
      </c>
      <c r="F1534">
        <v>30029848</v>
      </c>
      <c r="G1534" s="1" t="str">
        <f t="shared" si="23"/>
        <v>Texas2022</v>
      </c>
      <c r="H1534">
        <f>+INDEX(Sheet1!C:C, MATCH(Hoja1!G1534, Sheet1!D:D, 0))</f>
        <v>2436925</v>
      </c>
      <c r="I1534">
        <f>+INDEX(Sheet1!G:G, MATCH(Hoja1!G1534, Sheet1!I:I, 0))</f>
        <v>117117</v>
      </c>
      <c r="J1534" s="2">
        <f>+INDEX(Sheet1!H:H, MATCH(Hoja1!G1534, Sheet1!I:I, 0))</f>
        <v>3.9174105162286386E-2</v>
      </c>
      <c r="K1534" s="2">
        <f>+INDEX(Sheet1!L:L, MATCH(Hoja1!G1534,Sheet1!M:M, 0))</f>
        <v>13.5</v>
      </c>
    </row>
    <row r="1535" spans="1:11" ht="16" x14ac:dyDescent="0.25">
      <c r="A1535" t="s">
        <v>1200</v>
      </c>
      <c r="B1535">
        <v>10</v>
      </c>
      <c r="C1535">
        <v>2022</v>
      </c>
      <c r="D1535" t="s">
        <v>144</v>
      </c>
      <c r="E1535">
        <v>4</v>
      </c>
      <c r="F1535">
        <v>30029848</v>
      </c>
      <c r="G1535" s="1" t="str">
        <f t="shared" si="23"/>
        <v>Texas2022</v>
      </c>
      <c r="H1535">
        <f>+INDEX(Sheet1!C:C, MATCH(Hoja1!G1535, Sheet1!D:D, 0))</f>
        <v>2436925</v>
      </c>
      <c r="I1535">
        <f>+INDEX(Sheet1!G:G, MATCH(Hoja1!G1535, Sheet1!I:I, 0))</f>
        <v>117117</v>
      </c>
      <c r="J1535" s="2">
        <f>+INDEX(Sheet1!H:H, MATCH(Hoja1!G1535, Sheet1!I:I, 0))</f>
        <v>3.9174105162286386E-2</v>
      </c>
      <c r="K1535" s="2">
        <f>+INDEX(Sheet1!L:L, MATCH(Hoja1!G1535,Sheet1!M:M, 0))</f>
        <v>13.5</v>
      </c>
    </row>
    <row r="1536" spans="1:11" ht="16" x14ac:dyDescent="0.25">
      <c r="A1536" t="s">
        <v>1200</v>
      </c>
      <c r="B1536">
        <v>11</v>
      </c>
      <c r="C1536">
        <v>2022</v>
      </c>
      <c r="D1536" t="s">
        <v>1215</v>
      </c>
      <c r="E1536">
        <v>4</v>
      </c>
      <c r="F1536">
        <v>30029848</v>
      </c>
      <c r="G1536" s="1" t="str">
        <f t="shared" si="23"/>
        <v>Texas2022</v>
      </c>
      <c r="H1536">
        <f>+INDEX(Sheet1!C:C, MATCH(Hoja1!G1536, Sheet1!D:D, 0))</f>
        <v>2436925</v>
      </c>
      <c r="I1536">
        <f>+INDEX(Sheet1!G:G, MATCH(Hoja1!G1536, Sheet1!I:I, 0))</f>
        <v>117117</v>
      </c>
      <c r="J1536" s="2">
        <f>+INDEX(Sheet1!H:H, MATCH(Hoja1!G1536, Sheet1!I:I, 0))</f>
        <v>3.9174105162286386E-2</v>
      </c>
      <c r="K1536" s="2">
        <f>+INDEX(Sheet1!L:L, MATCH(Hoja1!G1536,Sheet1!M:M, 0))</f>
        <v>13.5</v>
      </c>
    </row>
    <row r="1537" spans="1:11" ht="16" x14ac:dyDescent="0.25">
      <c r="A1537" t="s">
        <v>1200</v>
      </c>
      <c r="B1537">
        <v>12</v>
      </c>
      <c r="C1537">
        <v>2022</v>
      </c>
      <c r="D1537" t="s">
        <v>1216</v>
      </c>
      <c r="E1537">
        <v>4.0999999999999996</v>
      </c>
      <c r="F1537">
        <v>30029848</v>
      </c>
      <c r="G1537" s="1" t="str">
        <f t="shared" si="23"/>
        <v>Texas2022</v>
      </c>
      <c r="H1537">
        <f>+INDEX(Sheet1!C:C, MATCH(Hoja1!G1537, Sheet1!D:D, 0))</f>
        <v>2436925</v>
      </c>
      <c r="I1537">
        <f>+INDEX(Sheet1!G:G, MATCH(Hoja1!G1537, Sheet1!I:I, 0))</f>
        <v>117117</v>
      </c>
      <c r="J1537" s="2">
        <f>+INDEX(Sheet1!H:H, MATCH(Hoja1!G1537, Sheet1!I:I, 0))</f>
        <v>3.9174105162286386E-2</v>
      </c>
      <c r="K1537" s="2">
        <f>+INDEX(Sheet1!L:L, MATCH(Hoja1!G1537,Sheet1!M:M, 0))</f>
        <v>13.5</v>
      </c>
    </row>
    <row r="1538" spans="1:11" ht="16" x14ac:dyDescent="0.25">
      <c r="A1538" t="s">
        <v>1200</v>
      </c>
      <c r="B1538">
        <v>1</v>
      </c>
      <c r="C1538">
        <v>2023</v>
      </c>
      <c r="D1538" t="s">
        <v>1217</v>
      </c>
      <c r="E1538">
        <v>4.0999999999999996</v>
      </c>
      <c r="F1538">
        <v>30503301</v>
      </c>
      <c r="G1538" s="1" t="str">
        <f t="shared" si="23"/>
        <v>Texas2023</v>
      </c>
      <c r="H1538">
        <f>+INDEX(Sheet1!C:C, MATCH(Hoja1!G1538, Sheet1!D:D, 0))</f>
        <v>2583866.2000000002</v>
      </c>
      <c r="I1538">
        <f>+INDEX(Sheet1!G:G, MATCH(Hoja1!G1538, Sheet1!I:I, 0))</f>
        <v>125777</v>
      </c>
      <c r="J1538" s="2">
        <f>+INDEX(Sheet1!H:H, MATCH(Hoja1!G1538, Sheet1!I:I, 0))</f>
        <v>7.3943150866227783E-2</v>
      </c>
      <c r="K1538" s="2">
        <f>+INDEX(Sheet1!L:L, MATCH(Hoja1!G1538,Sheet1!M:M, 0))</f>
        <v>12.3</v>
      </c>
    </row>
    <row r="1539" spans="1:11" ht="16" x14ac:dyDescent="0.25">
      <c r="A1539" t="s">
        <v>1200</v>
      </c>
      <c r="B1539">
        <v>2</v>
      </c>
      <c r="C1539">
        <v>2023</v>
      </c>
      <c r="D1539" t="s">
        <v>873</v>
      </c>
      <c r="E1539">
        <v>4</v>
      </c>
      <c r="F1539">
        <v>30503301</v>
      </c>
      <c r="G1539" s="1" t="str">
        <f t="shared" ref="G1539:G1602" si="24">+A1539&amp;C1539</f>
        <v>Texas2023</v>
      </c>
      <c r="H1539">
        <f>+INDEX(Sheet1!C:C, MATCH(Hoja1!G1539, Sheet1!D:D, 0))</f>
        <v>2583866.2000000002</v>
      </c>
      <c r="I1539">
        <f>+INDEX(Sheet1!G:G, MATCH(Hoja1!G1539, Sheet1!I:I, 0))</f>
        <v>125777</v>
      </c>
      <c r="J1539" s="2">
        <f>+INDEX(Sheet1!H:H, MATCH(Hoja1!G1539, Sheet1!I:I, 0))</f>
        <v>7.3943150866227783E-2</v>
      </c>
      <c r="K1539" s="2">
        <f>+INDEX(Sheet1!L:L, MATCH(Hoja1!G1539,Sheet1!M:M, 0))</f>
        <v>12.3</v>
      </c>
    </row>
    <row r="1540" spans="1:11" ht="16" x14ac:dyDescent="0.25">
      <c r="A1540" t="s">
        <v>1200</v>
      </c>
      <c r="B1540">
        <v>3</v>
      </c>
      <c r="C1540">
        <v>2023</v>
      </c>
      <c r="D1540" t="s">
        <v>1218</v>
      </c>
      <c r="E1540">
        <v>4</v>
      </c>
      <c r="F1540">
        <v>30503301</v>
      </c>
      <c r="G1540" s="1" t="str">
        <f t="shared" si="24"/>
        <v>Texas2023</v>
      </c>
      <c r="H1540">
        <f>+INDEX(Sheet1!C:C, MATCH(Hoja1!G1540, Sheet1!D:D, 0))</f>
        <v>2583866.2000000002</v>
      </c>
      <c r="I1540">
        <f>+INDEX(Sheet1!G:G, MATCH(Hoja1!G1540, Sheet1!I:I, 0))</f>
        <v>125777</v>
      </c>
      <c r="J1540" s="2">
        <f>+INDEX(Sheet1!H:H, MATCH(Hoja1!G1540, Sheet1!I:I, 0))</f>
        <v>7.3943150866227783E-2</v>
      </c>
      <c r="K1540" s="2">
        <f>+INDEX(Sheet1!L:L, MATCH(Hoja1!G1540,Sheet1!M:M, 0))</f>
        <v>12.3</v>
      </c>
    </row>
    <row r="1541" spans="1:11" ht="16" x14ac:dyDescent="0.25">
      <c r="A1541" t="s">
        <v>1200</v>
      </c>
      <c r="B1541">
        <v>4</v>
      </c>
      <c r="C1541">
        <v>2023</v>
      </c>
      <c r="D1541" t="s">
        <v>1219</v>
      </c>
      <c r="E1541">
        <v>4</v>
      </c>
      <c r="F1541">
        <v>30503301</v>
      </c>
      <c r="G1541" s="1" t="str">
        <f t="shared" si="24"/>
        <v>Texas2023</v>
      </c>
      <c r="H1541">
        <f>+INDEX(Sheet1!C:C, MATCH(Hoja1!G1541, Sheet1!D:D, 0))</f>
        <v>2583866.2000000002</v>
      </c>
      <c r="I1541">
        <f>+INDEX(Sheet1!G:G, MATCH(Hoja1!G1541, Sheet1!I:I, 0))</f>
        <v>125777</v>
      </c>
      <c r="J1541" s="2">
        <f>+INDEX(Sheet1!H:H, MATCH(Hoja1!G1541, Sheet1!I:I, 0))</f>
        <v>7.3943150866227783E-2</v>
      </c>
      <c r="K1541" s="2">
        <f>+INDEX(Sheet1!L:L, MATCH(Hoja1!G1541,Sheet1!M:M, 0))</f>
        <v>12.3</v>
      </c>
    </row>
    <row r="1542" spans="1:11" ht="16" x14ac:dyDescent="0.25">
      <c r="A1542" t="s">
        <v>1200</v>
      </c>
      <c r="B1542">
        <v>5</v>
      </c>
      <c r="C1542">
        <v>2023</v>
      </c>
      <c r="D1542" t="s">
        <v>1220</v>
      </c>
      <c r="E1542">
        <v>4</v>
      </c>
      <c r="F1542">
        <v>30503301</v>
      </c>
      <c r="G1542" s="1" t="str">
        <f t="shared" si="24"/>
        <v>Texas2023</v>
      </c>
      <c r="H1542">
        <f>+INDEX(Sheet1!C:C, MATCH(Hoja1!G1542, Sheet1!D:D, 0))</f>
        <v>2583866.2000000002</v>
      </c>
      <c r="I1542">
        <f>+INDEX(Sheet1!G:G, MATCH(Hoja1!G1542, Sheet1!I:I, 0))</f>
        <v>125777</v>
      </c>
      <c r="J1542" s="2">
        <f>+INDEX(Sheet1!H:H, MATCH(Hoja1!G1542, Sheet1!I:I, 0))</f>
        <v>7.3943150866227783E-2</v>
      </c>
      <c r="K1542" s="2">
        <f>+INDEX(Sheet1!L:L, MATCH(Hoja1!G1542,Sheet1!M:M, 0))</f>
        <v>12.3</v>
      </c>
    </row>
    <row r="1543" spans="1:11" ht="16" x14ac:dyDescent="0.25">
      <c r="A1543" t="s">
        <v>1200</v>
      </c>
      <c r="B1543">
        <v>6</v>
      </c>
      <c r="C1543">
        <v>2023</v>
      </c>
      <c r="D1543" t="s">
        <v>1221</v>
      </c>
      <c r="E1543">
        <v>3.9</v>
      </c>
      <c r="F1543">
        <v>30503301</v>
      </c>
      <c r="G1543" s="1" t="str">
        <f t="shared" si="24"/>
        <v>Texas2023</v>
      </c>
      <c r="H1543">
        <f>+INDEX(Sheet1!C:C, MATCH(Hoja1!G1543, Sheet1!D:D, 0))</f>
        <v>2583866.2000000002</v>
      </c>
      <c r="I1543">
        <f>+INDEX(Sheet1!G:G, MATCH(Hoja1!G1543, Sheet1!I:I, 0))</f>
        <v>125777</v>
      </c>
      <c r="J1543" s="2">
        <f>+INDEX(Sheet1!H:H, MATCH(Hoja1!G1543, Sheet1!I:I, 0))</f>
        <v>7.3943150866227783E-2</v>
      </c>
      <c r="K1543" s="2">
        <f>+INDEX(Sheet1!L:L, MATCH(Hoja1!G1543,Sheet1!M:M, 0))</f>
        <v>12.3</v>
      </c>
    </row>
    <row r="1544" spans="1:11" ht="16" x14ac:dyDescent="0.25">
      <c r="A1544" t="s">
        <v>1200</v>
      </c>
      <c r="B1544">
        <v>7</v>
      </c>
      <c r="C1544">
        <v>2023</v>
      </c>
      <c r="D1544" t="s">
        <v>1222</v>
      </c>
      <c r="E1544">
        <v>3.9</v>
      </c>
      <c r="F1544">
        <v>30503301</v>
      </c>
      <c r="G1544" s="1" t="str">
        <f t="shared" si="24"/>
        <v>Texas2023</v>
      </c>
      <c r="H1544">
        <f>+INDEX(Sheet1!C:C, MATCH(Hoja1!G1544, Sheet1!D:D, 0))</f>
        <v>2583866.2000000002</v>
      </c>
      <c r="I1544">
        <f>+INDEX(Sheet1!G:G, MATCH(Hoja1!G1544, Sheet1!I:I, 0))</f>
        <v>125777</v>
      </c>
      <c r="J1544" s="2">
        <f>+INDEX(Sheet1!H:H, MATCH(Hoja1!G1544, Sheet1!I:I, 0))</f>
        <v>7.3943150866227783E-2</v>
      </c>
      <c r="K1544" s="2">
        <f>+INDEX(Sheet1!L:L, MATCH(Hoja1!G1544,Sheet1!M:M, 0))</f>
        <v>12.3</v>
      </c>
    </row>
    <row r="1545" spans="1:11" ht="16" x14ac:dyDescent="0.25">
      <c r="A1545" t="s">
        <v>1200</v>
      </c>
      <c r="B1545">
        <v>8</v>
      </c>
      <c r="C1545">
        <v>2023</v>
      </c>
      <c r="D1545" t="s">
        <v>726</v>
      </c>
      <c r="E1545">
        <v>3.9</v>
      </c>
      <c r="F1545">
        <v>30503301</v>
      </c>
      <c r="G1545" s="1" t="str">
        <f t="shared" si="24"/>
        <v>Texas2023</v>
      </c>
      <c r="H1545">
        <f>+INDEX(Sheet1!C:C, MATCH(Hoja1!G1545, Sheet1!D:D, 0))</f>
        <v>2583866.2000000002</v>
      </c>
      <c r="I1545">
        <f>+INDEX(Sheet1!G:G, MATCH(Hoja1!G1545, Sheet1!I:I, 0))</f>
        <v>125777</v>
      </c>
      <c r="J1545" s="2">
        <f>+INDEX(Sheet1!H:H, MATCH(Hoja1!G1545, Sheet1!I:I, 0))</f>
        <v>7.3943150866227783E-2</v>
      </c>
      <c r="K1545" s="2">
        <f>+INDEX(Sheet1!L:L, MATCH(Hoja1!G1545,Sheet1!M:M, 0))</f>
        <v>12.3</v>
      </c>
    </row>
    <row r="1546" spans="1:11" ht="16" x14ac:dyDescent="0.25">
      <c r="A1546" t="s">
        <v>1200</v>
      </c>
      <c r="B1546">
        <v>9</v>
      </c>
      <c r="C1546">
        <v>2023</v>
      </c>
      <c r="D1546" t="s">
        <v>1223</v>
      </c>
      <c r="E1546">
        <v>3.9</v>
      </c>
      <c r="F1546">
        <v>30503301</v>
      </c>
      <c r="G1546" s="1" t="str">
        <f t="shared" si="24"/>
        <v>Texas2023</v>
      </c>
      <c r="H1546">
        <f>+INDEX(Sheet1!C:C, MATCH(Hoja1!G1546, Sheet1!D:D, 0))</f>
        <v>2583866.2000000002</v>
      </c>
      <c r="I1546">
        <f>+INDEX(Sheet1!G:G, MATCH(Hoja1!G1546, Sheet1!I:I, 0))</f>
        <v>125777</v>
      </c>
      <c r="J1546" s="2">
        <f>+INDEX(Sheet1!H:H, MATCH(Hoja1!G1546, Sheet1!I:I, 0))</f>
        <v>7.3943150866227783E-2</v>
      </c>
      <c r="K1546" s="2">
        <f>+INDEX(Sheet1!L:L, MATCH(Hoja1!G1546,Sheet1!M:M, 0))</f>
        <v>12.3</v>
      </c>
    </row>
    <row r="1547" spans="1:11" ht="16" x14ac:dyDescent="0.25">
      <c r="A1547" t="s">
        <v>1200</v>
      </c>
      <c r="B1547">
        <v>10</v>
      </c>
      <c r="C1547">
        <v>2023</v>
      </c>
      <c r="D1547" t="s">
        <v>1224</v>
      </c>
      <c r="E1547">
        <v>3.9</v>
      </c>
      <c r="F1547">
        <v>30503301</v>
      </c>
      <c r="G1547" s="1" t="str">
        <f t="shared" si="24"/>
        <v>Texas2023</v>
      </c>
      <c r="H1547">
        <f>+INDEX(Sheet1!C:C, MATCH(Hoja1!G1547, Sheet1!D:D, 0))</f>
        <v>2583866.2000000002</v>
      </c>
      <c r="I1547">
        <f>+INDEX(Sheet1!G:G, MATCH(Hoja1!G1547, Sheet1!I:I, 0))</f>
        <v>125777</v>
      </c>
      <c r="J1547" s="2">
        <f>+INDEX(Sheet1!H:H, MATCH(Hoja1!G1547, Sheet1!I:I, 0))</f>
        <v>7.3943150866227783E-2</v>
      </c>
      <c r="K1547" s="2">
        <f>+INDEX(Sheet1!L:L, MATCH(Hoja1!G1547,Sheet1!M:M, 0))</f>
        <v>12.3</v>
      </c>
    </row>
    <row r="1548" spans="1:11" ht="16" x14ac:dyDescent="0.25">
      <c r="A1548" t="s">
        <v>1200</v>
      </c>
      <c r="B1548">
        <v>11</v>
      </c>
      <c r="C1548">
        <v>2023</v>
      </c>
      <c r="D1548" t="s">
        <v>199</v>
      </c>
      <c r="E1548">
        <v>3.9</v>
      </c>
      <c r="F1548">
        <v>30503301</v>
      </c>
      <c r="G1548" s="1" t="str">
        <f t="shared" si="24"/>
        <v>Texas2023</v>
      </c>
      <c r="H1548">
        <f>+INDEX(Sheet1!C:C, MATCH(Hoja1!G1548, Sheet1!D:D, 0))</f>
        <v>2583866.2000000002</v>
      </c>
      <c r="I1548">
        <f>+INDEX(Sheet1!G:G, MATCH(Hoja1!G1548, Sheet1!I:I, 0))</f>
        <v>125777</v>
      </c>
      <c r="J1548" s="2">
        <f>+INDEX(Sheet1!H:H, MATCH(Hoja1!G1548, Sheet1!I:I, 0))</f>
        <v>7.3943150866227783E-2</v>
      </c>
      <c r="K1548" s="2">
        <f>+INDEX(Sheet1!L:L, MATCH(Hoja1!G1548,Sheet1!M:M, 0))</f>
        <v>12.3</v>
      </c>
    </row>
    <row r="1549" spans="1:11" ht="16" x14ac:dyDescent="0.25">
      <c r="A1549" t="s">
        <v>1200</v>
      </c>
      <c r="B1549">
        <v>12</v>
      </c>
      <c r="C1549">
        <v>2023</v>
      </c>
      <c r="D1549" t="s">
        <v>1225</v>
      </c>
      <c r="E1549">
        <v>3.9</v>
      </c>
      <c r="F1549">
        <v>30503301</v>
      </c>
      <c r="G1549" s="1" t="str">
        <f t="shared" si="24"/>
        <v>Texas2023</v>
      </c>
      <c r="H1549">
        <f>+INDEX(Sheet1!C:C, MATCH(Hoja1!G1549, Sheet1!D:D, 0))</f>
        <v>2583866.2000000002</v>
      </c>
      <c r="I1549">
        <f>+INDEX(Sheet1!G:G, MATCH(Hoja1!G1549, Sheet1!I:I, 0))</f>
        <v>125777</v>
      </c>
      <c r="J1549" s="2">
        <f>+INDEX(Sheet1!H:H, MATCH(Hoja1!G1549, Sheet1!I:I, 0))</f>
        <v>7.3943150866227783E-2</v>
      </c>
      <c r="K1549" s="2">
        <f>+INDEX(Sheet1!L:L, MATCH(Hoja1!G1549,Sheet1!M:M, 0))</f>
        <v>12.3</v>
      </c>
    </row>
    <row r="1550" spans="1:11" ht="16" x14ac:dyDescent="0.25">
      <c r="A1550" t="s">
        <v>1226</v>
      </c>
      <c r="B1550">
        <v>1</v>
      </c>
      <c r="C1550">
        <v>2021</v>
      </c>
      <c r="D1550" t="s">
        <v>1227</v>
      </c>
      <c r="E1550">
        <v>3.4</v>
      </c>
      <c r="F1550">
        <v>3339284</v>
      </c>
      <c r="G1550" s="1" t="str">
        <f t="shared" si="24"/>
        <v>Utah2021</v>
      </c>
      <c r="H1550">
        <f>+INDEX(Sheet1!C:C, MATCH(Hoja1!G1550, Sheet1!D:D, 0))</f>
        <v>232561.9</v>
      </c>
      <c r="I1550">
        <f>+INDEX(Sheet1!G:G, MATCH(Hoja1!G1550, Sheet1!I:I, 0))</f>
        <v>122299</v>
      </c>
      <c r="J1550" s="2">
        <f>+INDEX(Sheet1!H:H, MATCH(Hoja1!G1550, Sheet1!I:I, 0))</f>
        <v>8.0589867288695688E-2</v>
      </c>
      <c r="K1550" s="2">
        <f>+INDEX(Sheet1!L:L, MATCH(Hoja1!G1550,Sheet1!M:M, 0))</f>
        <v>7.9</v>
      </c>
    </row>
    <row r="1551" spans="1:11" ht="16" x14ac:dyDescent="0.25">
      <c r="A1551" t="s">
        <v>1226</v>
      </c>
      <c r="B1551">
        <v>2</v>
      </c>
      <c r="C1551">
        <v>2021</v>
      </c>
      <c r="D1551" t="s">
        <v>1228</v>
      </c>
      <c r="E1551">
        <v>3.2</v>
      </c>
      <c r="F1551">
        <v>3339284</v>
      </c>
      <c r="G1551" s="1" t="str">
        <f t="shared" si="24"/>
        <v>Utah2021</v>
      </c>
      <c r="H1551">
        <f>+INDEX(Sheet1!C:C, MATCH(Hoja1!G1551, Sheet1!D:D, 0))</f>
        <v>232561.9</v>
      </c>
      <c r="I1551">
        <f>+INDEX(Sheet1!G:G, MATCH(Hoja1!G1551, Sheet1!I:I, 0))</f>
        <v>122299</v>
      </c>
      <c r="J1551" s="2">
        <f>+INDEX(Sheet1!H:H, MATCH(Hoja1!G1551, Sheet1!I:I, 0))</f>
        <v>8.0589867288695688E-2</v>
      </c>
      <c r="K1551" s="2">
        <f>+INDEX(Sheet1!L:L, MATCH(Hoja1!G1551,Sheet1!M:M, 0))</f>
        <v>7.9</v>
      </c>
    </row>
    <row r="1552" spans="1:11" ht="16" x14ac:dyDescent="0.25">
      <c r="A1552" t="s">
        <v>1226</v>
      </c>
      <c r="B1552">
        <v>3</v>
      </c>
      <c r="C1552">
        <v>2021</v>
      </c>
      <c r="D1552" t="s">
        <v>1229</v>
      </c>
      <c r="E1552">
        <v>3.1</v>
      </c>
      <c r="F1552">
        <v>3339284</v>
      </c>
      <c r="G1552" s="1" t="str">
        <f t="shared" si="24"/>
        <v>Utah2021</v>
      </c>
      <c r="H1552">
        <f>+INDEX(Sheet1!C:C, MATCH(Hoja1!G1552, Sheet1!D:D, 0))</f>
        <v>232561.9</v>
      </c>
      <c r="I1552">
        <f>+INDEX(Sheet1!G:G, MATCH(Hoja1!G1552, Sheet1!I:I, 0))</f>
        <v>122299</v>
      </c>
      <c r="J1552" s="2">
        <f>+INDEX(Sheet1!H:H, MATCH(Hoja1!G1552, Sheet1!I:I, 0))</f>
        <v>8.0589867288695688E-2</v>
      </c>
      <c r="K1552" s="2">
        <f>+INDEX(Sheet1!L:L, MATCH(Hoja1!G1552,Sheet1!M:M, 0))</f>
        <v>7.9</v>
      </c>
    </row>
    <row r="1553" spans="1:11" ht="16" x14ac:dyDescent="0.25">
      <c r="A1553" t="s">
        <v>1226</v>
      </c>
      <c r="B1553">
        <v>4</v>
      </c>
      <c r="C1553">
        <v>2021</v>
      </c>
      <c r="D1553" t="s">
        <v>1230</v>
      </c>
      <c r="E1553">
        <v>3</v>
      </c>
      <c r="F1553">
        <v>3339284</v>
      </c>
      <c r="G1553" s="1" t="str">
        <f t="shared" si="24"/>
        <v>Utah2021</v>
      </c>
      <c r="H1553">
        <f>+INDEX(Sheet1!C:C, MATCH(Hoja1!G1553, Sheet1!D:D, 0))</f>
        <v>232561.9</v>
      </c>
      <c r="I1553">
        <f>+INDEX(Sheet1!G:G, MATCH(Hoja1!G1553, Sheet1!I:I, 0))</f>
        <v>122299</v>
      </c>
      <c r="J1553" s="2">
        <f>+INDEX(Sheet1!H:H, MATCH(Hoja1!G1553, Sheet1!I:I, 0))</f>
        <v>8.0589867288695688E-2</v>
      </c>
      <c r="K1553" s="2">
        <f>+INDEX(Sheet1!L:L, MATCH(Hoja1!G1553,Sheet1!M:M, 0))</f>
        <v>7.9</v>
      </c>
    </row>
    <row r="1554" spans="1:11" ht="16" x14ac:dyDescent="0.25">
      <c r="A1554" t="s">
        <v>1226</v>
      </c>
      <c r="B1554">
        <v>5</v>
      </c>
      <c r="C1554">
        <v>2021</v>
      </c>
      <c r="D1554" t="s">
        <v>1231</v>
      </c>
      <c r="E1554">
        <v>2.9</v>
      </c>
      <c r="F1554">
        <v>3339284</v>
      </c>
      <c r="G1554" s="1" t="str">
        <f t="shared" si="24"/>
        <v>Utah2021</v>
      </c>
      <c r="H1554">
        <f>+INDEX(Sheet1!C:C, MATCH(Hoja1!G1554, Sheet1!D:D, 0))</f>
        <v>232561.9</v>
      </c>
      <c r="I1554">
        <f>+INDEX(Sheet1!G:G, MATCH(Hoja1!G1554, Sheet1!I:I, 0))</f>
        <v>122299</v>
      </c>
      <c r="J1554" s="2">
        <f>+INDEX(Sheet1!H:H, MATCH(Hoja1!G1554, Sheet1!I:I, 0))</f>
        <v>8.0589867288695688E-2</v>
      </c>
      <c r="K1554" s="2">
        <f>+INDEX(Sheet1!L:L, MATCH(Hoja1!G1554,Sheet1!M:M, 0))</f>
        <v>7.9</v>
      </c>
    </row>
    <row r="1555" spans="1:11" ht="16" x14ac:dyDescent="0.25">
      <c r="A1555" t="s">
        <v>1226</v>
      </c>
      <c r="B1555">
        <v>6</v>
      </c>
      <c r="C1555">
        <v>2021</v>
      </c>
      <c r="D1555" t="s">
        <v>424</v>
      </c>
      <c r="E1555">
        <v>2.8</v>
      </c>
      <c r="F1555">
        <v>3339284</v>
      </c>
      <c r="G1555" s="1" t="str">
        <f t="shared" si="24"/>
        <v>Utah2021</v>
      </c>
      <c r="H1555">
        <f>+INDEX(Sheet1!C:C, MATCH(Hoja1!G1555, Sheet1!D:D, 0))</f>
        <v>232561.9</v>
      </c>
      <c r="I1555">
        <f>+INDEX(Sheet1!G:G, MATCH(Hoja1!G1555, Sheet1!I:I, 0))</f>
        <v>122299</v>
      </c>
      <c r="J1555" s="2">
        <f>+INDEX(Sheet1!H:H, MATCH(Hoja1!G1555, Sheet1!I:I, 0))</f>
        <v>8.0589867288695688E-2</v>
      </c>
      <c r="K1555" s="2">
        <f>+INDEX(Sheet1!L:L, MATCH(Hoja1!G1555,Sheet1!M:M, 0))</f>
        <v>7.9</v>
      </c>
    </row>
    <row r="1556" spans="1:11" ht="16" x14ac:dyDescent="0.25">
      <c r="A1556" t="s">
        <v>1226</v>
      </c>
      <c r="B1556">
        <v>7</v>
      </c>
      <c r="C1556">
        <v>2021</v>
      </c>
      <c r="D1556" t="s">
        <v>1232</v>
      </c>
      <c r="E1556">
        <v>2.7</v>
      </c>
      <c r="F1556">
        <v>3339284</v>
      </c>
      <c r="G1556" s="1" t="str">
        <f t="shared" si="24"/>
        <v>Utah2021</v>
      </c>
      <c r="H1556">
        <f>+INDEX(Sheet1!C:C, MATCH(Hoja1!G1556, Sheet1!D:D, 0))</f>
        <v>232561.9</v>
      </c>
      <c r="I1556">
        <f>+INDEX(Sheet1!G:G, MATCH(Hoja1!G1556, Sheet1!I:I, 0))</f>
        <v>122299</v>
      </c>
      <c r="J1556" s="2">
        <f>+INDEX(Sheet1!H:H, MATCH(Hoja1!G1556, Sheet1!I:I, 0))</f>
        <v>8.0589867288695688E-2</v>
      </c>
      <c r="K1556" s="2">
        <f>+INDEX(Sheet1!L:L, MATCH(Hoja1!G1556,Sheet1!M:M, 0))</f>
        <v>7.9</v>
      </c>
    </row>
    <row r="1557" spans="1:11" ht="16" x14ac:dyDescent="0.25">
      <c r="A1557" t="s">
        <v>1226</v>
      </c>
      <c r="B1557">
        <v>8</v>
      </c>
      <c r="C1557">
        <v>2021</v>
      </c>
      <c r="D1557" t="s">
        <v>1233</v>
      </c>
      <c r="E1557">
        <v>2.6</v>
      </c>
      <c r="F1557">
        <v>3339284</v>
      </c>
      <c r="G1557" s="1" t="str">
        <f t="shared" si="24"/>
        <v>Utah2021</v>
      </c>
      <c r="H1557">
        <f>+INDEX(Sheet1!C:C, MATCH(Hoja1!G1557, Sheet1!D:D, 0))</f>
        <v>232561.9</v>
      </c>
      <c r="I1557">
        <f>+INDEX(Sheet1!G:G, MATCH(Hoja1!G1557, Sheet1!I:I, 0))</f>
        <v>122299</v>
      </c>
      <c r="J1557" s="2">
        <f>+INDEX(Sheet1!H:H, MATCH(Hoja1!G1557, Sheet1!I:I, 0))</f>
        <v>8.0589867288695688E-2</v>
      </c>
      <c r="K1557" s="2">
        <f>+INDEX(Sheet1!L:L, MATCH(Hoja1!G1557,Sheet1!M:M, 0))</f>
        <v>7.9</v>
      </c>
    </row>
    <row r="1558" spans="1:11" ht="16" x14ac:dyDescent="0.25">
      <c r="A1558" t="s">
        <v>1226</v>
      </c>
      <c r="B1558">
        <v>9</v>
      </c>
      <c r="C1558">
        <v>2021</v>
      </c>
      <c r="D1558" t="s">
        <v>1234</v>
      </c>
      <c r="E1558">
        <v>2.5</v>
      </c>
      <c r="F1558">
        <v>3339284</v>
      </c>
      <c r="G1558" s="1" t="str">
        <f t="shared" si="24"/>
        <v>Utah2021</v>
      </c>
      <c r="H1558">
        <f>+INDEX(Sheet1!C:C, MATCH(Hoja1!G1558, Sheet1!D:D, 0))</f>
        <v>232561.9</v>
      </c>
      <c r="I1558">
        <f>+INDEX(Sheet1!G:G, MATCH(Hoja1!G1558, Sheet1!I:I, 0))</f>
        <v>122299</v>
      </c>
      <c r="J1558" s="2">
        <f>+INDEX(Sheet1!H:H, MATCH(Hoja1!G1558, Sheet1!I:I, 0))</f>
        <v>8.0589867288695688E-2</v>
      </c>
      <c r="K1558" s="2">
        <f>+INDEX(Sheet1!L:L, MATCH(Hoja1!G1558,Sheet1!M:M, 0))</f>
        <v>7.9</v>
      </c>
    </row>
    <row r="1559" spans="1:11" ht="16" x14ac:dyDescent="0.25">
      <c r="A1559" t="s">
        <v>1226</v>
      </c>
      <c r="B1559">
        <v>10</v>
      </c>
      <c r="C1559">
        <v>2021</v>
      </c>
      <c r="D1559" t="s">
        <v>191</v>
      </c>
      <c r="E1559">
        <v>2.4</v>
      </c>
      <c r="F1559">
        <v>3339284</v>
      </c>
      <c r="G1559" s="1" t="str">
        <f t="shared" si="24"/>
        <v>Utah2021</v>
      </c>
      <c r="H1559">
        <f>+INDEX(Sheet1!C:C, MATCH(Hoja1!G1559, Sheet1!D:D, 0))</f>
        <v>232561.9</v>
      </c>
      <c r="I1559">
        <f>+INDEX(Sheet1!G:G, MATCH(Hoja1!G1559, Sheet1!I:I, 0))</f>
        <v>122299</v>
      </c>
      <c r="J1559" s="2">
        <f>+INDEX(Sheet1!H:H, MATCH(Hoja1!G1559, Sheet1!I:I, 0))</f>
        <v>8.0589867288695688E-2</v>
      </c>
      <c r="K1559" s="2">
        <f>+INDEX(Sheet1!L:L, MATCH(Hoja1!G1559,Sheet1!M:M, 0))</f>
        <v>7.9</v>
      </c>
    </row>
    <row r="1560" spans="1:11" ht="16" x14ac:dyDescent="0.25">
      <c r="A1560" t="s">
        <v>1226</v>
      </c>
      <c r="B1560">
        <v>11</v>
      </c>
      <c r="C1560">
        <v>2021</v>
      </c>
      <c r="D1560" t="s">
        <v>1235</v>
      </c>
      <c r="E1560">
        <v>2.2999999999999998</v>
      </c>
      <c r="F1560">
        <v>3339284</v>
      </c>
      <c r="G1560" s="1" t="str">
        <f t="shared" si="24"/>
        <v>Utah2021</v>
      </c>
      <c r="H1560">
        <f>+INDEX(Sheet1!C:C, MATCH(Hoja1!G1560, Sheet1!D:D, 0))</f>
        <v>232561.9</v>
      </c>
      <c r="I1560">
        <f>+INDEX(Sheet1!G:G, MATCH(Hoja1!G1560, Sheet1!I:I, 0))</f>
        <v>122299</v>
      </c>
      <c r="J1560" s="2">
        <f>+INDEX(Sheet1!H:H, MATCH(Hoja1!G1560, Sheet1!I:I, 0))</f>
        <v>8.0589867288695688E-2</v>
      </c>
      <c r="K1560" s="2">
        <f>+INDEX(Sheet1!L:L, MATCH(Hoja1!G1560,Sheet1!M:M, 0))</f>
        <v>7.9</v>
      </c>
    </row>
    <row r="1561" spans="1:11" ht="16" x14ac:dyDescent="0.25">
      <c r="A1561" t="s">
        <v>1226</v>
      </c>
      <c r="B1561">
        <v>12</v>
      </c>
      <c r="C1561">
        <v>2021</v>
      </c>
      <c r="D1561" t="s">
        <v>743</v>
      </c>
      <c r="E1561">
        <v>2.2000000000000002</v>
      </c>
      <c r="F1561">
        <v>3339284</v>
      </c>
      <c r="G1561" s="1" t="str">
        <f t="shared" si="24"/>
        <v>Utah2021</v>
      </c>
      <c r="H1561">
        <f>+INDEX(Sheet1!C:C, MATCH(Hoja1!G1561, Sheet1!D:D, 0))</f>
        <v>232561.9</v>
      </c>
      <c r="I1561">
        <f>+INDEX(Sheet1!G:G, MATCH(Hoja1!G1561, Sheet1!I:I, 0))</f>
        <v>122299</v>
      </c>
      <c r="J1561" s="2">
        <f>+INDEX(Sheet1!H:H, MATCH(Hoja1!G1561, Sheet1!I:I, 0))</f>
        <v>8.0589867288695688E-2</v>
      </c>
      <c r="K1561" s="2">
        <f>+INDEX(Sheet1!L:L, MATCH(Hoja1!G1561,Sheet1!M:M, 0))</f>
        <v>7.9</v>
      </c>
    </row>
    <row r="1562" spans="1:11" ht="16" x14ac:dyDescent="0.25">
      <c r="A1562" t="s">
        <v>1226</v>
      </c>
      <c r="B1562">
        <v>1</v>
      </c>
      <c r="C1562">
        <v>2022</v>
      </c>
      <c r="D1562" t="s">
        <v>881</v>
      </c>
      <c r="E1562">
        <v>2.2000000000000002</v>
      </c>
      <c r="F1562">
        <v>3381236</v>
      </c>
      <c r="G1562" s="1" t="str">
        <f t="shared" si="24"/>
        <v>Utah2022</v>
      </c>
      <c r="H1562">
        <f>+INDEX(Sheet1!C:C, MATCH(Hoja1!G1562, Sheet1!D:D, 0))</f>
        <v>261080.8</v>
      </c>
      <c r="I1562">
        <f>+INDEX(Sheet1!G:G, MATCH(Hoja1!G1562, Sheet1!I:I, 0))</f>
        <v>126365</v>
      </c>
      <c r="J1562" s="2">
        <f>+INDEX(Sheet1!H:H, MATCH(Hoja1!G1562, Sheet1!I:I, 0))</f>
        <v>3.3246387950841789E-2</v>
      </c>
      <c r="K1562" s="2">
        <f>+INDEX(Sheet1!L:L, MATCH(Hoja1!G1562,Sheet1!M:M, 0))</f>
        <v>6</v>
      </c>
    </row>
    <row r="1563" spans="1:11" ht="16" x14ac:dyDescent="0.25">
      <c r="A1563" t="s">
        <v>1226</v>
      </c>
      <c r="B1563">
        <v>2</v>
      </c>
      <c r="C1563">
        <v>2022</v>
      </c>
      <c r="D1563" t="s">
        <v>1236</v>
      </c>
      <c r="E1563">
        <v>2.2000000000000002</v>
      </c>
      <c r="F1563">
        <v>3381236</v>
      </c>
      <c r="G1563" s="1" t="str">
        <f t="shared" si="24"/>
        <v>Utah2022</v>
      </c>
      <c r="H1563">
        <f>+INDEX(Sheet1!C:C, MATCH(Hoja1!G1563, Sheet1!D:D, 0))</f>
        <v>261080.8</v>
      </c>
      <c r="I1563">
        <f>+INDEX(Sheet1!G:G, MATCH(Hoja1!G1563, Sheet1!I:I, 0))</f>
        <v>126365</v>
      </c>
      <c r="J1563" s="2">
        <f>+INDEX(Sheet1!H:H, MATCH(Hoja1!G1563, Sheet1!I:I, 0))</f>
        <v>3.3246387950841789E-2</v>
      </c>
      <c r="K1563" s="2">
        <f>+INDEX(Sheet1!L:L, MATCH(Hoja1!G1563,Sheet1!M:M, 0))</f>
        <v>6</v>
      </c>
    </row>
    <row r="1564" spans="1:11" ht="16" x14ac:dyDescent="0.25">
      <c r="A1564" t="s">
        <v>1226</v>
      </c>
      <c r="B1564">
        <v>3</v>
      </c>
      <c r="C1564">
        <v>2022</v>
      </c>
      <c r="D1564" t="s">
        <v>756</v>
      </c>
      <c r="E1564">
        <v>2.2000000000000002</v>
      </c>
      <c r="F1564">
        <v>3381236</v>
      </c>
      <c r="G1564" s="1" t="str">
        <f t="shared" si="24"/>
        <v>Utah2022</v>
      </c>
      <c r="H1564">
        <f>+INDEX(Sheet1!C:C, MATCH(Hoja1!G1564, Sheet1!D:D, 0))</f>
        <v>261080.8</v>
      </c>
      <c r="I1564">
        <f>+INDEX(Sheet1!G:G, MATCH(Hoja1!G1564, Sheet1!I:I, 0))</f>
        <v>126365</v>
      </c>
      <c r="J1564" s="2">
        <f>+INDEX(Sheet1!H:H, MATCH(Hoja1!G1564, Sheet1!I:I, 0))</f>
        <v>3.3246387950841789E-2</v>
      </c>
      <c r="K1564" s="2">
        <f>+INDEX(Sheet1!L:L, MATCH(Hoja1!G1564,Sheet1!M:M, 0))</f>
        <v>6</v>
      </c>
    </row>
    <row r="1565" spans="1:11" ht="16" x14ac:dyDescent="0.25">
      <c r="A1565" t="s">
        <v>1226</v>
      </c>
      <c r="B1565">
        <v>4</v>
      </c>
      <c r="C1565">
        <v>2022</v>
      </c>
      <c r="D1565" t="s">
        <v>967</v>
      </c>
      <c r="E1565">
        <v>2.2999999999999998</v>
      </c>
      <c r="F1565">
        <v>3381236</v>
      </c>
      <c r="G1565" s="1" t="str">
        <f t="shared" si="24"/>
        <v>Utah2022</v>
      </c>
      <c r="H1565">
        <f>+INDEX(Sheet1!C:C, MATCH(Hoja1!G1565, Sheet1!D:D, 0))</f>
        <v>261080.8</v>
      </c>
      <c r="I1565">
        <f>+INDEX(Sheet1!G:G, MATCH(Hoja1!G1565, Sheet1!I:I, 0))</f>
        <v>126365</v>
      </c>
      <c r="J1565" s="2">
        <f>+INDEX(Sheet1!H:H, MATCH(Hoja1!G1565, Sheet1!I:I, 0))</f>
        <v>3.3246387950841789E-2</v>
      </c>
      <c r="K1565" s="2">
        <f>+INDEX(Sheet1!L:L, MATCH(Hoja1!G1565,Sheet1!M:M, 0))</f>
        <v>6</v>
      </c>
    </row>
    <row r="1566" spans="1:11" ht="16" x14ac:dyDescent="0.25">
      <c r="A1566" t="s">
        <v>1226</v>
      </c>
      <c r="B1566">
        <v>5</v>
      </c>
      <c r="C1566">
        <v>2022</v>
      </c>
      <c r="D1566" t="s">
        <v>1237</v>
      </c>
      <c r="E1566">
        <v>2.2999999999999998</v>
      </c>
      <c r="F1566">
        <v>3381236</v>
      </c>
      <c r="G1566" s="1" t="str">
        <f t="shared" si="24"/>
        <v>Utah2022</v>
      </c>
      <c r="H1566">
        <f>+INDEX(Sheet1!C:C, MATCH(Hoja1!G1566, Sheet1!D:D, 0))</f>
        <v>261080.8</v>
      </c>
      <c r="I1566">
        <f>+INDEX(Sheet1!G:G, MATCH(Hoja1!G1566, Sheet1!I:I, 0))</f>
        <v>126365</v>
      </c>
      <c r="J1566" s="2">
        <f>+INDEX(Sheet1!H:H, MATCH(Hoja1!G1566, Sheet1!I:I, 0))</f>
        <v>3.3246387950841789E-2</v>
      </c>
      <c r="K1566" s="2">
        <f>+INDEX(Sheet1!L:L, MATCH(Hoja1!G1566,Sheet1!M:M, 0))</f>
        <v>6</v>
      </c>
    </row>
    <row r="1567" spans="1:11" ht="16" x14ac:dyDescent="0.25">
      <c r="A1567" t="s">
        <v>1226</v>
      </c>
      <c r="B1567">
        <v>6</v>
      </c>
      <c r="C1567">
        <v>2022</v>
      </c>
      <c r="D1567" t="s">
        <v>1169</v>
      </c>
      <c r="E1567">
        <v>2.2999999999999998</v>
      </c>
      <c r="F1567">
        <v>3381236</v>
      </c>
      <c r="G1567" s="1" t="str">
        <f t="shared" si="24"/>
        <v>Utah2022</v>
      </c>
      <c r="H1567">
        <f>+INDEX(Sheet1!C:C, MATCH(Hoja1!G1567, Sheet1!D:D, 0))</f>
        <v>261080.8</v>
      </c>
      <c r="I1567">
        <f>+INDEX(Sheet1!G:G, MATCH(Hoja1!G1567, Sheet1!I:I, 0))</f>
        <v>126365</v>
      </c>
      <c r="J1567" s="2">
        <f>+INDEX(Sheet1!H:H, MATCH(Hoja1!G1567, Sheet1!I:I, 0))</f>
        <v>3.3246387950841789E-2</v>
      </c>
      <c r="K1567" s="2">
        <f>+INDEX(Sheet1!L:L, MATCH(Hoja1!G1567,Sheet1!M:M, 0))</f>
        <v>6</v>
      </c>
    </row>
    <row r="1568" spans="1:11" ht="16" x14ac:dyDescent="0.25">
      <c r="A1568" t="s">
        <v>1226</v>
      </c>
      <c r="B1568">
        <v>7</v>
      </c>
      <c r="C1568">
        <v>2022</v>
      </c>
      <c r="D1568" t="s">
        <v>1020</v>
      </c>
      <c r="E1568">
        <v>2.4</v>
      </c>
      <c r="F1568">
        <v>3381236</v>
      </c>
      <c r="G1568" s="1" t="str">
        <f t="shared" si="24"/>
        <v>Utah2022</v>
      </c>
      <c r="H1568">
        <f>+INDEX(Sheet1!C:C, MATCH(Hoja1!G1568, Sheet1!D:D, 0))</f>
        <v>261080.8</v>
      </c>
      <c r="I1568">
        <f>+INDEX(Sheet1!G:G, MATCH(Hoja1!G1568, Sheet1!I:I, 0))</f>
        <v>126365</v>
      </c>
      <c r="J1568" s="2">
        <f>+INDEX(Sheet1!H:H, MATCH(Hoja1!G1568, Sheet1!I:I, 0))</f>
        <v>3.3246387950841789E-2</v>
      </c>
      <c r="K1568" s="2">
        <f>+INDEX(Sheet1!L:L, MATCH(Hoja1!G1568,Sheet1!M:M, 0))</f>
        <v>6</v>
      </c>
    </row>
    <row r="1569" spans="1:11" ht="16" x14ac:dyDescent="0.25">
      <c r="A1569" t="s">
        <v>1226</v>
      </c>
      <c r="B1569">
        <v>8</v>
      </c>
      <c r="C1569">
        <v>2022</v>
      </c>
      <c r="D1569" t="s">
        <v>958</v>
      </c>
      <c r="E1569">
        <v>2.4</v>
      </c>
      <c r="F1569">
        <v>3381236</v>
      </c>
      <c r="G1569" s="1" t="str">
        <f t="shared" si="24"/>
        <v>Utah2022</v>
      </c>
      <c r="H1569">
        <f>+INDEX(Sheet1!C:C, MATCH(Hoja1!G1569, Sheet1!D:D, 0))</f>
        <v>261080.8</v>
      </c>
      <c r="I1569">
        <f>+INDEX(Sheet1!G:G, MATCH(Hoja1!G1569, Sheet1!I:I, 0))</f>
        <v>126365</v>
      </c>
      <c r="J1569" s="2">
        <f>+INDEX(Sheet1!H:H, MATCH(Hoja1!G1569, Sheet1!I:I, 0))</f>
        <v>3.3246387950841789E-2</v>
      </c>
      <c r="K1569" s="2">
        <f>+INDEX(Sheet1!L:L, MATCH(Hoja1!G1569,Sheet1!M:M, 0))</f>
        <v>6</v>
      </c>
    </row>
    <row r="1570" spans="1:11" ht="16" x14ac:dyDescent="0.25">
      <c r="A1570" t="s">
        <v>1226</v>
      </c>
      <c r="B1570">
        <v>9</v>
      </c>
      <c r="C1570">
        <v>2022</v>
      </c>
      <c r="D1570" t="s">
        <v>968</v>
      </c>
      <c r="E1570">
        <v>2.5</v>
      </c>
      <c r="F1570">
        <v>3381236</v>
      </c>
      <c r="G1570" s="1" t="str">
        <f t="shared" si="24"/>
        <v>Utah2022</v>
      </c>
      <c r="H1570">
        <f>+INDEX(Sheet1!C:C, MATCH(Hoja1!G1570, Sheet1!D:D, 0))</f>
        <v>261080.8</v>
      </c>
      <c r="I1570">
        <f>+INDEX(Sheet1!G:G, MATCH(Hoja1!G1570, Sheet1!I:I, 0))</f>
        <v>126365</v>
      </c>
      <c r="J1570" s="2">
        <f>+INDEX(Sheet1!H:H, MATCH(Hoja1!G1570, Sheet1!I:I, 0))</f>
        <v>3.3246387950841789E-2</v>
      </c>
      <c r="K1570" s="2">
        <f>+INDEX(Sheet1!L:L, MATCH(Hoja1!G1570,Sheet1!M:M, 0))</f>
        <v>6</v>
      </c>
    </row>
    <row r="1571" spans="1:11" ht="16" x14ac:dyDescent="0.25">
      <c r="A1571" t="s">
        <v>1226</v>
      </c>
      <c r="B1571">
        <v>10</v>
      </c>
      <c r="C1571">
        <v>2022</v>
      </c>
      <c r="D1571" t="s">
        <v>1238</v>
      </c>
      <c r="E1571">
        <v>2.5</v>
      </c>
      <c r="F1571">
        <v>3381236</v>
      </c>
      <c r="G1571" s="1" t="str">
        <f t="shared" si="24"/>
        <v>Utah2022</v>
      </c>
      <c r="H1571">
        <f>+INDEX(Sheet1!C:C, MATCH(Hoja1!G1571, Sheet1!D:D, 0))</f>
        <v>261080.8</v>
      </c>
      <c r="I1571">
        <f>+INDEX(Sheet1!G:G, MATCH(Hoja1!G1571, Sheet1!I:I, 0))</f>
        <v>126365</v>
      </c>
      <c r="J1571" s="2">
        <f>+INDEX(Sheet1!H:H, MATCH(Hoja1!G1571, Sheet1!I:I, 0))</f>
        <v>3.3246387950841789E-2</v>
      </c>
      <c r="K1571" s="2">
        <f>+INDEX(Sheet1!L:L, MATCH(Hoja1!G1571,Sheet1!M:M, 0))</f>
        <v>6</v>
      </c>
    </row>
    <row r="1572" spans="1:11" ht="16" x14ac:dyDescent="0.25">
      <c r="A1572" t="s">
        <v>1226</v>
      </c>
      <c r="B1572">
        <v>11</v>
      </c>
      <c r="C1572">
        <v>2022</v>
      </c>
      <c r="D1572" t="s">
        <v>1239</v>
      </c>
      <c r="E1572">
        <v>2.5</v>
      </c>
      <c r="F1572">
        <v>3381236</v>
      </c>
      <c r="G1572" s="1" t="str">
        <f t="shared" si="24"/>
        <v>Utah2022</v>
      </c>
      <c r="H1572">
        <f>+INDEX(Sheet1!C:C, MATCH(Hoja1!G1572, Sheet1!D:D, 0))</f>
        <v>261080.8</v>
      </c>
      <c r="I1572">
        <f>+INDEX(Sheet1!G:G, MATCH(Hoja1!G1572, Sheet1!I:I, 0))</f>
        <v>126365</v>
      </c>
      <c r="J1572" s="2">
        <f>+INDEX(Sheet1!H:H, MATCH(Hoja1!G1572, Sheet1!I:I, 0))</f>
        <v>3.3246387950841789E-2</v>
      </c>
      <c r="K1572" s="2">
        <f>+INDEX(Sheet1!L:L, MATCH(Hoja1!G1572,Sheet1!M:M, 0))</f>
        <v>6</v>
      </c>
    </row>
    <row r="1573" spans="1:11" ht="16" x14ac:dyDescent="0.25">
      <c r="A1573" t="s">
        <v>1226</v>
      </c>
      <c r="B1573">
        <v>12</v>
      </c>
      <c r="C1573">
        <v>2022</v>
      </c>
      <c r="D1573" t="s">
        <v>1240</v>
      </c>
      <c r="E1573">
        <v>2.5</v>
      </c>
      <c r="F1573">
        <v>3381236</v>
      </c>
      <c r="G1573" s="1" t="str">
        <f t="shared" si="24"/>
        <v>Utah2022</v>
      </c>
      <c r="H1573">
        <f>+INDEX(Sheet1!C:C, MATCH(Hoja1!G1573, Sheet1!D:D, 0))</f>
        <v>261080.8</v>
      </c>
      <c r="I1573">
        <f>+INDEX(Sheet1!G:G, MATCH(Hoja1!G1573, Sheet1!I:I, 0))</f>
        <v>126365</v>
      </c>
      <c r="J1573" s="2">
        <f>+INDEX(Sheet1!H:H, MATCH(Hoja1!G1573, Sheet1!I:I, 0))</f>
        <v>3.3246387950841789E-2</v>
      </c>
      <c r="K1573" s="2">
        <f>+INDEX(Sheet1!L:L, MATCH(Hoja1!G1573,Sheet1!M:M, 0))</f>
        <v>6</v>
      </c>
    </row>
    <row r="1574" spans="1:11" ht="16" x14ac:dyDescent="0.25">
      <c r="A1574" t="s">
        <v>1226</v>
      </c>
      <c r="B1574">
        <v>1</v>
      </c>
      <c r="C1574">
        <v>2023</v>
      </c>
      <c r="D1574" t="s">
        <v>1241</v>
      </c>
      <c r="E1574">
        <v>2.5</v>
      </c>
      <c r="F1574">
        <v>3417734</v>
      </c>
      <c r="G1574" s="1" t="str">
        <f t="shared" si="24"/>
        <v>Utah2023</v>
      </c>
      <c r="H1574">
        <f>+INDEX(Sheet1!C:C, MATCH(Hoja1!G1574, Sheet1!D:D, 0))</f>
        <v>281329.09999999998</v>
      </c>
      <c r="I1574">
        <f>+INDEX(Sheet1!G:G, MATCH(Hoja1!G1574, Sheet1!I:I, 0))</f>
        <v>131024</v>
      </c>
      <c r="J1574" s="2">
        <f>+INDEX(Sheet1!H:H, MATCH(Hoja1!G1574, Sheet1!I:I, 0))</f>
        <v>3.6869386301586676E-2</v>
      </c>
      <c r="K1574" s="2">
        <f>+INDEX(Sheet1!L:L, MATCH(Hoja1!G1574,Sheet1!M:M, 0))</f>
        <v>6.3</v>
      </c>
    </row>
    <row r="1575" spans="1:11" ht="16" x14ac:dyDescent="0.25">
      <c r="A1575" t="s">
        <v>1226</v>
      </c>
      <c r="B1575">
        <v>2</v>
      </c>
      <c r="C1575">
        <v>2023</v>
      </c>
      <c r="D1575" t="s">
        <v>707</v>
      </c>
      <c r="E1575">
        <v>2.5</v>
      </c>
      <c r="F1575">
        <v>3417734</v>
      </c>
      <c r="G1575" s="1" t="str">
        <f t="shared" si="24"/>
        <v>Utah2023</v>
      </c>
      <c r="H1575">
        <f>+INDEX(Sheet1!C:C, MATCH(Hoja1!G1575, Sheet1!D:D, 0))</f>
        <v>281329.09999999998</v>
      </c>
      <c r="I1575">
        <f>+INDEX(Sheet1!G:G, MATCH(Hoja1!G1575, Sheet1!I:I, 0))</f>
        <v>131024</v>
      </c>
      <c r="J1575" s="2">
        <f>+INDEX(Sheet1!H:H, MATCH(Hoja1!G1575, Sheet1!I:I, 0))</f>
        <v>3.6869386301586676E-2</v>
      </c>
      <c r="K1575" s="2">
        <f>+INDEX(Sheet1!L:L, MATCH(Hoja1!G1575,Sheet1!M:M, 0))</f>
        <v>6.3</v>
      </c>
    </row>
    <row r="1576" spans="1:11" ht="16" x14ac:dyDescent="0.25">
      <c r="A1576" t="s">
        <v>1226</v>
      </c>
      <c r="B1576">
        <v>3</v>
      </c>
      <c r="C1576">
        <v>2023</v>
      </c>
      <c r="D1576" t="s">
        <v>1242</v>
      </c>
      <c r="E1576">
        <v>2.5</v>
      </c>
      <c r="F1576">
        <v>3417734</v>
      </c>
      <c r="G1576" s="1" t="str">
        <f t="shared" si="24"/>
        <v>Utah2023</v>
      </c>
      <c r="H1576">
        <f>+INDEX(Sheet1!C:C, MATCH(Hoja1!G1576, Sheet1!D:D, 0))</f>
        <v>281329.09999999998</v>
      </c>
      <c r="I1576">
        <f>+INDEX(Sheet1!G:G, MATCH(Hoja1!G1576, Sheet1!I:I, 0))</f>
        <v>131024</v>
      </c>
      <c r="J1576" s="2">
        <f>+INDEX(Sheet1!H:H, MATCH(Hoja1!G1576, Sheet1!I:I, 0))</f>
        <v>3.6869386301586676E-2</v>
      </c>
      <c r="K1576" s="2">
        <f>+INDEX(Sheet1!L:L, MATCH(Hoja1!G1576,Sheet1!M:M, 0))</f>
        <v>6.3</v>
      </c>
    </row>
    <row r="1577" spans="1:11" ht="16" x14ac:dyDescent="0.25">
      <c r="A1577" t="s">
        <v>1226</v>
      </c>
      <c r="B1577">
        <v>4</v>
      </c>
      <c r="C1577">
        <v>2023</v>
      </c>
      <c r="D1577" t="s">
        <v>1231</v>
      </c>
      <c r="E1577">
        <v>2.5</v>
      </c>
      <c r="F1577">
        <v>3417734</v>
      </c>
      <c r="G1577" s="1" t="str">
        <f t="shared" si="24"/>
        <v>Utah2023</v>
      </c>
      <c r="H1577">
        <f>+INDEX(Sheet1!C:C, MATCH(Hoja1!G1577, Sheet1!D:D, 0))</f>
        <v>281329.09999999998</v>
      </c>
      <c r="I1577">
        <f>+INDEX(Sheet1!G:G, MATCH(Hoja1!G1577, Sheet1!I:I, 0))</f>
        <v>131024</v>
      </c>
      <c r="J1577" s="2">
        <f>+INDEX(Sheet1!H:H, MATCH(Hoja1!G1577, Sheet1!I:I, 0))</f>
        <v>3.6869386301586676E-2</v>
      </c>
      <c r="K1577" s="2">
        <f>+INDEX(Sheet1!L:L, MATCH(Hoja1!G1577,Sheet1!M:M, 0))</f>
        <v>6.3</v>
      </c>
    </row>
    <row r="1578" spans="1:11" ht="16" x14ac:dyDescent="0.25">
      <c r="A1578" t="s">
        <v>1226</v>
      </c>
      <c r="B1578">
        <v>5</v>
      </c>
      <c r="C1578">
        <v>2023</v>
      </c>
      <c r="D1578" t="s">
        <v>1243</v>
      </c>
      <c r="E1578">
        <v>2.5</v>
      </c>
      <c r="F1578">
        <v>3417734</v>
      </c>
      <c r="G1578" s="1" t="str">
        <f t="shared" si="24"/>
        <v>Utah2023</v>
      </c>
      <c r="H1578">
        <f>+INDEX(Sheet1!C:C, MATCH(Hoja1!G1578, Sheet1!D:D, 0))</f>
        <v>281329.09999999998</v>
      </c>
      <c r="I1578">
        <f>+INDEX(Sheet1!G:G, MATCH(Hoja1!G1578, Sheet1!I:I, 0))</f>
        <v>131024</v>
      </c>
      <c r="J1578" s="2">
        <f>+INDEX(Sheet1!H:H, MATCH(Hoja1!G1578, Sheet1!I:I, 0))</f>
        <v>3.6869386301586676E-2</v>
      </c>
      <c r="K1578" s="2">
        <f>+INDEX(Sheet1!L:L, MATCH(Hoja1!G1578,Sheet1!M:M, 0))</f>
        <v>6.3</v>
      </c>
    </row>
    <row r="1579" spans="1:11" ht="16" x14ac:dyDescent="0.25">
      <c r="A1579" t="s">
        <v>1226</v>
      </c>
      <c r="B1579">
        <v>6</v>
      </c>
      <c r="C1579">
        <v>2023</v>
      </c>
      <c r="D1579" t="s">
        <v>1244</v>
      </c>
      <c r="E1579">
        <v>2.6</v>
      </c>
      <c r="F1579">
        <v>3417734</v>
      </c>
      <c r="G1579" s="1" t="str">
        <f t="shared" si="24"/>
        <v>Utah2023</v>
      </c>
      <c r="H1579">
        <f>+INDEX(Sheet1!C:C, MATCH(Hoja1!G1579, Sheet1!D:D, 0))</f>
        <v>281329.09999999998</v>
      </c>
      <c r="I1579">
        <f>+INDEX(Sheet1!G:G, MATCH(Hoja1!G1579, Sheet1!I:I, 0))</f>
        <v>131024</v>
      </c>
      <c r="J1579" s="2">
        <f>+INDEX(Sheet1!H:H, MATCH(Hoja1!G1579, Sheet1!I:I, 0))</f>
        <v>3.6869386301586676E-2</v>
      </c>
      <c r="K1579" s="2">
        <f>+INDEX(Sheet1!L:L, MATCH(Hoja1!G1579,Sheet1!M:M, 0))</f>
        <v>6.3</v>
      </c>
    </row>
    <row r="1580" spans="1:11" ht="16" x14ac:dyDescent="0.25">
      <c r="A1580" t="s">
        <v>1226</v>
      </c>
      <c r="B1580">
        <v>7</v>
      </c>
      <c r="C1580">
        <v>2023</v>
      </c>
      <c r="D1580" t="s">
        <v>971</v>
      </c>
      <c r="E1580">
        <v>2.7</v>
      </c>
      <c r="F1580">
        <v>3417734</v>
      </c>
      <c r="G1580" s="1" t="str">
        <f t="shared" si="24"/>
        <v>Utah2023</v>
      </c>
      <c r="H1580">
        <f>+INDEX(Sheet1!C:C, MATCH(Hoja1!G1580, Sheet1!D:D, 0))</f>
        <v>281329.09999999998</v>
      </c>
      <c r="I1580">
        <f>+INDEX(Sheet1!G:G, MATCH(Hoja1!G1580, Sheet1!I:I, 0))</f>
        <v>131024</v>
      </c>
      <c r="J1580" s="2">
        <f>+INDEX(Sheet1!H:H, MATCH(Hoja1!G1580, Sheet1!I:I, 0))</f>
        <v>3.6869386301586676E-2</v>
      </c>
      <c r="K1580" s="2">
        <f>+INDEX(Sheet1!L:L, MATCH(Hoja1!G1580,Sheet1!M:M, 0))</f>
        <v>6.3</v>
      </c>
    </row>
    <row r="1581" spans="1:11" ht="16" x14ac:dyDescent="0.25">
      <c r="A1581" t="s">
        <v>1226</v>
      </c>
      <c r="B1581">
        <v>8</v>
      </c>
      <c r="C1581">
        <v>2023</v>
      </c>
      <c r="D1581" t="s">
        <v>1245</v>
      </c>
      <c r="E1581">
        <v>2.7</v>
      </c>
      <c r="F1581">
        <v>3417734</v>
      </c>
      <c r="G1581" s="1" t="str">
        <f t="shared" si="24"/>
        <v>Utah2023</v>
      </c>
      <c r="H1581">
        <f>+INDEX(Sheet1!C:C, MATCH(Hoja1!G1581, Sheet1!D:D, 0))</f>
        <v>281329.09999999998</v>
      </c>
      <c r="I1581">
        <f>+INDEX(Sheet1!G:G, MATCH(Hoja1!G1581, Sheet1!I:I, 0))</f>
        <v>131024</v>
      </c>
      <c r="J1581" s="2">
        <f>+INDEX(Sheet1!H:H, MATCH(Hoja1!G1581, Sheet1!I:I, 0))</f>
        <v>3.6869386301586676E-2</v>
      </c>
      <c r="K1581" s="2">
        <f>+INDEX(Sheet1!L:L, MATCH(Hoja1!G1581,Sheet1!M:M, 0))</f>
        <v>6.3</v>
      </c>
    </row>
    <row r="1582" spans="1:11" ht="16" x14ac:dyDescent="0.25">
      <c r="A1582" t="s">
        <v>1226</v>
      </c>
      <c r="B1582">
        <v>9</v>
      </c>
      <c r="C1582">
        <v>2023</v>
      </c>
      <c r="D1582" t="s">
        <v>1246</v>
      </c>
      <c r="E1582">
        <v>2.8</v>
      </c>
      <c r="F1582">
        <v>3417734</v>
      </c>
      <c r="G1582" s="1" t="str">
        <f t="shared" si="24"/>
        <v>Utah2023</v>
      </c>
      <c r="H1582">
        <f>+INDEX(Sheet1!C:C, MATCH(Hoja1!G1582, Sheet1!D:D, 0))</f>
        <v>281329.09999999998</v>
      </c>
      <c r="I1582">
        <f>+INDEX(Sheet1!G:G, MATCH(Hoja1!G1582, Sheet1!I:I, 0))</f>
        <v>131024</v>
      </c>
      <c r="J1582" s="2">
        <f>+INDEX(Sheet1!H:H, MATCH(Hoja1!G1582, Sheet1!I:I, 0))</f>
        <v>3.6869386301586676E-2</v>
      </c>
      <c r="K1582" s="2">
        <f>+INDEX(Sheet1!L:L, MATCH(Hoja1!G1582,Sheet1!M:M, 0))</f>
        <v>6.3</v>
      </c>
    </row>
    <row r="1583" spans="1:11" ht="16" x14ac:dyDescent="0.25">
      <c r="A1583" t="s">
        <v>1226</v>
      </c>
      <c r="B1583">
        <v>10</v>
      </c>
      <c r="C1583">
        <v>2023</v>
      </c>
      <c r="D1583" t="s">
        <v>1247</v>
      </c>
      <c r="E1583">
        <v>2.8</v>
      </c>
      <c r="F1583">
        <v>3417734</v>
      </c>
      <c r="G1583" s="1" t="str">
        <f t="shared" si="24"/>
        <v>Utah2023</v>
      </c>
      <c r="H1583">
        <f>+INDEX(Sheet1!C:C, MATCH(Hoja1!G1583, Sheet1!D:D, 0))</f>
        <v>281329.09999999998</v>
      </c>
      <c r="I1583">
        <f>+INDEX(Sheet1!G:G, MATCH(Hoja1!G1583, Sheet1!I:I, 0))</f>
        <v>131024</v>
      </c>
      <c r="J1583" s="2">
        <f>+INDEX(Sheet1!H:H, MATCH(Hoja1!G1583, Sheet1!I:I, 0))</f>
        <v>3.6869386301586676E-2</v>
      </c>
      <c r="K1583" s="2">
        <f>+INDEX(Sheet1!L:L, MATCH(Hoja1!G1583,Sheet1!M:M, 0))</f>
        <v>6.3</v>
      </c>
    </row>
    <row r="1584" spans="1:11" ht="16" x14ac:dyDescent="0.25">
      <c r="A1584" t="s">
        <v>1226</v>
      </c>
      <c r="B1584">
        <v>11</v>
      </c>
      <c r="C1584">
        <v>2023</v>
      </c>
      <c r="D1584" t="s">
        <v>1248</v>
      </c>
      <c r="E1584">
        <v>2.8</v>
      </c>
      <c r="F1584">
        <v>3417734</v>
      </c>
      <c r="G1584" s="1" t="str">
        <f t="shared" si="24"/>
        <v>Utah2023</v>
      </c>
      <c r="H1584">
        <f>+INDEX(Sheet1!C:C, MATCH(Hoja1!G1584, Sheet1!D:D, 0))</f>
        <v>281329.09999999998</v>
      </c>
      <c r="I1584">
        <f>+INDEX(Sheet1!G:G, MATCH(Hoja1!G1584, Sheet1!I:I, 0))</f>
        <v>131024</v>
      </c>
      <c r="J1584" s="2">
        <f>+INDEX(Sheet1!H:H, MATCH(Hoja1!G1584, Sheet1!I:I, 0))</f>
        <v>3.6869386301586676E-2</v>
      </c>
      <c r="K1584" s="2">
        <f>+INDEX(Sheet1!L:L, MATCH(Hoja1!G1584,Sheet1!M:M, 0))</f>
        <v>6.3</v>
      </c>
    </row>
    <row r="1585" spans="1:11" ht="16" x14ac:dyDescent="0.25">
      <c r="A1585" t="s">
        <v>1226</v>
      </c>
      <c r="B1585">
        <v>12</v>
      </c>
      <c r="C1585">
        <v>2023</v>
      </c>
      <c r="D1585" t="s">
        <v>1249</v>
      </c>
      <c r="E1585">
        <v>2.8</v>
      </c>
      <c r="F1585">
        <v>3417734</v>
      </c>
      <c r="G1585" s="1" t="str">
        <f t="shared" si="24"/>
        <v>Utah2023</v>
      </c>
      <c r="H1585">
        <f>+INDEX(Sheet1!C:C, MATCH(Hoja1!G1585, Sheet1!D:D, 0))</f>
        <v>281329.09999999998</v>
      </c>
      <c r="I1585">
        <f>+INDEX(Sheet1!G:G, MATCH(Hoja1!G1585, Sheet1!I:I, 0))</f>
        <v>131024</v>
      </c>
      <c r="J1585" s="2">
        <f>+INDEX(Sheet1!H:H, MATCH(Hoja1!G1585, Sheet1!I:I, 0))</f>
        <v>3.6869386301586676E-2</v>
      </c>
      <c r="K1585" s="2">
        <f>+INDEX(Sheet1!L:L, MATCH(Hoja1!G1585,Sheet1!M:M, 0))</f>
        <v>6.3</v>
      </c>
    </row>
    <row r="1586" spans="1:11" ht="16" x14ac:dyDescent="0.25">
      <c r="A1586" t="s">
        <v>1250</v>
      </c>
      <c r="B1586">
        <v>1</v>
      </c>
      <c r="C1586">
        <v>2021</v>
      </c>
      <c r="D1586" t="s">
        <v>1251</v>
      </c>
      <c r="E1586">
        <v>4.4000000000000004</v>
      </c>
      <c r="F1586">
        <v>647093</v>
      </c>
      <c r="G1586" s="1" t="str">
        <f t="shared" si="24"/>
        <v>Vermont2021</v>
      </c>
      <c r="H1586">
        <f>+INDEX(Sheet1!C:C, MATCH(Hoja1!G1586, Sheet1!D:D, 0))</f>
        <v>37438.800000000003</v>
      </c>
      <c r="I1586">
        <f>+INDEX(Sheet1!G:G, MATCH(Hoja1!G1586, Sheet1!I:I, 0))</f>
        <v>103476</v>
      </c>
      <c r="J1586" s="2">
        <f>+INDEX(Sheet1!H:H, MATCH(Hoja1!G1586, Sheet1!I:I, 0))</f>
        <v>4.5560641425929853E-2</v>
      </c>
      <c r="K1586" s="2">
        <f>+INDEX(Sheet1!L:L, MATCH(Hoja1!G1586,Sheet1!M:M, 0))</f>
        <v>7.5</v>
      </c>
    </row>
    <row r="1587" spans="1:11" ht="16" x14ac:dyDescent="0.25">
      <c r="A1587" t="s">
        <v>1250</v>
      </c>
      <c r="B1587">
        <v>2</v>
      </c>
      <c r="C1587">
        <v>2021</v>
      </c>
      <c r="D1587" t="s">
        <v>164</v>
      </c>
      <c r="E1587">
        <v>4.4000000000000004</v>
      </c>
      <c r="F1587">
        <v>647093</v>
      </c>
      <c r="G1587" s="1" t="str">
        <f t="shared" si="24"/>
        <v>Vermont2021</v>
      </c>
      <c r="H1587">
        <f>+INDEX(Sheet1!C:C, MATCH(Hoja1!G1587, Sheet1!D:D, 0))</f>
        <v>37438.800000000003</v>
      </c>
      <c r="I1587">
        <f>+INDEX(Sheet1!G:G, MATCH(Hoja1!G1587, Sheet1!I:I, 0))</f>
        <v>103476</v>
      </c>
      <c r="J1587" s="2">
        <f>+INDEX(Sheet1!H:H, MATCH(Hoja1!G1587, Sheet1!I:I, 0))</f>
        <v>4.5560641425929853E-2</v>
      </c>
      <c r="K1587" s="2">
        <f>+INDEX(Sheet1!L:L, MATCH(Hoja1!G1587,Sheet1!M:M, 0))</f>
        <v>7.5</v>
      </c>
    </row>
    <row r="1588" spans="1:11" ht="16" x14ac:dyDescent="0.25">
      <c r="A1588" t="s">
        <v>1250</v>
      </c>
      <c r="B1588">
        <v>3</v>
      </c>
      <c r="C1588">
        <v>2021</v>
      </c>
      <c r="D1588" t="s">
        <v>1252</v>
      </c>
      <c r="E1588">
        <v>4.4000000000000004</v>
      </c>
      <c r="F1588">
        <v>647093</v>
      </c>
      <c r="G1588" s="1" t="str">
        <f t="shared" si="24"/>
        <v>Vermont2021</v>
      </c>
      <c r="H1588">
        <f>+INDEX(Sheet1!C:C, MATCH(Hoja1!G1588, Sheet1!D:D, 0))</f>
        <v>37438.800000000003</v>
      </c>
      <c r="I1588">
        <f>+INDEX(Sheet1!G:G, MATCH(Hoja1!G1588, Sheet1!I:I, 0))</f>
        <v>103476</v>
      </c>
      <c r="J1588" s="2">
        <f>+INDEX(Sheet1!H:H, MATCH(Hoja1!G1588, Sheet1!I:I, 0))</f>
        <v>4.5560641425929853E-2</v>
      </c>
      <c r="K1588" s="2">
        <f>+INDEX(Sheet1!L:L, MATCH(Hoja1!G1588,Sheet1!M:M, 0))</f>
        <v>7.5</v>
      </c>
    </row>
    <row r="1589" spans="1:11" ht="16" x14ac:dyDescent="0.25">
      <c r="A1589" t="s">
        <v>1250</v>
      </c>
      <c r="B1589">
        <v>4</v>
      </c>
      <c r="C1589">
        <v>2021</v>
      </c>
      <c r="D1589" t="s">
        <v>548</v>
      </c>
      <c r="E1589">
        <v>4.2</v>
      </c>
      <c r="F1589">
        <v>647093</v>
      </c>
      <c r="G1589" s="1" t="str">
        <f t="shared" si="24"/>
        <v>Vermont2021</v>
      </c>
      <c r="H1589">
        <f>+INDEX(Sheet1!C:C, MATCH(Hoja1!G1589, Sheet1!D:D, 0))</f>
        <v>37438.800000000003</v>
      </c>
      <c r="I1589">
        <f>+INDEX(Sheet1!G:G, MATCH(Hoja1!G1589, Sheet1!I:I, 0))</f>
        <v>103476</v>
      </c>
      <c r="J1589" s="2">
        <f>+INDEX(Sheet1!H:H, MATCH(Hoja1!G1589, Sheet1!I:I, 0))</f>
        <v>4.5560641425929853E-2</v>
      </c>
      <c r="K1589" s="2">
        <f>+INDEX(Sheet1!L:L, MATCH(Hoja1!G1589,Sheet1!M:M, 0))</f>
        <v>7.5</v>
      </c>
    </row>
    <row r="1590" spans="1:11" ht="16" x14ac:dyDescent="0.25">
      <c r="A1590" t="s">
        <v>1250</v>
      </c>
      <c r="B1590">
        <v>5</v>
      </c>
      <c r="C1590">
        <v>2021</v>
      </c>
      <c r="D1590">
        <v>22</v>
      </c>
      <c r="E1590">
        <v>3.9</v>
      </c>
      <c r="F1590">
        <v>647093</v>
      </c>
      <c r="G1590" s="1" t="str">
        <f t="shared" si="24"/>
        <v>Vermont2021</v>
      </c>
      <c r="H1590">
        <f>+INDEX(Sheet1!C:C, MATCH(Hoja1!G1590, Sheet1!D:D, 0))</f>
        <v>37438.800000000003</v>
      </c>
      <c r="I1590">
        <f>+INDEX(Sheet1!G:G, MATCH(Hoja1!G1590, Sheet1!I:I, 0))</f>
        <v>103476</v>
      </c>
      <c r="J1590" s="2">
        <f>+INDEX(Sheet1!H:H, MATCH(Hoja1!G1590, Sheet1!I:I, 0))</f>
        <v>4.5560641425929853E-2</v>
      </c>
      <c r="K1590" s="2">
        <f>+INDEX(Sheet1!L:L, MATCH(Hoja1!G1590,Sheet1!M:M, 0))</f>
        <v>7.5</v>
      </c>
    </row>
    <row r="1591" spans="1:11" ht="16" x14ac:dyDescent="0.25">
      <c r="A1591" t="s">
        <v>1250</v>
      </c>
      <c r="B1591">
        <v>6</v>
      </c>
      <c r="C1591">
        <v>2021</v>
      </c>
      <c r="D1591" t="s">
        <v>542</v>
      </c>
      <c r="E1591">
        <v>3.7</v>
      </c>
      <c r="F1591">
        <v>647093</v>
      </c>
      <c r="G1591" s="1" t="str">
        <f t="shared" si="24"/>
        <v>Vermont2021</v>
      </c>
      <c r="H1591">
        <f>+INDEX(Sheet1!C:C, MATCH(Hoja1!G1591, Sheet1!D:D, 0))</f>
        <v>37438.800000000003</v>
      </c>
      <c r="I1591">
        <f>+INDEX(Sheet1!G:G, MATCH(Hoja1!G1591, Sheet1!I:I, 0))</f>
        <v>103476</v>
      </c>
      <c r="J1591" s="2">
        <f>+INDEX(Sheet1!H:H, MATCH(Hoja1!G1591, Sheet1!I:I, 0))</f>
        <v>4.5560641425929853E-2</v>
      </c>
      <c r="K1591" s="2">
        <f>+INDEX(Sheet1!L:L, MATCH(Hoja1!G1591,Sheet1!M:M, 0))</f>
        <v>7.5</v>
      </c>
    </row>
    <row r="1592" spans="1:11" ht="16" x14ac:dyDescent="0.25">
      <c r="A1592" t="s">
        <v>1250</v>
      </c>
      <c r="B1592">
        <v>7</v>
      </c>
      <c r="C1592">
        <v>2021</v>
      </c>
      <c r="D1592" t="s">
        <v>55</v>
      </c>
      <c r="E1592">
        <v>3.4</v>
      </c>
      <c r="F1592">
        <v>647093</v>
      </c>
      <c r="G1592" s="1" t="str">
        <f t="shared" si="24"/>
        <v>Vermont2021</v>
      </c>
      <c r="H1592">
        <f>+INDEX(Sheet1!C:C, MATCH(Hoja1!G1592, Sheet1!D:D, 0))</f>
        <v>37438.800000000003</v>
      </c>
      <c r="I1592">
        <f>+INDEX(Sheet1!G:G, MATCH(Hoja1!G1592, Sheet1!I:I, 0))</f>
        <v>103476</v>
      </c>
      <c r="J1592" s="2">
        <f>+INDEX(Sheet1!H:H, MATCH(Hoja1!G1592, Sheet1!I:I, 0))</f>
        <v>4.5560641425929853E-2</v>
      </c>
      <c r="K1592" s="2">
        <f>+INDEX(Sheet1!L:L, MATCH(Hoja1!G1592,Sheet1!M:M, 0))</f>
        <v>7.5</v>
      </c>
    </row>
    <row r="1593" spans="1:11" ht="16" x14ac:dyDescent="0.25">
      <c r="A1593" t="s">
        <v>1250</v>
      </c>
      <c r="B1593">
        <v>8</v>
      </c>
      <c r="C1593">
        <v>2021</v>
      </c>
      <c r="D1593" t="s">
        <v>1253</v>
      </c>
      <c r="E1593">
        <v>3.2</v>
      </c>
      <c r="F1593">
        <v>647093</v>
      </c>
      <c r="G1593" s="1" t="str">
        <f t="shared" si="24"/>
        <v>Vermont2021</v>
      </c>
      <c r="H1593">
        <f>+INDEX(Sheet1!C:C, MATCH(Hoja1!G1593, Sheet1!D:D, 0))</f>
        <v>37438.800000000003</v>
      </c>
      <c r="I1593">
        <f>+INDEX(Sheet1!G:G, MATCH(Hoja1!G1593, Sheet1!I:I, 0))</f>
        <v>103476</v>
      </c>
      <c r="J1593" s="2">
        <f>+INDEX(Sheet1!H:H, MATCH(Hoja1!G1593, Sheet1!I:I, 0))</f>
        <v>4.5560641425929853E-2</v>
      </c>
      <c r="K1593" s="2">
        <f>+INDEX(Sheet1!L:L, MATCH(Hoja1!G1593,Sheet1!M:M, 0))</f>
        <v>7.5</v>
      </c>
    </row>
    <row r="1594" spans="1:11" ht="16" x14ac:dyDescent="0.25">
      <c r="A1594" t="s">
        <v>1250</v>
      </c>
      <c r="B1594">
        <v>9</v>
      </c>
      <c r="C1594">
        <v>2021</v>
      </c>
      <c r="D1594" t="s">
        <v>1254</v>
      </c>
      <c r="E1594">
        <v>3.1</v>
      </c>
      <c r="F1594">
        <v>647093</v>
      </c>
      <c r="G1594" s="1" t="str">
        <f t="shared" si="24"/>
        <v>Vermont2021</v>
      </c>
      <c r="H1594">
        <f>+INDEX(Sheet1!C:C, MATCH(Hoja1!G1594, Sheet1!D:D, 0))</f>
        <v>37438.800000000003</v>
      </c>
      <c r="I1594">
        <f>+INDEX(Sheet1!G:G, MATCH(Hoja1!G1594, Sheet1!I:I, 0))</f>
        <v>103476</v>
      </c>
      <c r="J1594" s="2">
        <f>+INDEX(Sheet1!H:H, MATCH(Hoja1!G1594, Sheet1!I:I, 0))</f>
        <v>4.5560641425929853E-2</v>
      </c>
      <c r="K1594" s="2">
        <f>+INDEX(Sheet1!L:L, MATCH(Hoja1!G1594,Sheet1!M:M, 0))</f>
        <v>7.5</v>
      </c>
    </row>
    <row r="1595" spans="1:11" ht="16" x14ac:dyDescent="0.25">
      <c r="A1595" t="s">
        <v>1250</v>
      </c>
      <c r="B1595">
        <v>10</v>
      </c>
      <c r="C1595">
        <v>2021</v>
      </c>
      <c r="D1595" t="s">
        <v>1255</v>
      </c>
      <c r="E1595">
        <v>2.9</v>
      </c>
      <c r="F1595">
        <v>647093</v>
      </c>
      <c r="G1595" s="1" t="str">
        <f t="shared" si="24"/>
        <v>Vermont2021</v>
      </c>
      <c r="H1595">
        <f>+INDEX(Sheet1!C:C, MATCH(Hoja1!G1595, Sheet1!D:D, 0))</f>
        <v>37438.800000000003</v>
      </c>
      <c r="I1595">
        <f>+INDEX(Sheet1!G:G, MATCH(Hoja1!G1595, Sheet1!I:I, 0))</f>
        <v>103476</v>
      </c>
      <c r="J1595" s="2">
        <f>+INDEX(Sheet1!H:H, MATCH(Hoja1!G1595, Sheet1!I:I, 0))</f>
        <v>4.5560641425929853E-2</v>
      </c>
      <c r="K1595" s="2">
        <f>+INDEX(Sheet1!L:L, MATCH(Hoja1!G1595,Sheet1!M:M, 0))</f>
        <v>7.5</v>
      </c>
    </row>
    <row r="1596" spans="1:11" ht="16" x14ac:dyDescent="0.25">
      <c r="A1596" t="s">
        <v>1250</v>
      </c>
      <c r="B1596">
        <v>11</v>
      </c>
      <c r="C1596">
        <v>2021</v>
      </c>
      <c r="D1596">
        <v>22</v>
      </c>
      <c r="E1596">
        <v>2.8</v>
      </c>
      <c r="F1596">
        <v>647093</v>
      </c>
      <c r="G1596" s="1" t="str">
        <f t="shared" si="24"/>
        <v>Vermont2021</v>
      </c>
      <c r="H1596">
        <f>+INDEX(Sheet1!C:C, MATCH(Hoja1!G1596, Sheet1!D:D, 0))</f>
        <v>37438.800000000003</v>
      </c>
      <c r="I1596">
        <f>+INDEX(Sheet1!G:G, MATCH(Hoja1!G1596, Sheet1!I:I, 0))</f>
        <v>103476</v>
      </c>
      <c r="J1596" s="2">
        <f>+INDEX(Sheet1!H:H, MATCH(Hoja1!G1596, Sheet1!I:I, 0))</f>
        <v>4.5560641425929853E-2</v>
      </c>
      <c r="K1596" s="2">
        <f>+INDEX(Sheet1!L:L, MATCH(Hoja1!G1596,Sheet1!M:M, 0))</f>
        <v>7.5</v>
      </c>
    </row>
    <row r="1597" spans="1:11" ht="16" x14ac:dyDescent="0.25">
      <c r="A1597" t="s">
        <v>1250</v>
      </c>
      <c r="B1597">
        <v>12</v>
      </c>
      <c r="C1597">
        <v>2021</v>
      </c>
      <c r="D1597" t="s">
        <v>1256</v>
      </c>
      <c r="E1597">
        <v>2.6</v>
      </c>
      <c r="F1597">
        <v>647093</v>
      </c>
      <c r="G1597" s="1" t="str">
        <f t="shared" si="24"/>
        <v>Vermont2021</v>
      </c>
      <c r="H1597">
        <f>+INDEX(Sheet1!C:C, MATCH(Hoja1!G1597, Sheet1!D:D, 0))</f>
        <v>37438.800000000003</v>
      </c>
      <c r="I1597">
        <f>+INDEX(Sheet1!G:G, MATCH(Hoja1!G1597, Sheet1!I:I, 0))</f>
        <v>103476</v>
      </c>
      <c r="J1597" s="2">
        <f>+INDEX(Sheet1!H:H, MATCH(Hoja1!G1597, Sheet1!I:I, 0))</f>
        <v>4.5560641425929853E-2</v>
      </c>
      <c r="K1597" s="2">
        <f>+INDEX(Sheet1!L:L, MATCH(Hoja1!G1597,Sheet1!M:M, 0))</f>
        <v>7.5</v>
      </c>
    </row>
    <row r="1598" spans="1:11" ht="16" x14ac:dyDescent="0.25">
      <c r="A1598" t="s">
        <v>1250</v>
      </c>
      <c r="B1598">
        <v>1</v>
      </c>
      <c r="C1598">
        <v>2022</v>
      </c>
      <c r="D1598" t="s">
        <v>609</v>
      </c>
      <c r="E1598">
        <v>2.4</v>
      </c>
      <c r="F1598">
        <v>647110</v>
      </c>
      <c r="G1598" s="1" t="str">
        <f t="shared" si="24"/>
        <v>Vermont2022</v>
      </c>
      <c r="H1598">
        <f>+INDEX(Sheet1!C:C, MATCH(Hoja1!G1598, Sheet1!D:D, 0))</f>
        <v>41011.599999999999</v>
      </c>
      <c r="I1598">
        <f>+INDEX(Sheet1!G:G, MATCH(Hoja1!G1598, Sheet1!I:I, 0))</f>
        <v>106638</v>
      </c>
      <c r="J1598" s="2">
        <f>+INDEX(Sheet1!H:H, MATCH(Hoja1!G1598, Sheet1!I:I, 0))</f>
        <v>3.0557810506784182E-2</v>
      </c>
      <c r="K1598" s="2">
        <f>+INDEX(Sheet1!L:L, MATCH(Hoja1!G1598,Sheet1!M:M, 0))</f>
        <v>9</v>
      </c>
    </row>
    <row r="1599" spans="1:11" ht="16" x14ac:dyDescent="0.25">
      <c r="A1599" t="s">
        <v>1250</v>
      </c>
      <c r="B1599">
        <v>2</v>
      </c>
      <c r="C1599">
        <v>2022</v>
      </c>
      <c r="D1599" t="s">
        <v>199</v>
      </c>
      <c r="E1599">
        <v>2.2999999999999998</v>
      </c>
      <c r="F1599">
        <v>647110</v>
      </c>
      <c r="G1599" s="1" t="str">
        <f t="shared" si="24"/>
        <v>Vermont2022</v>
      </c>
      <c r="H1599">
        <f>+INDEX(Sheet1!C:C, MATCH(Hoja1!G1599, Sheet1!D:D, 0))</f>
        <v>41011.599999999999</v>
      </c>
      <c r="I1599">
        <f>+INDEX(Sheet1!G:G, MATCH(Hoja1!G1599, Sheet1!I:I, 0))</f>
        <v>106638</v>
      </c>
      <c r="J1599" s="2">
        <f>+INDEX(Sheet1!H:H, MATCH(Hoja1!G1599, Sheet1!I:I, 0))</f>
        <v>3.0557810506784182E-2</v>
      </c>
      <c r="K1599" s="2">
        <f>+INDEX(Sheet1!L:L, MATCH(Hoja1!G1599,Sheet1!M:M, 0))</f>
        <v>9</v>
      </c>
    </row>
    <row r="1600" spans="1:11" ht="16" x14ac:dyDescent="0.25">
      <c r="A1600" t="s">
        <v>1250</v>
      </c>
      <c r="B1600">
        <v>3</v>
      </c>
      <c r="C1600">
        <v>2022</v>
      </c>
      <c r="D1600" t="s">
        <v>1257</v>
      </c>
      <c r="E1600">
        <v>2.2000000000000002</v>
      </c>
      <c r="F1600">
        <v>647110</v>
      </c>
      <c r="G1600" s="1" t="str">
        <f t="shared" si="24"/>
        <v>Vermont2022</v>
      </c>
      <c r="H1600">
        <f>+INDEX(Sheet1!C:C, MATCH(Hoja1!G1600, Sheet1!D:D, 0))</f>
        <v>41011.599999999999</v>
      </c>
      <c r="I1600">
        <f>+INDEX(Sheet1!G:G, MATCH(Hoja1!G1600, Sheet1!I:I, 0))</f>
        <v>106638</v>
      </c>
      <c r="J1600" s="2">
        <f>+INDEX(Sheet1!H:H, MATCH(Hoja1!G1600, Sheet1!I:I, 0))</f>
        <v>3.0557810506784182E-2</v>
      </c>
      <c r="K1600" s="2">
        <f>+INDEX(Sheet1!L:L, MATCH(Hoja1!G1600,Sheet1!M:M, 0))</f>
        <v>9</v>
      </c>
    </row>
    <row r="1601" spans="1:11" ht="16" x14ac:dyDescent="0.25">
      <c r="A1601" t="s">
        <v>1250</v>
      </c>
      <c r="B1601">
        <v>4</v>
      </c>
      <c r="C1601">
        <v>2022</v>
      </c>
      <c r="D1601" t="s">
        <v>1258</v>
      </c>
      <c r="E1601">
        <v>2.2000000000000002</v>
      </c>
      <c r="F1601">
        <v>647110</v>
      </c>
      <c r="G1601" s="1" t="str">
        <f t="shared" si="24"/>
        <v>Vermont2022</v>
      </c>
      <c r="H1601">
        <f>+INDEX(Sheet1!C:C, MATCH(Hoja1!G1601, Sheet1!D:D, 0))</f>
        <v>41011.599999999999</v>
      </c>
      <c r="I1601">
        <f>+INDEX(Sheet1!G:G, MATCH(Hoja1!G1601, Sheet1!I:I, 0))</f>
        <v>106638</v>
      </c>
      <c r="J1601" s="2">
        <f>+INDEX(Sheet1!H:H, MATCH(Hoja1!G1601, Sheet1!I:I, 0))</f>
        <v>3.0557810506784182E-2</v>
      </c>
      <c r="K1601" s="2">
        <f>+INDEX(Sheet1!L:L, MATCH(Hoja1!G1601,Sheet1!M:M, 0))</f>
        <v>9</v>
      </c>
    </row>
    <row r="1602" spans="1:11" ht="16" x14ac:dyDescent="0.25">
      <c r="A1602" t="s">
        <v>1250</v>
      </c>
      <c r="B1602">
        <v>5</v>
      </c>
      <c r="C1602">
        <v>2022</v>
      </c>
      <c r="D1602" t="s">
        <v>1018</v>
      </c>
      <c r="E1602">
        <v>2.2000000000000002</v>
      </c>
      <c r="F1602">
        <v>647110</v>
      </c>
      <c r="G1602" s="1" t="str">
        <f t="shared" si="24"/>
        <v>Vermont2022</v>
      </c>
      <c r="H1602">
        <f>+INDEX(Sheet1!C:C, MATCH(Hoja1!G1602, Sheet1!D:D, 0))</f>
        <v>41011.599999999999</v>
      </c>
      <c r="I1602">
        <f>+INDEX(Sheet1!G:G, MATCH(Hoja1!G1602, Sheet1!I:I, 0))</f>
        <v>106638</v>
      </c>
      <c r="J1602" s="2">
        <f>+INDEX(Sheet1!H:H, MATCH(Hoja1!G1602, Sheet1!I:I, 0))</f>
        <v>3.0557810506784182E-2</v>
      </c>
      <c r="K1602" s="2">
        <f>+INDEX(Sheet1!L:L, MATCH(Hoja1!G1602,Sheet1!M:M, 0))</f>
        <v>9</v>
      </c>
    </row>
    <row r="1603" spans="1:11" ht="16" x14ac:dyDescent="0.25">
      <c r="A1603" t="s">
        <v>1250</v>
      </c>
      <c r="B1603">
        <v>6</v>
      </c>
      <c r="C1603">
        <v>2022</v>
      </c>
      <c r="D1603" t="s">
        <v>1259</v>
      </c>
      <c r="E1603">
        <v>2.2000000000000002</v>
      </c>
      <c r="F1603">
        <v>647110</v>
      </c>
      <c r="G1603" s="1" t="str">
        <f t="shared" ref="G1603:G1666" si="25">+A1603&amp;C1603</f>
        <v>Vermont2022</v>
      </c>
      <c r="H1603">
        <f>+INDEX(Sheet1!C:C, MATCH(Hoja1!G1603, Sheet1!D:D, 0))</f>
        <v>41011.599999999999</v>
      </c>
      <c r="I1603">
        <f>+INDEX(Sheet1!G:G, MATCH(Hoja1!G1603, Sheet1!I:I, 0))</f>
        <v>106638</v>
      </c>
      <c r="J1603" s="2">
        <f>+INDEX(Sheet1!H:H, MATCH(Hoja1!G1603, Sheet1!I:I, 0))</f>
        <v>3.0557810506784182E-2</v>
      </c>
      <c r="K1603" s="2">
        <f>+INDEX(Sheet1!L:L, MATCH(Hoja1!G1603,Sheet1!M:M, 0))</f>
        <v>9</v>
      </c>
    </row>
    <row r="1604" spans="1:11" ht="16" x14ac:dyDescent="0.25">
      <c r="A1604" t="s">
        <v>1250</v>
      </c>
      <c r="B1604">
        <v>7</v>
      </c>
      <c r="C1604">
        <v>2022</v>
      </c>
      <c r="D1604" t="s">
        <v>967</v>
      </c>
      <c r="E1604">
        <v>2.2999999999999998</v>
      </c>
      <c r="F1604">
        <v>647110</v>
      </c>
      <c r="G1604" s="1" t="str">
        <f t="shared" si="25"/>
        <v>Vermont2022</v>
      </c>
      <c r="H1604">
        <f>+INDEX(Sheet1!C:C, MATCH(Hoja1!G1604, Sheet1!D:D, 0))</f>
        <v>41011.599999999999</v>
      </c>
      <c r="I1604">
        <f>+INDEX(Sheet1!G:G, MATCH(Hoja1!G1604, Sheet1!I:I, 0))</f>
        <v>106638</v>
      </c>
      <c r="J1604" s="2">
        <f>+INDEX(Sheet1!H:H, MATCH(Hoja1!G1604, Sheet1!I:I, 0))</f>
        <v>3.0557810506784182E-2</v>
      </c>
      <c r="K1604" s="2">
        <f>+INDEX(Sheet1!L:L, MATCH(Hoja1!G1604,Sheet1!M:M, 0))</f>
        <v>9</v>
      </c>
    </row>
    <row r="1605" spans="1:11" ht="16" x14ac:dyDescent="0.25">
      <c r="A1605" t="s">
        <v>1250</v>
      </c>
      <c r="B1605">
        <v>8</v>
      </c>
      <c r="C1605">
        <v>2022</v>
      </c>
      <c r="D1605" t="s">
        <v>1260</v>
      </c>
      <c r="E1605">
        <v>2.4</v>
      </c>
      <c r="F1605">
        <v>647110</v>
      </c>
      <c r="G1605" s="1" t="str">
        <f t="shared" si="25"/>
        <v>Vermont2022</v>
      </c>
      <c r="H1605">
        <f>+INDEX(Sheet1!C:C, MATCH(Hoja1!G1605, Sheet1!D:D, 0))</f>
        <v>41011.599999999999</v>
      </c>
      <c r="I1605">
        <f>+INDEX(Sheet1!G:G, MATCH(Hoja1!G1605, Sheet1!I:I, 0))</f>
        <v>106638</v>
      </c>
      <c r="J1605" s="2">
        <f>+INDEX(Sheet1!H:H, MATCH(Hoja1!G1605, Sheet1!I:I, 0))</f>
        <v>3.0557810506784182E-2</v>
      </c>
      <c r="K1605" s="2">
        <f>+INDEX(Sheet1!L:L, MATCH(Hoja1!G1605,Sheet1!M:M, 0))</f>
        <v>9</v>
      </c>
    </row>
    <row r="1606" spans="1:11" ht="16" x14ac:dyDescent="0.25">
      <c r="A1606" t="s">
        <v>1250</v>
      </c>
      <c r="B1606">
        <v>9</v>
      </c>
      <c r="C1606">
        <v>2022</v>
      </c>
      <c r="D1606" t="s">
        <v>1261</v>
      </c>
      <c r="E1606">
        <v>2.5</v>
      </c>
      <c r="F1606">
        <v>647110</v>
      </c>
      <c r="G1606" s="1" t="str">
        <f t="shared" si="25"/>
        <v>Vermont2022</v>
      </c>
      <c r="H1606">
        <f>+INDEX(Sheet1!C:C, MATCH(Hoja1!G1606, Sheet1!D:D, 0))</f>
        <v>41011.599999999999</v>
      </c>
      <c r="I1606">
        <f>+INDEX(Sheet1!G:G, MATCH(Hoja1!G1606, Sheet1!I:I, 0))</f>
        <v>106638</v>
      </c>
      <c r="J1606" s="2">
        <f>+INDEX(Sheet1!H:H, MATCH(Hoja1!G1606, Sheet1!I:I, 0))</f>
        <v>3.0557810506784182E-2</v>
      </c>
      <c r="K1606" s="2">
        <f>+INDEX(Sheet1!L:L, MATCH(Hoja1!G1606,Sheet1!M:M, 0))</f>
        <v>9</v>
      </c>
    </row>
    <row r="1607" spans="1:11" ht="16" x14ac:dyDescent="0.25">
      <c r="A1607" t="s">
        <v>1250</v>
      </c>
      <c r="B1607">
        <v>10</v>
      </c>
      <c r="C1607">
        <v>2022</v>
      </c>
      <c r="D1607" t="s">
        <v>1262</v>
      </c>
      <c r="E1607">
        <v>2.5</v>
      </c>
      <c r="F1607">
        <v>647110</v>
      </c>
      <c r="G1607" s="1" t="str">
        <f t="shared" si="25"/>
        <v>Vermont2022</v>
      </c>
      <c r="H1607">
        <f>+INDEX(Sheet1!C:C, MATCH(Hoja1!G1607, Sheet1!D:D, 0))</f>
        <v>41011.599999999999</v>
      </c>
      <c r="I1607">
        <f>+INDEX(Sheet1!G:G, MATCH(Hoja1!G1607, Sheet1!I:I, 0))</f>
        <v>106638</v>
      </c>
      <c r="J1607" s="2">
        <f>+INDEX(Sheet1!H:H, MATCH(Hoja1!G1607, Sheet1!I:I, 0))</f>
        <v>3.0557810506784182E-2</v>
      </c>
      <c r="K1607" s="2">
        <f>+INDEX(Sheet1!L:L, MATCH(Hoja1!G1607,Sheet1!M:M, 0))</f>
        <v>9</v>
      </c>
    </row>
    <row r="1608" spans="1:11" ht="16" x14ac:dyDescent="0.25">
      <c r="A1608" t="s">
        <v>1250</v>
      </c>
      <c r="B1608">
        <v>11</v>
      </c>
      <c r="C1608">
        <v>2022</v>
      </c>
      <c r="D1608" t="s">
        <v>1263</v>
      </c>
      <c r="E1608">
        <v>2.4</v>
      </c>
      <c r="F1608">
        <v>647110</v>
      </c>
      <c r="G1608" s="1" t="str">
        <f t="shared" si="25"/>
        <v>Vermont2022</v>
      </c>
      <c r="H1608">
        <f>+INDEX(Sheet1!C:C, MATCH(Hoja1!G1608, Sheet1!D:D, 0))</f>
        <v>41011.599999999999</v>
      </c>
      <c r="I1608">
        <f>+INDEX(Sheet1!G:G, MATCH(Hoja1!G1608, Sheet1!I:I, 0))</f>
        <v>106638</v>
      </c>
      <c r="J1608" s="2">
        <f>+INDEX(Sheet1!H:H, MATCH(Hoja1!G1608, Sheet1!I:I, 0))</f>
        <v>3.0557810506784182E-2</v>
      </c>
      <c r="K1608" s="2">
        <f>+INDEX(Sheet1!L:L, MATCH(Hoja1!G1608,Sheet1!M:M, 0))</f>
        <v>9</v>
      </c>
    </row>
    <row r="1609" spans="1:11" ht="16" x14ac:dyDescent="0.25">
      <c r="A1609" t="s">
        <v>1250</v>
      </c>
      <c r="B1609">
        <v>12</v>
      </c>
      <c r="C1609">
        <v>2022</v>
      </c>
      <c r="D1609" t="s">
        <v>1264</v>
      </c>
      <c r="E1609">
        <v>2.2999999999999998</v>
      </c>
      <c r="F1609">
        <v>647110</v>
      </c>
      <c r="G1609" s="1" t="str">
        <f t="shared" si="25"/>
        <v>Vermont2022</v>
      </c>
      <c r="H1609">
        <f>+INDEX(Sheet1!C:C, MATCH(Hoja1!G1609, Sheet1!D:D, 0))</f>
        <v>41011.599999999999</v>
      </c>
      <c r="I1609">
        <f>+INDEX(Sheet1!G:G, MATCH(Hoja1!G1609, Sheet1!I:I, 0))</f>
        <v>106638</v>
      </c>
      <c r="J1609" s="2">
        <f>+INDEX(Sheet1!H:H, MATCH(Hoja1!G1609, Sheet1!I:I, 0))</f>
        <v>3.0557810506784182E-2</v>
      </c>
      <c r="K1609" s="2">
        <f>+INDEX(Sheet1!L:L, MATCH(Hoja1!G1609,Sheet1!M:M, 0))</f>
        <v>9</v>
      </c>
    </row>
    <row r="1610" spans="1:11" ht="16" x14ac:dyDescent="0.25">
      <c r="A1610" t="s">
        <v>1250</v>
      </c>
      <c r="B1610">
        <v>1</v>
      </c>
      <c r="C1610">
        <v>2023</v>
      </c>
      <c r="D1610" t="s">
        <v>1265</v>
      </c>
      <c r="E1610">
        <v>2.1</v>
      </c>
      <c r="F1610">
        <v>647464</v>
      </c>
      <c r="G1610" s="1" t="str">
        <f t="shared" si="25"/>
        <v>Vermont2023</v>
      </c>
      <c r="H1610">
        <f>+INDEX(Sheet1!C:C, MATCH(Hoja1!G1610, Sheet1!D:D, 0))</f>
        <v>43533.8</v>
      </c>
      <c r="I1610">
        <f>+INDEX(Sheet1!G:G, MATCH(Hoja1!G1610, Sheet1!I:I, 0))</f>
        <v>108123</v>
      </c>
      <c r="J1610" s="2">
        <f>+INDEX(Sheet1!H:H, MATCH(Hoja1!G1610, Sheet1!I:I, 0))</f>
        <v>1.3925617509705734E-2</v>
      </c>
      <c r="K1610" s="2">
        <f>+INDEX(Sheet1!L:L, MATCH(Hoja1!G1610,Sheet1!M:M, 0))</f>
        <v>6.7</v>
      </c>
    </row>
    <row r="1611" spans="1:11" ht="16" x14ac:dyDescent="0.25">
      <c r="A1611" t="s">
        <v>1250</v>
      </c>
      <c r="B1611">
        <v>2</v>
      </c>
      <c r="C1611">
        <v>2023</v>
      </c>
      <c r="D1611" t="s">
        <v>1266</v>
      </c>
      <c r="E1611">
        <v>1.9</v>
      </c>
      <c r="F1611">
        <v>647464</v>
      </c>
      <c r="G1611" s="1" t="str">
        <f t="shared" si="25"/>
        <v>Vermont2023</v>
      </c>
      <c r="H1611">
        <f>+INDEX(Sheet1!C:C, MATCH(Hoja1!G1611, Sheet1!D:D, 0))</f>
        <v>43533.8</v>
      </c>
      <c r="I1611">
        <f>+INDEX(Sheet1!G:G, MATCH(Hoja1!G1611, Sheet1!I:I, 0))</f>
        <v>108123</v>
      </c>
      <c r="J1611" s="2">
        <f>+INDEX(Sheet1!H:H, MATCH(Hoja1!G1611, Sheet1!I:I, 0))</f>
        <v>1.3925617509705734E-2</v>
      </c>
      <c r="K1611" s="2">
        <f>+INDEX(Sheet1!L:L, MATCH(Hoja1!G1611,Sheet1!M:M, 0))</f>
        <v>6.7</v>
      </c>
    </row>
    <row r="1612" spans="1:11" ht="16" x14ac:dyDescent="0.25">
      <c r="A1612" t="s">
        <v>1250</v>
      </c>
      <c r="B1612">
        <v>3</v>
      </c>
      <c r="C1612">
        <v>2023</v>
      </c>
      <c r="D1612" t="s">
        <v>1267</v>
      </c>
      <c r="E1612">
        <v>1.8</v>
      </c>
      <c r="F1612">
        <v>647464</v>
      </c>
      <c r="G1612" s="1" t="str">
        <f t="shared" si="25"/>
        <v>Vermont2023</v>
      </c>
      <c r="H1612">
        <f>+INDEX(Sheet1!C:C, MATCH(Hoja1!G1612, Sheet1!D:D, 0))</f>
        <v>43533.8</v>
      </c>
      <c r="I1612">
        <f>+INDEX(Sheet1!G:G, MATCH(Hoja1!G1612, Sheet1!I:I, 0))</f>
        <v>108123</v>
      </c>
      <c r="J1612" s="2">
        <f>+INDEX(Sheet1!H:H, MATCH(Hoja1!G1612, Sheet1!I:I, 0))</f>
        <v>1.3925617509705734E-2</v>
      </c>
      <c r="K1612" s="2">
        <f>+INDEX(Sheet1!L:L, MATCH(Hoja1!G1612,Sheet1!M:M, 0))</f>
        <v>6.7</v>
      </c>
    </row>
    <row r="1613" spans="1:11" ht="16" x14ac:dyDescent="0.25">
      <c r="A1613" t="s">
        <v>1250</v>
      </c>
      <c r="B1613">
        <v>4</v>
      </c>
      <c r="C1613">
        <v>2023</v>
      </c>
      <c r="D1613" t="s">
        <v>1268</v>
      </c>
      <c r="E1613">
        <v>1.7</v>
      </c>
      <c r="F1613">
        <v>647464</v>
      </c>
      <c r="G1613" s="1" t="str">
        <f t="shared" si="25"/>
        <v>Vermont2023</v>
      </c>
      <c r="H1613">
        <f>+INDEX(Sheet1!C:C, MATCH(Hoja1!G1613, Sheet1!D:D, 0))</f>
        <v>43533.8</v>
      </c>
      <c r="I1613">
        <f>+INDEX(Sheet1!G:G, MATCH(Hoja1!G1613, Sheet1!I:I, 0))</f>
        <v>108123</v>
      </c>
      <c r="J1613" s="2">
        <f>+INDEX(Sheet1!H:H, MATCH(Hoja1!G1613, Sheet1!I:I, 0))</f>
        <v>1.3925617509705734E-2</v>
      </c>
      <c r="K1613" s="2">
        <f>+INDEX(Sheet1!L:L, MATCH(Hoja1!G1613,Sheet1!M:M, 0))</f>
        <v>6.7</v>
      </c>
    </row>
    <row r="1614" spans="1:11" ht="16" x14ac:dyDescent="0.25">
      <c r="A1614" t="s">
        <v>1250</v>
      </c>
      <c r="B1614">
        <v>5</v>
      </c>
      <c r="C1614">
        <v>2023</v>
      </c>
      <c r="D1614" t="s">
        <v>1269</v>
      </c>
      <c r="E1614">
        <v>1.7</v>
      </c>
      <c r="F1614">
        <v>647464</v>
      </c>
      <c r="G1614" s="1" t="str">
        <f t="shared" si="25"/>
        <v>Vermont2023</v>
      </c>
      <c r="H1614">
        <f>+INDEX(Sheet1!C:C, MATCH(Hoja1!G1614, Sheet1!D:D, 0))</f>
        <v>43533.8</v>
      </c>
      <c r="I1614">
        <f>+INDEX(Sheet1!G:G, MATCH(Hoja1!G1614, Sheet1!I:I, 0))</f>
        <v>108123</v>
      </c>
      <c r="J1614" s="2">
        <f>+INDEX(Sheet1!H:H, MATCH(Hoja1!G1614, Sheet1!I:I, 0))</f>
        <v>1.3925617509705734E-2</v>
      </c>
      <c r="K1614" s="2">
        <f>+INDEX(Sheet1!L:L, MATCH(Hoja1!G1614,Sheet1!M:M, 0))</f>
        <v>6.7</v>
      </c>
    </row>
    <row r="1615" spans="1:11" ht="16" x14ac:dyDescent="0.25">
      <c r="A1615" t="s">
        <v>1250</v>
      </c>
      <c r="B1615">
        <v>6</v>
      </c>
      <c r="C1615">
        <v>2023</v>
      </c>
      <c r="D1615" t="s">
        <v>1270</v>
      </c>
      <c r="E1615">
        <v>1.8</v>
      </c>
      <c r="F1615">
        <v>647464</v>
      </c>
      <c r="G1615" s="1" t="str">
        <f t="shared" si="25"/>
        <v>Vermont2023</v>
      </c>
      <c r="H1615">
        <f>+INDEX(Sheet1!C:C, MATCH(Hoja1!G1615, Sheet1!D:D, 0))</f>
        <v>43533.8</v>
      </c>
      <c r="I1615">
        <f>+INDEX(Sheet1!G:G, MATCH(Hoja1!G1615, Sheet1!I:I, 0))</f>
        <v>108123</v>
      </c>
      <c r="J1615" s="2">
        <f>+INDEX(Sheet1!H:H, MATCH(Hoja1!G1615, Sheet1!I:I, 0))</f>
        <v>1.3925617509705734E-2</v>
      </c>
      <c r="K1615" s="2">
        <f>+INDEX(Sheet1!L:L, MATCH(Hoja1!G1615,Sheet1!M:M, 0))</f>
        <v>6.7</v>
      </c>
    </row>
    <row r="1616" spans="1:11" ht="16" x14ac:dyDescent="0.25">
      <c r="A1616" t="s">
        <v>1250</v>
      </c>
      <c r="B1616">
        <v>7</v>
      </c>
      <c r="C1616">
        <v>2023</v>
      </c>
      <c r="D1616" t="s">
        <v>1271</v>
      </c>
      <c r="E1616">
        <v>1.9</v>
      </c>
      <c r="F1616">
        <v>647464</v>
      </c>
      <c r="G1616" s="1" t="str">
        <f t="shared" si="25"/>
        <v>Vermont2023</v>
      </c>
      <c r="H1616">
        <f>+INDEX(Sheet1!C:C, MATCH(Hoja1!G1616, Sheet1!D:D, 0))</f>
        <v>43533.8</v>
      </c>
      <c r="I1616">
        <f>+INDEX(Sheet1!G:G, MATCH(Hoja1!G1616, Sheet1!I:I, 0))</f>
        <v>108123</v>
      </c>
      <c r="J1616" s="2">
        <f>+INDEX(Sheet1!H:H, MATCH(Hoja1!G1616, Sheet1!I:I, 0))</f>
        <v>1.3925617509705734E-2</v>
      </c>
      <c r="K1616" s="2">
        <f>+INDEX(Sheet1!L:L, MATCH(Hoja1!G1616,Sheet1!M:M, 0))</f>
        <v>6.7</v>
      </c>
    </row>
    <row r="1617" spans="1:11" ht="16" x14ac:dyDescent="0.25">
      <c r="A1617" t="s">
        <v>1250</v>
      </c>
      <c r="B1617">
        <v>8</v>
      </c>
      <c r="C1617">
        <v>2023</v>
      </c>
      <c r="D1617" t="s">
        <v>1272</v>
      </c>
      <c r="E1617">
        <v>2.1</v>
      </c>
      <c r="F1617">
        <v>647464</v>
      </c>
      <c r="G1617" s="1" t="str">
        <f t="shared" si="25"/>
        <v>Vermont2023</v>
      </c>
      <c r="H1617">
        <f>+INDEX(Sheet1!C:C, MATCH(Hoja1!G1617, Sheet1!D:D, 0))</f>
        <v>43533.8</v>
      </c>
      <c r="I1617">
        <f>+INDEX(Sheet1!G:G, MATCH(Hoja1!G1617, Sheet1!I:I, 0))</f>
        <v>108123</v>
      </c>
      <c r="J1617" s="2">
        <f>+INDEX(Sheet1!H:H, MATCH(Hoja1!G1617, Sheet1!I:I, 0))</f>
        <v>1.3925617509705734E-2</v>
      </c>
      <c r="K1617" s="2">
        <f>+INDEX(Sheet1!L:L, MATCH(Hoja1!G1617,Sheet1!M:M, 0))</f>
        <v>6.7</v>
      </c>
    </row>
    <row r="1618" spans="1:11" ht="16" x14ac:dyDescent="0.25">
      <c r="A1618" t="s">
        <v>1250</v>
      </c>
      <c r="B1618">
        <v>9</v>
      </c>
      <c r="C1618">
        <v>2023</v>
      </c>
      <c r="D1618" t="s">
        <v>1270</v>
      </c>
      <c r="E1618">
        <v>2.2000000000000002</v>
      </c>
      <c r="F1618">
        <v>647464</v>
      </c>
      <c r="G1618" s="1" t="str">
        <f t="shared" si="25"/>
        <v>Vermont2023</v>
      </c>
      <c r="H1618">
        <f>+INDEX(Sheet1!C:C, MATCH(Hoja1!G1618, Sheet1!D:D, 0))</f>
        <v>43533.8</v>
      </c>
      <c r="I1618">
        <f>+INDEX(Sheet1!G:G, MATCH(Hoja1!G1618, Sheet1!I:I, 0))</f>
        <v>108123</v>
      </c>
      <c r="J1618" s="2">
        <f>+INDEX(Sheet1!H:H, MATCH(Hoja1!G1618, Sheet1!I:I, 0))</f>
        <v>1.3925617509705734E-2</v>
      </c>
      <c r="K1618" s="2">
        <f>+INDEX(Sheet1!L:L, MATCH(Hoja1!G1618,Sheet1!M:M, 0))</f>
        <v>6.7</v>
      </c>
    </row>
    <row r="1619" spans="1:11" ht="16" x14ac:dyDescent="0.25">
      <c r="A1619" t="s">
        <v>1250</v>
      </c>
      <c r="B1619">
        <v>10</v>
      </c>
      <c r="C1619">
        <v>2023</v>
      </c>
      <c r="D1619" t="s">
        <v>1273</v>
      </c>
      <c r="E1619">
        <v>2.2999999999999998</v>
      </c>
      <c r="F1619">
        <v>647464</v>
      </c>
      <c r="G1619" s="1" t="str">
        <f t="shared" si="25"/>
        <v>Vermont2023</v>
      </c>
      <c r="H1619">
        <f>+INDEX(Sheet1!C:C, MATCH(Hoja1!G1619, Sheet1!D:D, 0))</f>
        <v>43533.8</v>
      </c>
      <c r="I1619">
        <f>+INDEX(Sheet1!G:G, MATCH(Hoja1!G1619, Sheet1!I:I, 0))</f>
        <v>108123</v>
      </c>
      <c r="J1619" s="2">
        <f>+INDEX(Sheet1!H:H, MATCH(Hoja1!G1619, Sheet1!I:I, 0))</f>
        <v>1.3925617509705734E-2</v>
      </c>
      <c r="K1619" s="2">
        <f>+INDEX(Sheet1!L:L, MATCH(Hoja1!G1619,Sheet1!M:M, 0))</f>
        <v>6.7</v>
      </c>
    </row>
    <row r="1620" spans="1:11" ht="16" x14ac:dyDescent="0.25">
      <c r="A1620" t="s">
        <v>1250</v>
      </c>
      <c r="B1620">
        <v>11</v>
      </c>
      <c r="C1620">
        <v>2023</v>
      </c>
      <c r="D1620" t="s">
        <v>1274</v>
      </c>
      <c r="E1620">
        <v>2.2999999999999998</v>
      </c>
      <c r="F1620">
        <v>647464</v>
      </c>
      <c r="G1620" s="1" t="str">
        <f t="shared" si="25"/>
        <v>Vermont2023</v>
      </c>
      <c r="H1620">
        <f>+INDEX(Sheet1!C:C, MATCH(Hoja1!G1620, Sheet1!D:D, 0))</f>
        <v>43533.8</v>
      </c>
      <c r="I1620">
        <f>+INDEX(Sheet1!G:G, MATCH(Hoja1!G1620, Sheet1!I:I, 0))</f>
        <v>108123</v>
      </c>
      <c r="J1620" s="2">
        <f>+INDEX(Sheet1!H:H, MATCH(Hoja1!G1620, Sheet1!I:I, 0))</f>
        <v>1.3925617509705734E-2</v>
      </c>
      <c r="K1620" s="2">
        <f>+INDEX(Sheet1!L:L, MATCH(Hoja1!G1620,Sheet1!M:M, 0))</f>
        <v>6.7</v>
      </c>
    </row>
    <row r="1621" spans="1:11" ht="16" x14ac:dyDescent="0.25">
      <c r="A1621" t="s">
        <v>1250</v>
      </c>
      <c r="B1621">
        <v>12</v>
      </c>
      <c r="C1621">
        <v>2023</v>
      </c>
      <c r="D1621" t="s">
        <v>1275</v>
      </c>
      <c r="E1621">
        <v>2.2999999999999998</v>
      </c>
      <c r="F1621">
        <v>647464</v>
      </c>
      <c r="G1621" s="1" t="str">
        <f t="shared" si="25"/>
        <v>Vermont2023</v>
      </c>
      <c r="H1621">
        <f>+INDEX(Sheet1!C:C, MATCH(Hoja1!G1621, Sheet1!D:D, 0))</f>
        <v>43533.8</v>
      </c>
      <c r="I1621">
        <f>+INDEX(Sheet1!G:G, MATCH(Hoja1!G1621, Sheet1!I:I, 0))</f>
        <v>108123</v>
      </c>
      <c r="J1621" s="2">
        <f>+INDEX(Sheet1!H:H, MATCH(Hoja1!G1621, Sheet1!I:I, 0))</f>
        <v>1.3925617509705734E-2</v>
      </c>
      <c r="K1621" s="2">
        <f>+INDEX(Sheet1!L:L, MATCH(Hoja1!G1621,Sheet1!M:M, 0))</f>
        <v>6.7</v>
      </c>
    </row>
    <row r="1622" spans="1:11" ht="16" x14ac:dyDescent="0.25">
      <c r="A1622" t="s">
        <v>1276</v>
      </c>
      <c r="B1622">
        <v>1</v>
      </c>
      <c r="C1622">
        <v>2021</v>
      </c>
      <c r="D1622" t="s">
        <v>452</v>
      </c>
      <c r="E1622">
        <v>4.8</v>
      </c>
      <c r="F1622">
        <v>8657348</v>
      </c>
      <c r="G1622" s="1" t="str">
        <f t="shared" si="25"/>
        <v>Virginia2021</v>
      </c>
      <c r="H1622">
        <f>+INDEX(Sheet1!C:C, MATCH(Hoja1!G1622, Sheet1!D:D, 0))</f>
        <v>615984.69999999995</v>
      </c>
      <c r="I1622">
        <f>+INDEX(Sheet1!G:G, MATCH(Hoja1!G1622, Sheet1!I:I, 0))</f>
        <v>109764</v>
      </c>
      <c r="J1622" s="2">
        <f>+INDEX(Sheet1!H:H, MATCH(Hoja1!G1622, Sheet1!I:I, 0))</f>
        <v>5.7874497633940189E-2</v>
      </c>
      <c r="K1622" s="2">
        <f>+INDEX(Sheet1!L:L, MATCH(Hoja1!G1622,Sheet1!M:M, 0))</f>
        <v>9.8000000000000007</v>
      </c>
    </row>
    <row r="1623" spans="1:11" ht="16" x14ac:dyDescent="0.25">
      <c r="A1623" t="s">
        <v>1276</v>
      </c>
      <c r="B1623">
        <v>2</v>
      </c>
      <c r="C1623">
        <v>2021</v>
      </c>
      <c r="D1623" t="s">
        <v>1277</v>
      </c>
      <c r="E1623">
        <v>4.7</v>
      </c>
      <c r="F1623">
        <v>8657348</v>
      </c>
      <c r="G1623" s="1" t="str">
        <f t="shared" si="25"/>
        <v>Virginia2021</v>
      </c>
      <c r="H1623">
        <f>+INDEX(Sheet1!C:C, MATCH(Hoja1!G1623, Sheet1!D:D, 0))</f>
        <v>615984.69999999995</v>
      </c>
      <c r="I1623">
        <f>+INDEX(Sheet1!G:G, MATCH(Hoja1!G1623, Sheet1!I:I, 0))</f>
        <v>109764</v>
      </c>
      <c r="J1623" s="2">
        <f>+INDEX(Sheet1!H:H, MATCH(Hoja1!G1623, Sheet1!I:I, 0))</f>
        <v>5.7874497633940189E-2</v>
      </c>
      <c r="K1623" s="2">
        <f>+INDEX(Sheet1!L:L, MATCH(Hoja1!G1623,Sheet1!M:M, 0))</f>
        <v>9.8000000000000007</v>
      </c>
    </row>
    <row r="1624" spans="1:11" ht="16" x14ac:dyDescent="0.25">
      <c r="A1624" t="s">
        <v>1276</v>
      </c>
      <c r="B1624">
        <v>3</v>
      </c>
      <c r="C1624">
        <v>2021</v>
      </c>
      <c r="D1624" t="s">
        <v>987</v>
      </c>
      <c r="E1624">
        <v>4.5</v>
      </c>
      <c r="F1624">
        <v>8657348</v>
      </c>
      <c r="G1624" s="1" t="str">
        <f t="shared" si="25"/>
        <v>Virginia2021</v>
      </c>
      <c r="H1624">
        <f>+INDEX(Sheet1!C:C, MATCH(Hoja1!G1624, Sheet1!D:D, 0))</f>
        <v>615984.69999999995</v>
      </c>
      <c r="I1624">
        <f>+INDEX(Sheet1!G:G, MATCH(Hoja1!G1624, Sheet1!I:I, 0))</f>
        <v>109764</v>
      </c>
      <c r="J1624" s="2">
        <f>+INDEX(Sheet1!H:H, MATCH(Hoja1!G1624, Sheet1!I:I, 0))</f>
        <v>5.7874497633940189E-2</v>
      </c>
      <c r="K1624" s="2">
        <f>+INDEX(Sheet1!L:L, MATCH(Hoja1!G1624,Sheet1!M:M, 0))</f>
        <v>9.8000000000000007</v>
      </c>
    </row>
    <row r="1625" spans="1:11" ht="16" x14ac:dyDescent="0.25">
      <c r="A1625" t="s">
        <v>1276</v>
      </c>
      <c r="B1625">
        <v>4</v>
      </c>
      <c r="C1625">
        <v>2021</v>
      </c>
      <c r="D1625" t="s">
        <v>872</v>
      </c>
      <c r="E1625">
        <v>4.4000000000000004</v>
      </c>
      <c r="F1625">
        <v>8657348</v>
      </c>
      <c r="G1625" s="1" t="str">
        <f t="shared" si="25"/>
        <v>Virginia2021</v>
      </c>
      <c r="H1625">
        <f>+INDEX(Sheet1!C:C, MATCH(Hoja1!G1625, Sheet1!D:D, 0))</f>
        <v>615984.69999999995</v>
      </c>
      <c r="I1625">
        <f>+INDEX(Sheet1!G:G, MATCH(Hoja1!G1625, Sheet1!I:I, 0))</f>
        <v>109764</v>
      </c>
      <c r="J1625" s="2">
        <f>+INDEX(Sheet1!H:H, MATCH(Hoja1!G1625, Sheet1!I:I, 0))</f>
        <v>5.7874497633940189E-2</v>
      </c>
      <c r="K1625" s="2">
        <f>+INDEX(Sheet1!L:L, MATCH(Hoja1!G1625,Sheet1!M:M, 0))</f>
        <v>9.8000000000000007</v>
      </c>
    </row>
    <row r="1626" spans="1:11" ht="16" x14ac:dyDescent="0.25">
      <c r="A1626" t="s">
        <v>1276</v>
      </c>
      <c r="B1626">
        <v>5</v>
      </c>
      <c r="C1626">
        <v>2021</v>
      </c>
      <c r="D1626" t="s">
        <v>609</v>
      </c>
      <c r="E1626">
        <v>4.2</v>
      </c>
      <c r="F1626">
        <v>8657348</v>
      </c>
      <c r="G1626" s="1" t="str">
        <f t="shared" si="25"/>
        <v>Virginia2021</v>
      </c>
      <c r="H1626">
        <f>+INDEX(Sheet1!C:C, MATCH(Hoja1!G1626, Sheet1!D:D, 0))</f>
        <v>615984.69999999995</v>
      </c>
      <c r="I1626">
        <f>+INDEX(Sheet1!G:G, MATCH(Hoja1!G1626, Sheet1!I:I, 0))</f>
        <v>109764</v>
      </c>
      <c r="J1626" s="2">
        <f>+INDEX(Sheet1!H:H, MATCH(Hoja1!G1626, Sheet1!I:I, 0))</f>
        <v>5.7874497633940189E-2</v>
      </c>
      <c r="K1626" s="2">
        <f>+INDEX(Sheet1!L:L, MATCH(Hoja1!G1626,Sheet1!M:M, 0))</f>
        <v>9.8000000000000007</v>
      </c>
    </row>
    <row r="1627" spans="1:11" ht="16" x14ac:dyDescent="0.25">
      <c r="A1627" t="s">
        <v>1276</v>
      </c>
      <c r="B1627">
        <v>6</v>
      </c>
      <c r="C1627">
        <v>2021</v>
      </c>
      <c r="D1627" t="s">
        <v>1278</v>
      </c>
      <c r="E1627">
        <v>4</v>
      </c>
      <c r="F1627">
        <v>8657348</v>
      </c>
      <c r="G1627" s="1" t="str">
        <f t="shared" si="25"/>
        <v>Virginia2021</v>
      </c>
      <c r="H1627">
        <f>+INDEX(Sheet1!C:C, MATCH(Hoja1!G1627, Sheet1!D:D, 0))</f>
        <v>615984.69999999995</v>
      </c>
      <c r="I1627">
        <f>+INDEX(Sheet1!G:G, MATCH(Hoja1!G1627, Sheet1!I:I, 0))</f>
        <v>109764</v>
      </c>
      <c r="J1627" s="2">
        <f>+INDEX(Sheet1!H:H, MATCH(Hoja1!G1627, Sheet1!I:I, 0))</f>
        <v>5.7874497633940189E-2</v>
      </c>
      <c r="K1627" s="2">
        <f>+INDEX(Sheet1!L:L, MATCH(Hoja1!G1627,Sheet1!M:M, 0))</f>
        <v>9.8000000000000007</v>
      </c>
    </row>
    <row r="1628" spans="1:11" ht="16" x14ac:dyDescent="0.25">
      <c r="A1628" t="s">
        <v>1276</v>
      </c>
      <c r="B1628">
        <v>7</v>
      </c>
      <c r="C1628">
        <v>2021</v>
      </c>
      <c r="D1628" t="s">
        <v>1279</v>
      </c>
      <c r="E1628">
        <v>3.8</v>
      </c>
      <c r="F1628">
        <v>8657348</v>
      </c>
      <c r="G1628" s="1" t="str">
        <f t="shared" si="25"/>
        <v>Virginia2021</v>
      </c>
      <c r="H1628">
        <f>+INDEX(Sheet1!C:C, MATCH(Hoja1!G1628, Sheet1!D:D, 0))</f>
        <v>615984.69999999995</v>
      </c>
      <c r="I1628">
        <f>+INDEX(Sheet1!G:G, MATCH(Hoja1!G1628, Sheet1!I:I, 0))</f>
        <v>109764</v>
      </c>
      <c r="J1628" s="2">
        <f>+INDEX(Sheet1!H:H, MATCH(Hoja1!G1628, Sheet1!I:I, 0))</f>
        <v>5.7874497633940189E-2</v>
      </c>
      <c r="K1628" s="2">
        <f>+INDEX(Sheet1!L:L, MATCH(Hoja1!G1628,Sheet1!M:M, 0))</f>
        <v>9.8000000000000007</v>
      </c>
    </row>
    <row r="1629" spans="1:11" ht="16" x14ac:dyDescent="0.25">
      <c r="A1629" t="s">
        <v>1276</v>
      </c>
      <c r="B1629">
        <v>8</v>
      </c>
      <c r="C1629">
        <v>2021</v>
      </c>
      <c r="D1629" t="s">
        <v>1280</v>
      </c>
      <c r="E1629">
        <v>3.5</v>
      </c>
      <c r="F1629">
        <v>8657348</v>
      </c>
      <c r="G1629" s="1" t="str">
        <f t="shared" si="25"/>
        <v>Virginia2021</v>
      </c>
      <c r="H1629">
        <f>+INDEX(Sheet1!C:C, MATCH(Hoja1!G1629, Sheet1!D:D, 0))</f>
        <v>615984.69999999995</v>
      </c>
      <c r="I1629">
        <f>+INDEX(Sheet1!G:G, MATCH(Hoja1!G1629, Sheet1!I:I, 0))</f>
        <v>109764</v>
      </c>
      <c r="J1629" s="2">
        <f>+INDEX(Sheet1!H:H, MATCH(Hoja1!G1629, Sheet1!I:I, 0))</f>
        <v>5.7874497633940189E-2</v>
      </c>
      <c r="K1629" s="2">
        <f>+INDEX(Sheet1!L:L, MATCH(Hoja1!G1629,Sheet1!M:M, 0))</f>
        <v>9.8000000000000007</v>
      </c>
    </row>
    <row r="1630" spans="1:11" ht="16" x14ac:dyDescent="0.25">
      <c r="A1630" t="s">
        <v>1276</v>
      </c>
      <c r="B1630">
        <v>9</v>
      </c>
      <c r="C1630">
        <v>2021</v>
      </c>
      <c r="D1630" t="s">
        <v>189</v>
      </c>
      <c r="E1630">
        <v>3.3</v>
      </c>
      <c r="F1630">
        <v>8657348</v>
      </c>
      <c r="G1630" s="1" t="str">
        <f t="shared" si="25"/>
        <v>Virginia2021</v>
      </c>
      <c r="H1630">
        <f>+INDEX(Sheet1!C:C, MATCH(Hoja1!G1630, Sheet1!D:D, 0))</f>
        <v>615984.69999999995</v>
      </c>
      <c r="I1630">
        <f>+INDEX(Sheet1!G:G, MATCH(Hoja1!G1630, Sheet1!I:I, 0))</f>
        <v>109764</v>
      </c>
      <c r="J1630" s="2">
        <f>+INDEX(Sheet1!H:H, MATCH(Hoja1!G1630, Sheet1!I:I, 0))</f>
        <v>5.7874497633940189E-2</v>
      </c>
      <c r="K1630" s="2">
        <f>+INDEX(Sheet1!L:L, MATCH(Hoja1!G1630,Sheet1!M:M, 0))</f>
        <v>9.8000000000000007</v>
      </c>
    </row>
    <row r="1631" spans="1:11" ht="16" x14ac:dyDescent="0.25">
      <c r="A1631" t="s">
        <v>1276</v>
      </c>
      <c r="B1631">
        <v>10</v>
      </c>
      <c r="C1631">
        <v>2021</v>
      </c>
      <c r="D1631" t="s">
        <v>207</v>
      </c>
      <c r="E1631">
        <v>3.1</v>
      </c>
      <c r="F1631">
        <v>8657348</v>
      </c>
      <c r="G1631" s="1" t="str">
        <f t="shared" si="25"/>
        <v>Virginia2021</v>
      </c>
      <c r="H1631">
        <f>+INDEX(Sheet1!C:C, MATCH(Hoja1!G1631, Sheet1!D:D, 0))</f>
        <v>615984.69999999995</v>
      </c>
      <c r="I1631">
        <f>+INDEX(Sheet1!G:G, MATCH(Hoja1!G1631, Sheet1!I:I, 0))</f>
        <v>109764</v>
      </c>
      <c r="J1631" s="2">
        <f>+INDEX(Sheet1!H:H, MATCH(Hoja1!G1631, Sheet1!I:I, 0))</f>
        <v>5.7874497633940189E-2</v>
      </c>
      <c r="K1631" s="2">
        <f>+INDEX(Sheet1!L:L, MATCH(Hoja1!G1631,Sheet1!M:M, 0))</f>
        <v>9.8000000000000007</v>
      </c>
    </row>
    <row r="1632" spans="1:11" ht="16" x14ac:dyDescent="0.25">
      <c r="A1632" t="s">
        <v>1276</v>
      </c>
      <c r="B1632">
        <v>11</v>
      </c>
      <c r="C1632">
        <v>2021</v>
      </c>
      <c r="D1632" t="s">
        <v>1281</v>
      </c>
      <c r="E1632">
        <v>3</v>
      </c>
      <c r="F1632">
        <v>8657348</v>
      </c>
      <c r="G1632" s="1" t="str">
        <f t="shared" si="25"/>
        <v>Virginia2021</v>
      </c>
      <c r="H1632">
        <f>+INDEX(Sheet1!C:C, MATCH(Hoja1!G1632, Sheet1!D:D, 0))</f>
        <v>615984.69999999995</v>
      </c>
      <c r="I1632">
        <f>+INDEX(Sheet1!G:G, MATCH(Hoja1!G1632, Sheet1!I:I, 0))</f>
        <v>109764</v>
      </c>
      <c r="J1632" s="2">
        <f>+INDEX(Sheet1!H:H, MATCH(Hoja1!G1632, Sheet1!I:I, 0))</f>
        <v>5.7874497633940189E-2</v>
      </c>
      <c r="K1632" s="2">
        <f>+INDEX(Sheet1!L:L, MATCH(Hoja1!G1632,Sheet1!M:M, 0))</f>
        <v>9.8000000000000007</v>
      </c>
    </row>
    <row r="1633" spans="1:11" ht="16" x14ac:dyDescent="0.25">
      <c r="A1633" t="s">
        <v>1276</v>
      </c>
      <c r="B1633">
        <v>12</v>
      </c>
      <c r="C1633">
        <v>2021</v>
      </c>
      <c r="D1633" t="s">
        <v>1282</v>
      </c>
      <c r="E1633">
        <v>2.9</v>
      </c>
      <c r="F1633">
        <v>8657348</v>
      </c>
      <c r="G1633" s="1" t="str">
        <f t="shared" si="25"/>
        <v>Virginia2021</v>
      </c>
      <c r="H1633">
        <f>+INDEX(Sheet1!C:C, MATCH(Hoja1!G1633, Sheet1!D:D, 0))</f>
        <v>615984.69999999995</v>
      </c>
      <c r="I1633">
        <f>+INDEX(Sheet1!G:G, MATCH(Hoja1!G1633, Sheet1!I:I, 0))</f>
        <v>109764</v>
      </c>
      <c r="J1633" s="2">
        <f>+INDEX(Sheet1!H:H, MATCH(Hoja1!G1633, Sheet1!I:I, 0))</f>
        <v>5.7874497633940189E-2</v>
      </c>
      <c r="K1633" s="2">
        <f>+INDEX(Sheet1!L:L, MATCH(Hoja1!G1633,Sheet1!M:M, 0))</f>
        <v>9.8000000000000007</v>
      </c>
    </row>
    <row r="1634" spans="1:11" ht="16" x14ac:dyDescent="0.25">
      <c r="A1634" t="s">
        <v>1276</v>
      </c>
      <c r="B1634">
        <v>1</v>
      </c>
      <c r="C1634">
        <v>2022</v>
      </c>
      <c r="D1634" t="s">
        <v>174</v>
      </c>
      <c r="E1634">
        <v>2.8</v>
      </c>
      <c r="F1634">
        <v>8679099</v>
      </c>
      <c r="G1634" s="1" t="str">
        <f t="shared" si="25"/>
        <v>Virginia2022</v>
      </c>
      <c r="H1634">
        <f>+INDEX(Sheet1!C:C, MATCH(Hoja1!G1634, Sheet1!D:D, 0))</f>
        <v>666681.80000000005</v>
      </c>
      <c r="I1634">
        <f>+INDEX(Sheet1!G:G, MATCH(Hoja1!G1634, Sheet1!I:I, 0))</f>
        <v>112677</v>
      </c>
      <c r="J1634" s="2">
        <f>+INDEX(Sheet1!H:H, MATCH(Hoja1!G1634, Sheet1!I:I, 0))</f>
        <v>2.6538755876243578E-2</v>
      </c>
      <c r="K1634" s="2">
        <f>+INDEX(Sheet1!L:L, MATCH(Hoja1!G1634,Sheet1!M:M, 0))</f>
        <v>8.3000000000000007</v>
      </c>
    </row>
    <row r="1635" spans="1:11" ht="16" x14ac:dyDescent="0.25">
      <c r="A1635" t="s">
        <v>1276</v>
      </c>
      <c r="B1635">
        <v>2</v>
      </c>
      <c r="C1635">
        <v>2022</v>
      </c>
      <c r="D1635" t="s">
        <v>1283</v>
      </c>
      <c r="E1635">
        <v>2.7</v>
      </c>
      <c r="F1635">
        <v>8679099</v>
      </c>
      <c r="G1635" s="1" t="str">
        <f t="shared" si="25"/>
        <v>Virginia2022</v>
      </c>
      <c r="H1635">
        <f>+INDEX(Sheet1!C:C, MATCH(Hoja1!G1635, Sheet1!D:D, 0))</f>
        <v>666681.80000000005</v>
      </c>
      <c r="I1635">
        <f>+INDEX(Sheet1!G:G, MATCH(Hoja1!G1635, Sheet1!I:I, 0))</f>
        <v>112677</v>
      </c>
      <c r="J1635" s="2">
        <f>+INDEX(Sheet1!H:H, MATCH(Hoja1!G1635, Sheet1!I:I, 0))</f>
        <v>2.6538755876243578E-2</v>
      </c>
      <c r="K1635" s="2">
        <f>+INDEX(Sheet1!L:L, MATCH(Hoja1!G1635,Sheet1!M:M, 0))</f>
        <v>8.3000000000000007</v>
      </c>
    </row>
    <row r="1636" spans="1:11" ht="16" x14ac:dyDescent="0.25">
      <c r="A1636" t="s">
        <v>1276</v>
      </c>
      <c r="B1636">
        <v>3</v>
      </c>
      <c r="C1636">
        <v>2022</v>
      </c>
      <c r="D1636" t="s">
        <v>1284</v>
      </c>
      <c r="E1636">
        <v>2.7</v>
      </c>
      <c r="F1636">
        <v>8679099</v>
      </c>
      <c r="G1636" s="1" t="str">
        <f t="shared" si="25"/>
        <v>Virginia2022</v>
      </c>
      <c r="H1636">
        <f>+INDEX(Sheet1!C:C, MATCH(Hoja1!G1636, Sheet1!D:D, 0))</f>
        <v>666681.80000000005</v>
      </c>
      <c r="I1636">
        <f>+INDEX(Sheet1!G:G, MATCH(Hoja1!G1636, Sheet1!I:I, 0))</f>
        <v>112677</v>
      </c>
      <c r="J1636" s="2">
        <f>+INDEX(Sheet1!H:H, MATCH(Hoja1!G1636, Sheet1!I:I, 0))</f>
        <v>2.6538755876243578E-2</v>
      </c>
      <c r="K1636" s="2">
        <f>+INDEX(Sheet1!L:L, MATCH(Hoja1!G1636,Sheet1!M:M, 0))</f>
        <v>8.3000000000000007</v>
      </c>
    </row>
    <row r="1637" spans="1:11" ht="16" x14ac:dyDescent="0.25">
      <c r="A1637" t="s">
        <v>1276</v>
      </c>
      <c r="B1637">
        <v>4</v>
      </c>
      <c r="C1637">
        <v>2022</v>
      </c>
      <c r="D1637" t="s">
        <v>1285</v>
      </c>
      <c r="E1637">
        <v>2.6</v>
      </c>
      <c r="F1637">
        <v>8679099</v>
      </c>
      <c r="G1637" s="1" t="str">
        <f t="shared" si="25"/>
        <v>Virginia2022</v>
      </c>
      <c r="H1637">
        <f>+INDEX(Sheet1!C:C, MATCH(Hoja1!G1637, Sheet1!D:D, 0))</f>
        <v>666681.80000000005</v>
      </c>
      <c r="I1637">
        <f>+INDEX(Sheet1!G:G, MATCH(Hoja1!G1637, Sheet1!I:I, 0))</f>
        <v>112677</v>
      </c>
      <c r="J1637" s="2">
        <f>+INDEX(Sheet1!H:H, MATCH(Hoja1!G1637, Sheet1!I:I, 0))</f>
        <v>2.6538755876243578E-2</v>
      </c>
      <c r="K1637" s="2">
        <f>+INDEX(Sheet1!L:L, MATCH(Hoja1!G1637,Sheet1!M:M, 0))</f>
        <v>8.3000000000000007</v>
      </c>
    </row>
    <row r="1638" spans="1:11" ht="16" x14ac:dyDescent="0.25">
      <c r="A1638" t="s">
        <v>1276</v>
      </c>
      <c r="B1638">
        <v>5</v>
      </c>
      <c r="C1638">
        <v>2022</v>
      </c>
      <c r="D1638" t="s">
        <v>976</v>
      </c>
      <c r="E1638">
        <v>2.5</v>
      </c>
      <c r="F1638">
        <v>8679099</v>
      </c>
      <c r="G1638" s="1" t="str">
        <f t="shared" si="25"/>
        <v>Virginia2022</v>
      </c>
      <c r="H1638">
        <f>+INDEX(Sheet1!C:C, MATCH(Hoja1!G1638, Sheet1!D:D, 0))</f>
        <v>666681.80000000005</v>
      </c>
      <c r="I1638">
        <f>+INDEX(Sheet1!G:G, MATCH(Hoja1!G1638, Sheet1!I:I, 0))</f>
        <v>112677</v>
      </c>
      <c r="J1638" s="2">
        <f>+INDEX(Sheet1!H:H, MATCH(Hoja1!G1638, Sheet1!I:I, 0))</f>
        <v>2.6538755876243578E-2</v>
      </c>
      <c r="K1638" s="2">
        <f>+INDEX(Sheet1!L:L, MATCH(Hoja1!G1638,Sheet1!M:M, 0))</f>
        <v>8.3000000000000007</v>
      </c>
    </row>
    <row r="1639" spans="1:11" ht="16" x14ac:dyDescent="0.25">
      <c r="A1639" t="s">
        <v>1276</v>
      </c>
      <c r="B1639">
        <v>6</v>
      </c>
      <c r="C1639">
        <v>2022</v>
      </c>
      <c r="D1639" t="s">
        <v>1286</v>
      </c>
      <c r="E1639">
        <v>2.5</v>
      </c>
      <c r="F1639">
        <v>8679099</v>
      </c>
      <c r="G1639" s="1" t="str">
        <f t="shared" si="25"/>
        <v>Virginia2022</v>
      </c>
      <c r="H1639">
        <f>+INDEX(Sheet1!C:C, MATCH(Hoja1!G1639, Sheet1!D:D, 0))</f>
        <v>666681.80000000005</v>
      </c>
      <c r="I1639">
        <f>+INDEX(Sheet1!G:G, MATCH(Hoja1!G1639, Sheet1!I:I, 0))</f>
        <v>112677</v>
      </c>
      <c r="J1639" s="2">
        <f>+INDEX(Sheet1!H:H, MATCH(Hoja1!G1639, Sheet1!I:I, 0))</f>
        <v>2.6538755876243578E-2</v>
      </c>
      <c r="K1639" s="2">
        <f>+INDEX(Sheet1!L:L, MATCH(Hoja1!G1639,Sheet1!M:M, 0))</f>
        <v>8.3000000000000007</v>
      </c>
    </row>
    <row r="1640" spans="1:11" ht="16" x14ac:dyDescent="0.25">
      <c r="A1640" t="s">
        <v>1276</v>
      </c>
      <c r="B1640">
        <v>7</v>
      </c>
      <c r="C1640">
        <v>2022</v>
      </c>
      <c r="D1640" t="s">
        <v>1287</v>
      </c>
      <c r="E1640">
        <v>2.6</v>
      </c>
      <c r="F1640">
        <v>8679099</v>
      </c>
      <c r="G1640" s="1" t="str">
        <f t="shared" si="25"/>
        <v>Virginia2022</v>
      </c>
      <c r="H1640">
        <f>+INDEX(Sheet1!C:C, MATCH(Hoja1!G1640, Sheet1!D:D, 0))</f>
        <v>666681.80000000005</v>
      </c>
      <c r="I1640">
        <f>+INDEX(Sheet1!G:G, MATCH(Hoja1!G1640, Sheet1!I:I, 0))</f>
        <v>112677</v>
      </c>
      <c r="J1640" s="2">
        <f>+INDEX(Sheet1!H:H, MATCH(Hoja1!G1640, Sheet1!I:I, 0))</f>
        <v>2.6538755876243578E-2</v>
      </c>
      <c r="K1640" s="2">
        <f>+INDEX(Sheet1!L:L, MATCH(Hoja1!G1640,Sheet1!M:M, 0))</f>
        <v>8.3000000000000007</v>
      </c>
    </row>
    <row r="1641" spans="1:11" ht="16" x14ac:dyDescent="0.25">
      <c r="A1641" t="s">
        <v>1276</v>
      </c>
      <c r="B1641">
        <v>8</v>
      </c>
      <c r="C1641">
        <v>2022</v>
      </c>
      <c r="D1641" t="s">
        <v>1288</v>
      </c>
      <c r="E1641">
        <v>2.7</v>
      </c>
      <c r="F1641">
        <v>8679099</v>
      </c>
      <c r="G1641" s="1" t="str">
        <f t="shared" si="25"/>
        <v>Virginia2022</v>
      </c>
      <c r="H1641">
        <f>+INDEX(Sheet1!C:C, MATCH(Hoja1!G1641, Sheet1!D:D, 0))</f>
        <v>666681.80000000005</v>
      </c>
      <c r="I1641">
        <f>+INDEX(Sheet1!G:G, MATCH(Hoja1!G1641, Sheet1!I:I, 0))</f>
        <v>112677</v>
      </c>
      <c r="J1641" s="2">
        <f>+INDEX(Sheet1!H:H, MATCH(Hoja1!G1641, Sheet1!I:I, 0))</f>
        <v>2.6538755876243578E-2</v>
      </c>
      <c r="K1641" s="2">
        <f>+INDEX(Sheet1!L:L, MATCH(Hoja1!G1641,Sheet1!M:M, 0))</f>
        <v>8.3000000000000007</v>
      </c>
    </row>
    <row r="1642" spans="1:11" ht="16" x14ac:dyDescent="0.25">
      <c r="A1642" t="s">
        <v>1276</v>
      </c>
      <c r="B1642">
        <v>9</v>
      </c>
      <c r="C1642">
        <v>2022</v>
      </c>
      <c r="D1642" t="s">
        <v>78</v>
      </c>
      <c r="E1642">
        <v>2.8</v>
      </c>
      <c r="F1642">
        <v>8679099</v>
      </c>
      <c r="G1642" s="1" t="str">
        <f t="shared" si="25"/>
        <v>Virginia2022</v>
      </c>
      <c r="H1642">
        <f>+INDEX(Sheet1!C:C, MATCH(Hoja1!G1642, Sheet1!D:D, 0))</f>
        <v>666681.80000000005</v>
      </c>
      <c r="I1642">
        <f>+INDEX(Sheet1!G:G, MATCH(Hoja1!G1642, Sheet1!I:I, 0))</f>
        <v>112677</v>
      </c>
      <c r="J1642" s="2">
        <f>+INDEX(Sheet1!H:H, MATCH(Hoja1!G1642, Sheet1!I:I, 0))</f>
        <v>2.6538755876243578E-2</v>
      </c>
      <c r="K1642" s="2">
        <f>+INDEX(Sheet1!L:L, MATCH(Hoja1!G1642,Sheet1!M:M, 0))</f>
        <v>8.3000000000000007</v>
      </c>
    </row>
    <row r="1643" spans="1:11" ht="16" x14ac:dyDescent="0.25">
      <c r="A1643" t="s">
        <v>1276</v>
      </c>
      <c r="B1643">
        <v>10</v>
      </c>
      <c r="C1643">
        <v>2022</v>
      </c>
      <c r="D1643" t="s">
        <v>1289</v>
      </c>
      <c r="E1643">
        <v>3</v>
      </c>
      <c r="F1643">
        <v>8679099</v>
      </c>
      <c r="G1643" s="1" t="str">
        <f t="shared" si="25"/>
        <v>Virginia2022</v>
      </c>
      <c r="H1643">
        <f>+INDEX(Sheet1!C:C, MATCH(Hoja1!G1643, Sheet1!D:D, 0))</f>
        <v>666681.80000000005</v>
      </c>
      <c r="I1643">
        <f>+INDEX(Sheet1!G:G, MATCH(Hoja1!G1643, Sheet1!I:I, 0))</f>
        <v>112677</v>
      </c>
      <c r="J1643" s="2">
        <f>+INDEX(Sheet1!H:H, MATCH(Hoja1!G1643, Sheet1!I:I, 0))</f>
        <v>2.6538755876243578E-2</v>
      </c>
      <c r="K1643" s="2">
        <f>+INDEX(Sheet1!L:L, MATCH(Hoja1!G1643,Sheet1!M:M, 0))</f>
        <v>8.3000000000000007</v>
      </c>
    </row>
    <row r="1644" spans="1:11" ht="16" x14ac:dyDescent="0.25">
      <c r="A1644" t="s">
        <v>1276</v>
      </c>
      <c r="B1644">
        <v>11</v>
      </c>
      <c r="C1644">
        <v>2022</v>
      </c>
      <c r="D1644" t="s">
        <v>1290</v>
      </c>
      <c r="E1644">
        <v>3.1</v>
      </c>
      <c r="F1644">
        <v>8679099</v>
      </c>
      <c r="G1644" s="1" t="str">
        <f t="shared" si="25"/>
        <v>Virginia2022</v>
      </c>
      <c r="H1644">
        <f>+INDEX(Sheet1!C:C, MATCH(Hoja1!G1644, Sheet1!D:D, 0))</f>
        <v>666681.80000000005</v>
      </c>
      <c r="I1644">
        <f>+INDEX(Sheet1!G:G, MATCH(Hoja1!G1644, Sheet1!I:I, 0))</f>
        <v>112677</v>
      </c>
      <c r="J1644" s="2">
        <f>+INDEX(Sheet1!H:H, MATCH(Hoja1!G1644, Sheet1!I:I, 0))</f>
        <v>2.6538755876243578E-2</v>
      </c>
      <c r="K1644" s="2">
        <f>+INDEX(Sheet1!L:L, MATCH(Hoja1!G1644,Sheet1!M:M, 0))</f>
        <v>8.3000000000000007</v>
      </c>
    </row>
    <row r="1645" spans="1:11" ht="16" x14ac:dyDescent="0.25">
      <c r="A1645" t="s">
        <v>1276</v>
      </c>
      <c r="B1645">
        <v>12</v>
      </c>
      <c r="C1645">
        <v>2022</v>
      </c>
      <c r="D1645" t="s">
        <v>1291</v>
      </c>
      <c r="E1645">
        <v>3.1</v>
      </c>
      <c r="F1645">
        <v>8679099</v>
      </c>
      <c r="G1645" s="1" t="str">
        <f t="shared" si="25"/>
        <v>Virginia2022</v>
      </c>
      <c r="H1645">
        <f>+INDEX(Sheet1!C:C, MATCH(Hoja1!G1645, Sheet1!D:D, 0))</f>
        <v>666681.80000000005</v>
      </c>
      <c r="I1645">
        <f>+INDEX(Sheet1!G:G, MATCH(Hoja1!G1645, Sheet1!I:I, 0))</f>
        <v>112677</v>
      </c>
      <c r="J1645" s="2">
        <f>+INDEX(Sheet1!H:H, MATCH(Hoja1!G1645, Sheet1!I:I, 0))</f>
        <v>2.6538755876243578E-2</v>
      </c>
      <c r="K1645" s="2">
        <f>+INDEX(Sheet1!L:L, MATCH(Hoja1!G1645,Sheet1!M:M, 0))</f>
        <v>8.3000000000000007</v>
      </c>
    </row>
    <row r="1646" spans="1:11" ht="16" x14ac:dyDescent="0.25">
      <c r="A1646" t="s">
        <v>1276</v>
      </c>
      <c r="B1646">
        <v>1</v>
      </c>
      <c r="C1646">
        <v>2023</v>
      </c>
      <c r="D1646" t="s">
        <v>1292</v>
      </c>
      <c r="E1646">
        <v>3.1</v>
      </c>
      <c r="F1646">
        <v>8715698</v>
      </c>
      <c r="G1646" s="1" t="str">
        <f t="shared" si="25"/>
        <v>Virginia2023</v>
      </c>
      <c r="H1646">
        <f>+INDEX(Sheet1!C:C, MATCH(Hoja1!G1646, Sheet1!D:D, 0))</f>
        <v>719896.9</v>
      </c>
      <c r="I1646">
        <f>+INDEX(Sheet1!G:G, MATCH(Hoja1!G1646, Sheet1!I:I, 0))</f>
        <v>116001</v>
      </c>
      <c r="J1646" s="2">
        <f>+INDEX(Sheet1!H:H, MATCH(Hoja1!G1646, Sheet1!I:I, 0))</f>
        <v>2.9500252935381666E-2</v>
      </c>
      <c r="K1646" s="2">
        <f>+INDEX(Sheet1!L:L, MATCH(Hoja1!G1646,Sheet1!M:M, 0))</f>
        <v>9.4</v>
      </c>
    </row>
    <row r="1647" spans="1:11" ht="16" x14ac:dyDescent="0.25">
      <c r="A1647" t="s">
        <v>1276</v>
      </c>
      <c r="B1647">
        <v>2</v>
      </c>
      <c r="C1647">
        <v>2023</v>
      </c>
      <c r="D1647" t="s">
        <v>1293</v>
      </c>
      <c r="E1647">
        <v>3</v>
      </c>
      <c r="F1647">
        <v>8715698</v>
      </c>
      <c r="G1647" s="1" t="str">
        <f t="shared" si="25"/>
        <v>Virginia2023</v>
      </c>
      <c r="H1647">
        <f>+INDEX(Sheet1!C:C, MATCH(Hoja1!G1647, Sheet1!D:D, 0))</f>
        <v>719896.9</v>
      </c>
      <c r="I1647">
        <f>+INDEX(Sheet1!G:G, MATCH(Hoja1!G1647, Sheet1!I:I, 0))</f>
        <v>116001</v>
      </c>
      <c r="J1647" s="2">
        <f>+INDEX(Sheet1!H:H, MATCH(Hoja1!G1647, Sheet1!I:I, 0))</f>
        <v>2.9500252935381666E-2</v>
      </c>
      <c r="K1647" s="2">
        <f>+INDEX(Sheet1!L:L, MATCH(Hoja1!G1647,Sheet1!M:M, 0))</f>
        <v>9.4</v>
      </c>
    </row>
    <row r="1648" spans="1:11" ht="16" x14ac:dyDescent="0.25">
      <c r="A1648" t="s">
        <v>1276</v>
      </c>
      <c r="B1648">
        <v>3</v>
      </c>
      <c r="C1648">
        <v>2023</v>
      </c>
      <c r="D1648" t="s">
        <v>810</v>
      </c>
      <c r="E1648">
        <v>2.9</v>
      </c>
      <c r="F1648">
        <v>8715698</v>
      </c>
      <c r="G1648" s="1" t="str">
        <f t="shared" si="25"/>
        <v>Virginia2023</v>
      </c>
      <c r="H1648">
        <f>+INDEX(Sheet1!C:C, MATCH(Hoja1!G1648, Sheet1!D:D, 0))</f>
        <v>719896.9</v>
      </c>
      <c r="I1648">
        <f>+INDEX(Sheet1!G:G, MATCH(Hoja1!G1648, Sheet1!I:I, 0))</f>
        <v>116001</v>
      </c>
      <c r="J1648" s="2">
        <f>+INDEX(Sheet1!H:H, MATCH(Hoja1!G1648, Sheet1!I:I, 0))</f>
        <v>2.9500252935381666E-2</v>
      </c>
      <c r="K1648" s="2">
        <f>+INDEX(Sheet1!L:L, MATCH(Hoja1!G1648,Sheet1!M:M, 0))</f>
        <v>9.4</v>
      </c>
    </row>
    <row r="1649" spans="1:11" ht="16" x14ac:dyDescent="0.25">
      <c r="A1649" t="s">
        <v>1276</v>
      </c>
      <c r="B1649">
        <v>4</v>
      </c>
      <c r="C1649">
        <v>2023</v>
      </c>
      <c r="D1649" t="s">
        <v>1294</v>
      </c>
      <c r="E1649">
        <v>2.7</v>
      </c>
      <c r="F1649">
        <v>8715698</v>
      </c>
      <c r="G1649" s="1" t="str">
        <f t="shared" si="25"/>
        <v>Virginia2023</v>
      </c>
      <c r="H1649">
        <f>+INDEX(Sheet1!C:C, MATCH(Hoja1!G1649, Sheet1!D:D, 0))</f>
        <v>719896.9</v>
      </c>
      <c r="I1649">
        <f>+INDEX(Sheet1!G:G, MATCH(Hoja1!G1649, Sheet1!I:I, 0))</f>
        <v>116001</v>
      </c>
      <c r="J1649" s="2">
        <f>+INDEX(Sheet1!H:H, MATCH(Hoja1!G1649, Sheet1!I:I, 0))</f>
        <v>2.9500252935381666E-2</v>
      </c>
      <c r="K1649" s="2">
        <f>+INDEX(Sheet1!L:L, MATCH(Hoja1!G1649,Sheet1!M:M, 0))</f>
        <v>9.4</v>
      </c>
    </row>
    <row r="1650" spans="1:11" ht="16" x14ac:dyDescent="0.25">
      <c r="A1650" t="s">
        <v>1276</v>
      </c>
      <c r="B1650">
        <v>5</v>
      </c>
      <c r="C1650">
        <v>2023</v>
      </c>
      <c r="D1650" t="s">
        <v>1295</v>
      </c>
      <c r="E1650">
        <v>2.6</v>
      </c>
      <c r="F1650">
        <v>8715698</v>
      </c>
      <c r="G1650" s="1" t="str">
        <f t="shared" si="25"/>
        <v>Virginia2023</v>
      </c>
      <c r="H1650">
        <f>+INDEX(Sheet1!C:C, MATCH(Hoja1!G1650, Sheet1!D:D, 0))</f>
        <v>719896.9</v>
      </c>
      <c r="I1650">
        <f>+INDEX(Sheet1!G:G, MATCH(Hoja1!G1650, Sheet1!I:I, 0))</f>
        <v>116001</v>
      </c>
      <c r="J1650" s="2">
        <f>+INDEX(Sheet1!H:H, MATCH(Hoja1!G1650, Sheet1!I:I, 0))</f>
        <v>2.9500252935381666E-2</v>
      </c>
      <c r="K1650" s="2">
        <f>+INDEX(Sheet1!L:L, MATCH(Hoja1!G1650,Sheet1!M:M, 0))</f>
        <v>9.4</v>
      </c>
    </row>
    <row r="1651" spans="1:11" ht="16" x14ac:dyDescent="0.25">
      <c r="A1651" t="s">
        <v>1276</v>
      </c>
      <c r="B1651">
        <v>6</v>
      </c>
      <c r="C1651">
        <v>2023</v>
      </c>
      <c r="D1651" t="s">
        <v>1296</v>
      </c>
      <c r="E1651">
        <v>2.6</v>
      </c>
      <c r="F1651">
        <v>8715698</v>
      </c>
      <c r="G1651" s="1" t="str">
        <f t="shared" si="25"/>
        <v>Virginia2023</v>
      </c>
      <c r="H1651">
        <f>+INDEX(Sheet1!C:C, MATCH(Hoja1!G1651, Sheet1!D:D, 0))</f>
        <v>719896.9</v>
      </c>
      <c r="I1651">
        <f>+INDEX(Sheet1!G:G, MATCH(Hoja1!G1651, Sheet1!I:I, 0))</f>
        <v>116001</v>
      </c>
      <c r="J1651" s="2">
        <f>+INDEX(Sheet1!H:H, MATCH(Hoja1!G1651, Sheet1!I:I, 0))</f>
        <v>2.9500252935381666E-2</v>
      </c>
      <c r="K1651" s="2">
        <f>+INDEX(Sheet1!L:L, MATCH(Hoja1!G1651,Sheet1!M:M, 0))</f>
        <v>9.4</v>
      </c>
    </row>
    <row r="1652" spans="1:11" ht="16" x14ac:dyDescent="0.25">
      <c r="A1652" t="s">
        <v>1276</v>
      </c>
      <c r="B1652">
        <v>7</v>
      </c>
      <c r="C1652">
        <v>2023</v>
      </c>
      <c r="D1652" t="s">
        <v>1297</v>
      </c>
      <c r="E1652">
        <v>2.6</v>
      </c>
      <c r="F1652">
        <v>8715698</v>
      </c>
      <c r="G1652" s="1" t="str">
        <f t="shared" si="25"/>
        <v>Virginia2023</v>
      </c>
      <c r="H1652">
        <f>+INDEX(Sheet1!C:C, MATCH(Hoja1!G1652, Sheet1!D:D, 0))</f>
        <v>719896.9</v>
      </c>
      <c r="I1652">
        <f>+INDEX(Sheet1!G:G, MATCH(Hoja1!G1652, Sheet1!I:I, 0))</f>
        <v>116001</v>
      </c>
      <c r="J1652" s="2">
        <f>+INDEX(Sheet1!H:H, MATCH(Hoja1!G1652, Sheet1!I:I, 0))</f>
        <v>2.9500252935381666E-2</v>
      </c>
      <c r="K1652" s="2">
        <f>+INDEX(Sheet1!L:L, MATCH(Hoja1!G1652,Sheet1!M:M, 0))</f>
        <v>9.4</v>
      </c>
    </row>
    <row r="1653" spans="1:11" ht="16" x14ac:dyDescent="0.25">
      <c r="A1653" t="s">
        <v>1276</v>
      </c>
      <c r="B1653">
        <v>8</v>
      </c>
      <c r="C1653">
        <v>2023</v>
      </c>
      <c r="D1653" t="s">
        <v>1298</v>
      </c>
      <c r="E1653">
        <v>2.7</v>
      </c>
      <c r="F1653">
        <v>8715698</v>
      </c>
      <c r="G1653" s="1" t="str">
        <f t="shared" si="25"/>
        <v>Virginia2023</v>
      </c>
      <c r="H1653">
        <f>+INDEX(Sheet1!C:C, MATCH(Hoja1!G1653, Sheet1!D:D, 0))</f>
        <v>719896.9</v>
      </c>
      <c r="I1653">
        <f>+INDEX(Sheet1!G:G, MATCH(Hoja1!G1653, Sheet1!I:I, 0))</f>
        <v>116001</v>
      </c>
      <c r="J1653" s="2">
        <f>+INDEX(Sheet1!H:H, MATCH(Hoja1!G1653, Sheet1!I:I, 0))</f>
        <v>2.9500252935381666E-2</v>
      </c>
      <c r="K1653" s="2">
        <f>+INDEX(Sheet1!L:L, MATCH(Hoja1!G1653,Sheet1!M:M, 0))</f>
        <v>9.4</v>
      </c>
    </row>
    <row r="1654" spans="1:11" ht="16" x14ac:dyDescent="0.25">
      <c r="A1654" t="s">
        <v>1276</v>
      </c>
      <c r="B1654">
        <v>9</v>
      </c>
      <c r="C1654">
        <v>2023</v>
      </c>
      <c r="D1654" t="s">
        <v>1299</v>
      </c>
      <c r="E1654">
        <v>2.9</v>
      </c>
      <c r="F1654">
        <v>8715698</v>
      </c>
      <c r="G1654" s="1" t="str">
        <f t="shared" si="25"/>
        <v>Virginia2023</v>
      </c>
      <c r="H1654">
        <f>+INDEX(Sheet1!C:C, MATCH(Hoja1!G1654, Sheet1!D:D, 0))</f>
        <v>719896.9</v>
      </c>
      <c r="I1654">
        <f>+INDEX(Sheet1!G:G, MATCH(Hoja1!G1654, Sheet1!I:I, 0))</f>
        <v>116001</v>
      </c>
      <c r="J1654" s="2">
        <f>+INDEX(Sheet1!H:H, MATCH(Hoja1!G1654, Sheet1!I:I, 0))</f>
        <v>2.9500252935381666E-2</v>
      </c>
      <c r="K1654" s="2">
        <f>+INDEX(Sheet1!L:L, MATCH(Hoja1!G1654,Sheet1!M:M, 0))</f>
        <v>9.4</v>
      </c>
    </row>
    <row r="1655" spans="1:11" ht="16" x14ac:dyDescent="0.25">
      <c r="A1655" t="s">
        <v>1276</v>
      </c>
      <c r="B1655">
        <v>10</v>
      </c>
      <c r="C1655">
        <v>2023</v>
      </c>
      <c r="D1655" t="s">
        <v>1300</v>
      </c>
      <c r="E1655">
        <v>3</v>
      </c>
      <c r="F1655">
        <v>8715698</v>
      </c>
      <c r="G1655" s="1" t="str">
        <f t="shared" si="25"/>
        <v>Virginia2023</v>
      </c>
      <c r="H1655">
        <f>+INDEX(Sheet1!C:C, MATCH(Hoja1!G1655, Sheet1!D:D, 0))</f>
        <v>719896.9</v>
      </c>
      <c r="I1655">
        <f>+INDEX(Sheet1!G:G, MATCH(Hoja1!G1655, Sheet1!I:I, 0))</f>
        <v>116001</v>
      </c>
      <c r="J1655" s="2">
        <f>+INDEX(Sheet1!H:H, MATCH(Hoja1!G1655, Sheet1!I:I, 0))</f>
        <v>2.9500252935381666E-2</v>
      </c>
      <c r="K1655" s="2">
        <f>+INDEX(Sheet1!L:L, MATCH(Hoja1!G1655,Sheet1!M:M, 0))</f>
        <v>9.4</v>
      </c>
    </row>
    <row r="1656" spans="1:11" ht="16" x14ac:dyDescent="0.25">
      <c r="A1656" t="s">
        <v>1276</v>
      </c>
      <c r="B1656">
        <v>11</v>
      </c>
      <c r="C1656">
        <v>2023</v>
      </c>
      <c r="D1656" t="s">
        <v>1301</v>
      </c>
      <c r="E1656">
        <v>3.1</v>
      </c>
      <c r="F1656">
        <v>8715698</v>
      </c>
      <c r="G1656" s="1" t="str">
        <f t="shared" si="25"/>
        <v>Virginia2023</v>
      </c>
      <c r="H1656">
        <f>+INDEX(Sheet1!C:C, MATCH(Hoja1!G1656, Sheet1!D:D, 0))</f>
        <v>719896.9</v>
      </c>
      <c r="I1656">
        <f>+INDEX(Sheet1!G:G, MATCH(Hoja1!G1656, Sheet1!I:I, 0))</f>
        <v>116001</v>
      </c>
      <c r="J1656" s="2">
        <f>+INDEX(Sheet1!H:H, MATCH(Hoja1!G1656, Sheet1!I:I, 0))</f>
        <v>2.9500252935381666E-2</v>
      </c>
      <c r="K1656" s="2">
        <f>+INDEX(Sheet1!L:L, MATCH(Hoja1!G1656,Sheet1!M:M, 0))</f>
        <v>9.4</v>
      </c>
    </row>
    <row r="1657" spans="1:11" ht="16" x14ac:dyDescent="0.25">
      <c r="A1657" t="s">
        <v>1276</v>
      </c>
      <c r="B1657">
        <v>12</v>
      </c>
      <c r="C1657">
        <v>2023</v>
      </c>
      <c r="D1657" t="s">
        <v>1302</v>
      </c>
      <c r="E1657">
        <v>3</v>
      </c>
      <c r="F1657">
        <v>8715698</v>
      </c>
      <c r="G1657" s="1" t="str">
        <f t="shared" si="25"/>
        <v>Virginia2023</v>
      </c>
      <c r="H1657">
        <f>+INDEX(Sheet1!C:C, MATCH(Hoja1!G1657, Sheet1!D:D, 0))</f>
        <v>719896.9</v>
      </c>
      <c r="I1657">
        <f>+INDEX(Sheet1!G:G, MATCH(Hoja1!G1657, Sheet1!I:I, 0))</f>
        <v>116001</v>
      </c>
      <c r="J1657" s="2">
        <f>+INDEX(Sheet1!H:H, MATCH(Hoja1!G1657, Sheet1!I:I, 0))</f>
        <v>2.9500252935381666E-2</v>
      </c>
      <c r="K1657" s="2">
        <f>+INDEX(Sheet1!L:L, MATCH(Hoja1!G1657,Sheet1!M:M, 0))</f>
        <v>9.4</v>
      </c>
    </row>
    <row r="1658" spans="1:11" ht="16" x14ac:dyDescent="0.25">
      <c r="A1658" t="s">
        <v>1303</v>
      </c>
      <c r="B1658">
        <v>1</v>
      </c>
      <c r="C1658">
        <v>2021</v>
      </c>
      <c r="D1658" t="s">
        <v>707</v>
      </c>
      <c r="E1658">
        <v>6.4</v>
      </c>
      <c r="F1658">
        <v>7741433</v>
      </c>
      <c r="G1658" s="1" t="str">
        <f t="shared" si="25"/>
        <v>Washington2021</v>
      </c>
      <c r="H1658">
        <f>+INDEX(Sheet1!C:C, MATCH(Hoja1!G1658, Sheet1!D:D, 0))</f>
        <v>687702.3</v>
      </c>
      <c r="I1658">
        <f>+INDEX(Sheet1!G:G, MATCH(Hoja1!G1658, Sheet1!I:I, 0))</f>
        <v>119516</v>
      </c>
      <c r="J1658" s="2">
        <f>+INDEX(Sheet1!H:H, MATCH(Hoja1!G1658, Sheet1!I:I, 0))</f>
        <v>6.9408280317468846E-2</v>
      </c>
      <c r="K1658" s="2">
        <f>+INDEX(Sheet1!L:L, MATCH(Hoja1!G1658,Sheet1!M:M, 0))</f>
        <v>7.7</v>
      </c>
    </row>
    <row r="1659" spans="1:11" ht="16" x14ac:dyDescent="0.25">
      <c r="A1659" t="s">
        <v>1303</v>
      </c>
      <c r="B1659">
        <v>2</v>
      </c>
      <c r="C1659">
        <v>2021</v>
      </c>
      <c r="D1659" t="s">
        <v>682</v>
      </c>
      <c r="E1659">
        <v>6.2</v>
      </c>
      <c r="F1659">
        <v>7741433</v>
      </c>
      <c r="G1659" s="1" t="str">
        <f t="shared" si="25"/>
        <v>Washington2021</v>
      </c>
      <c r="H1659">
        <f>+INDEX(Sheet1!C:C, MATCH(Hoja1!G1659, Sheet1!D:D, 0))</f>
        <v>687702.3</v>
      </c>
      <c r="I1659">
        <f>+INDEX(Sheet1!G:G, MATCH(Hoja1!G1659, Sheet1!I:I, 0))</f>
        <v>119516</v>
      </c>
      <c r="J1659" s="2">
        <f>+INDEX(Sheet1!H:H, MATCH(Hoja1!G1659, Sheet1!I:I, 0))</f>
        <v>6.9408280317468846E-2</v>
      </c>
      <c r="K1659" s="2">
        <f>+INDEX(Sheet1!L:L, MATCH(Hoja1!G1659,Sheet1!M:M, 0))</f>
        <v>7.7</v>
      </c>
    </row>
    <row r="1660" spans="1:11" ht="16" x14ac:dyDescent="0.25">
      <c r="A1660" t="s">
        <v>1303</v>
      </c>
      <c r="B1660">
        <v>3</v>
      </c>
      <c r="C1660">
        <v>2021</v>
      </c>
      <c r="D1660" t="s">
        <v>477</v>
      </c>
      <c r="E1660">
        <v>6</v>
      </c>
      <c r="F1660">
        <v>7741433</v>
      </c>
      <c r="G1660" s="1" t="str">
        <f t="shared" si="25"/>
        <v>Washington2021</v>
      </c>
      <c r="H1660">
        <f>+INDEX(Sheet1!C:C, MATCH(Hoja1!G1660, Sheet1!D:D, 0))</f>
        <v>687702.3</v>
      </c>
      <c r="I1660">
        <f>+INDEX(Sheet1!G:G, MATCH(Hoja1!G1660, Sheet1!I:I, 0))</f>
        <v>119516</v>
      </c>
      <c r="J1660" s="2">
        <f>+INDEX(Sheet1!H:H, MATCH(Hoja1!G1660, Sheet1!I:I, 0))</f>
        <v>6.9408280317468846E-2</v>
      </c>
      <c r="K1660" s="2">
        <f>+INDEX(Sheet1!L:L, MATCH(Hoja1!G1660,Sheet1!M:M, 0))</f>
        <v>7.7</v>
      </c>
    </row>
    <row r="1661" spans="1:11" ht="16" x14ac:dyDescent="0.25">
      <c r="A1661" t="s">
        <v>1303</v>
      </c>
      <c r="B1661">
        <v>4</v>
      </c>
      <c r="C1661">
        <v>2021</v>
      </c>
      <c r="D1661" t="s">
        <v>1304</v>
      </c>
      <c r="E1661">
        <v>5.7</v>
      </c>
      <c r="F1661">
        <v>7741433</v>
      </c>
      <c r="G1661" s="1" t="str">
        <f t="shared" si="25"/>
        <v>Washington2021</v>
      </c>
      <c r="H1661">
        <f>+INDEX(Sheet1!C:C, MATCH(Hoja1!G1661, Sheet1!D:D, 0))</f>
        <v>687702.3</v>
      </c>
      <c r="I1661">
        <f>+INDEX(Sheet1!G:G, MATCH(Hoja1!G1661, Sheet1!I:I, 0))</f>
        <v>119516</v>
      </c>
      <c r="J1661" s="2">
        <f>+INDEX(Sheet1!H:H, MATCH(Hoja1!G1661, Sheet1!I:I, 0))</f>
        <v>6.9408280317468846E-2</v>
      </c>
      <c r="K1661" s="2">
        <f>+INDEX(Sheet1!L:L, MATCH(Hoja1!G1661,Sheet1!M:M, 0))</f>
        <v>7.7</v>
      </c>
    </row>
    <row r="1662" spans="1:11" ht="16" x14ac:dyDescent="0.25">
      <c r="A1662" t="s">
        <v>1303</v>
      </c>
      <c r="B1662">
        <v>5</v>
      </c>
      <c r="C1662">
        <v>2021</v>
      </c>
      <c r="D1662" t="s">
        <v>1305</v>
      </c>
      <c r="E1662">
        <v>5.5</v>
      </c>
      <c r="F1662">
        <v>7741433</v>
      </c>
      <c r="G1662" s="1" t="str">
        <f t="shared" si="25"/>
        <v>Washington2021</v>
      </c>
      <c r="H1662">
        <f>+INDEX(Sheet1!C:C, MATCH(Hoja1!G1662, Sheet1!D:D, 0))</f>
        <v>687702.3</v>
      </c>
      <c r="I1662">
        <f>+INDEX(Sheet1!G:G, MATCH(Hoja1!G1662, Sheet1!I:I, 0))</f>
        <v>119516</v>
      </c>
      <c r="J1662" s="2">
        <f>+INDEX(Sheet1!H:H, MATCH(Hoja1!G1662, Sheet1!I:I, 0))</f>
        <v>6.9408280317468846E-2</v>
      </c>
      <c r="K1662" s="2">
        <f>+INDEX(Sheet1!L:L, MATCH(Hoja1!G1662,Sheet1!M:M, 0))</f>
        <v>7.7</v>
      </c>
    </row>
    <row r="1663" spans="1:11" ht="16" x14ac:dyDescent="0.25">
      <c r="A1663" t="s">
        <v>1303</v>
      </c>
      <c r="B1663">
        <v>6</v>
      </c>
      <c r="C1663">
        <v>2021</v>
      </c>
      <c r="D1663" t="s">
        <v>1011</v>
      </c>
      <c r="E1663">
        <v>5.4</v>
      </c>
      <c r="F1663">
        <v>7741433</v>
      </c>
      <c r="G1663" s="1" t="str">
        <f t="shared" si="25"/>
        <v>Washington2021</v>
      </c>
      <c r="H1663">
        <f>+INDEX(Sheet1!C:C, MATCH(Hoja1!G1663, Sheet1!D:D, 0))</f>
        <v>687702.3</v>
      </c>
      <c r="I1663">
        <f>+INDEX(Sheet1!G:G, MATCH(Hoja1!G1663, Sheet1!I:I, 0))</f>
        <v>119516</v>
      </c>
      <c r="J1663" s="2">
        <f>+INDEX(Sheet1!H:H, MATCH(Hoja1!G1663, Sheet1!I:I, 0))</f>
        <v>6.9408280317468846E-2</v>
      </c>
      <c r="K1663" s="2">
        <f>+INDEX(Sheet1!L:L, MATCH(Hoja1!G1663,Sheet1!M:M, 0))</f>
        <v>7.7</v>
      </c>
    </row>
    <row r="1664" spans="1:11" ht="16" x14ac:dyDescent="0.25">
      <c r="A1664" t="s">
        <v>1303</v>
      </c>
      <c r="B1664">
        <v>7</v>
      </c>
      <c r="C1664">
        <v>2021</v>
      </c>
      <c r="D1664" t="s">
        <v>1306</v>
      </c>
      <c r="E1664">
        <v>5.2</v>
      </c>
      <c r="F1664">
        <v>7741433</v>
      </c>
      <c r="G1664" s="1" t="str">
        <f t="shared" si="25"/>
        <v>Washington2021</v>
      </c>
      <c r="H1664">
        <f>+INDEX(Sheet1!C:C, MATCH(Hoja1!G1664, Sheet1!D:D, 0))</f>
        <v>687702.3</v>
      </c>
      <c r="I1664">
        <f>+INDEX(Sheet1!G:G, MATCH(Hoja1!G1664, Sheet1!I:I, 0))</f>
        <v>119516</v>
      </c>
      <c r="J1664" s="2">
        <f>+INDEX(Sheet1!H:H, MATCH(Hoja1!G1664, Sheet1!I:I, 0))</f>
        <v>6.9408280317468846E-2</v>
      </c>
      <c r="K1664" s="2">
        <f>+INDEX(Sheet1!L:L, MATCH(Hoja1!G1664,Sheet1!M:M, 0))</f>
        <v>7.7</v>
      </c>
    </row>
    <row r="1665" spans="1:11" ht="16" x14ac:dyDescent="0.25">
      <c r="A1665" t="s">
        <v>1303</v>
      </c>
      <c r="B1665">
        <v>8</v>
      </c>
      <c r="C1665">
        <v>2021</v>
      </c>
      <c r="D1665" t="s">
        <v>1307</v>
      </c>
      <c r="E1665">
        <v>5</v>
      </c>
      <c r="F1665">
        <v>7741433</v>
      </c>
      <c r="G1665" s="1" t="str">
        <f t="shared" si="25"/>
        <v>Washington2021</v>
      </c>
      <c r="H1665">
        <f>+INDEX(Sheet1!C:C, MATCH(Hoja1!G1665, Sheet1!D:D, 0))</f>
        <v>687702.3</v>
      </c>
      <c r="I1665">
        <f>+INDEX(Sheet1!G:G, MATCH(Hoja1!G1665, Sheet1!I:I, 0))</f>
        <v>119516</v>
      </c>
      <c r="J1665" s="2">
        <f>+INDEX(Sheet1!H:H, MATCH(Hoja1!G1665, Sheet1!I:I, 0))</f>
        <v>6.9408280317468846E-2</v>
      </c>
      <c r="K1665" s="2">
        <f>+INDEX(Sheet1!L:L, MATCH(Hoja1!G1665,Sheet1!M:M, 0))</f>
        <v>7.7</v>
      </c>
    </row>
    <row r="1666" spans="1:11" ht="16" x14ac:dyDescent="0.25">
      <c r="A1666" t="s">
        <v>1303</v>
      </c>
      <c r="B1666">
        <v>9</v>
      </c>
      <c r="C1666">
        <v>2021</v>
      </c>
      <c r="D1666" t="s">
        <v>1308</v>
      </c>
      <c r="E1666">
        <v>4.7</v>
      </c>
      <c r="F1666">
        <v>7741433</v>
      </c>
      <c r="G1666" s="1" t="str">
        <f t="shared" si="25"/>
        <v>Washington2021</v>
      </c>
      <c r="H1666">
        <f>+INDEX(Sheet1!C:C, MATCH(Hoja1!G1666, Sheet1!D:D, 0))</f>
        <v>687702.3</v>
      </c>
      <c r="I1666">
        <f>+INDEX(Sheet1!G:G, MATCH(Hoja1!G1666, Sheet1!I:I, 0))</f>
        <v>119516</v>
      </c>
      <c r="J1666" s="2">
        <f>+INDEX(Sheet1!H:H, MATCH(Hoja1!G1666, Sheet1!I:I, 0))</f>
        <v>6.9408280317468846E-2</v>
      </c>
      <c r="K1666" s="2">
        <f>+INDEX(Sheet1!L:L, MATCH(Hoja1!G1666,Sheet1!M:M, 0))</f>
        <v>7.7</v>
      </c>
    </row>
    <row r="1667" spans="1:11" ht="16" x14ac:dyDescent="0.25">
      <c r="A1667" t="s">
        <v>1303</v>
      </c>
      <c r="B1667">
        <v>10</v>
      </c>
      <c r="C1667">
        <v>2021</v>
      </c>
      <c r="D1667" t="s">
        <v>768</v>
      </c>
      <c r="E1667">
        <v>4.5</v>
      </c>
      <c r="F1667">
        <v>7741433</v>
      </c>
      <c r="G1667" s="1" t="str">
        <f t="shared" ref="G1667:G1730" si="26">+A1667&amp;C1667</f>
        <v>Washington2021</v>
      </c>
      <c r="H1667">
        <f>+INDEX(Sheet1!C:C, MATCH(Hoja1!G1667, Sheet1!D:D, 0))</f>
        <v>687702.3</v>
      </c>
      <c r="I1667">
        <f>+INDEX(Sheet1!G:G, MATCH(Hoja1!G1667, Sheet1!I:I, 0))</f>
        <v>119516</v>
      </c>
      <c r="J1667" s="2">
        <f>+INDEX(Sheet1!H:H, MATCH(Hoja1!G1667, Sheet1!I:I, 0))</f>
        <v>6.9408280317468846E-2</v>
      </c>
      <c r="K1667" s="2">
        <f>+INDEX(Sheet1!L:L, MATCH(Hoja1!G1667,Sheet1!M:M, 0))</f>
        <v>7.7</v>
      </c>
    </row>
    <row r="1668" spans="1:11" ht="16" x14ac:dyDescent="0.25">
      <c r="A1668" t="s">
        <v>1303</v>
      </c>
      <c r="B1668">
        <v>11</v>
      </c>
      <c r="C1668">
        <v>2021</v>
      </c>
      <c r="D1668" t="s">
        <v>568</v>
      </c>
      <c r="E1668">
        <v>4.2</v>
      </c>
      <c r="F1668">
        <v>7741433</v>
      </c>
      <c r="G1668" s="1" t="str">
        <f t="shared" si="26"/>
        <v>Washington2021</v>
      </c>
      <c r="H1668">
        <f>+INDEX(Sheet1!C:C, MATCH(Hoja1!G1668, Sheet1!D:D, 0))</f>
        <v>687702.3</v>
      </c>
      <c r="I1668">
        <f>+INDEX(Sheet1!G:G, MATCH(Hoja1!G1668, Sheet1!I:I, 0))</f>
        <v>119516</v>
      </c>
      <c r="J1668" s="2">
        <f>+INDEX(Sheet1!H:H, MATCH(Hoja1!G1668, Sheet1!I:I, 0))</f>
        <v>6.9408280317468846E-2</v>
      </c>
      <c r="K1668" s="2">
        <f>+INDEX(Sheet1!L:L, MATCH(Hoja1!G1668,Sheet1!M:M, 0))</f>
        <v>7.7</v>
      </c>
    </row>
    <row r="1669" spans="1:11" ht="16" x14ac:dyDescent="0.25">
      <c r="A1669" t="s">
        <v>1303</v>
      </c>
      <c r="B1669">
        <v>12</v>
      </c>
      <c r="C1669">
        <v>2021</v>
      </c>
      <c r="D1669" t="s">
        <v>1309</v>
      </c>
      <c r="E1669">
        <v>4.0999999999999996</v>
      </c>
      <c r="F1669">
        <v>7741433</v>
      </c>
      <c r="G1669" s="1" t="str">
        <f t="shared" si="26"/>
        <v>Washington2021</v>
      </c>
      <c r="H1669">
        <f>+INDEX(Sheet1!C:C, MATCH(Hoja1!G1669, Sheet1!D:D, 0))</f>
        <v>687702.3</v>
      </c>
      <c r="I1669">
        <f>+INDEX(Sheet1!G:G, MATCH(Hoja1!G1669, Sheet1!I:I, 0))</f>
        <v>119516</v>
      </c>
      <c r="J1669" s="2">
        <f>+INDEX(Sheet1!H:H, MATCH(Hoja1!G1669, Sheet1!I:I, 0))</f>
        <v>6.9408280317468846E-2</v>
      </c>
      <c r="K1669" s="2">
        <f>+INDEX(Sheet1!L:L, MATCH(Hoja1!G1669,Sheet1!M:M, 0))</f>
        <v>7.7</v>
      </c>
    </row>
    <row r="1670" spans="1:11" ht="16" x14ac:dyDescent="0.25">
      <c r="A1670" t="s">
        <v>1303</v>
      </c>
      <c r="B1670">
        <v>1</v>
      </c>
      <c r="C1670">
        <v>2022</v>
      </c>
      <c r="D1670" t="s">
        <v>489</v>
      </c>
      <c r="E1670">
        <v>4</v>
      </c>
      <c r="F1670">
        <v>7784477</v>
      </c>
      <c r="G1670" s="1" t="str">
        <f t="shared" si="26"/>
        <v>Washington2022</v>
      </c>
      <c r="H1670">
        <f>+INDEX(Sheet1!C:C, MATCH(Hoja1!G1670, Sheet1!D:D, 0))</f>
        <v>742909.5</v>
      </c>
      <c r="I1670">
        <f>+INDEX(Sheet1!G:G, MATCH(Hoja1!G1670, Sheet1!I:I, 0))</f>
        <v>122176</v>
      </c>
      <c r="J1670" s="2">
        <f>+INDEX(Sheet1!H:H, MATCH(Hoja1!G1670, Sheet1!I:I, 0))</f>
        <v>2.2256434284949295E-2</v>
      </c>
      <c r="K1670" s="2">
        <f>+INDEX(Sheet1!L:L, MATCH(Hoja1!G1670,Sheet1!M:M, 0))</f>
        <v>9</v>
      </c>
    </row>
    <row r="1671" spans="1:11" ht="16" x14ac:dyDescent="0.25">
      <c r="A1671" t="s">
        <v>1303</v>
      </c>
      <c r="B1671">
        <v>2</v>
      </c>
      <c r="C1671">
        <v>2022</v>
      </c>
      <c r="D1671" t="s">
        <v>1310</v>
      </c>
      <c r="E1671">
        <v>4</v>
      </c>
      <c r="F1671">
        <v>7784477</v>
      </c>
      <c r="G1671" s="1" t="str">
        <f t="shared" si="26"/>
        <v>Washington2022</v>
      </c>
      <c r="H1671">
        <f>+INDEX(Sheet1!C:C, MATCH(Hoja1!G1671, Sheet1!D:D, 0))</f>
        <v>742909.5</v>
      </c>
      <c r="I1671">
        <f>+INDEX(Sheet1!G:G, MATCH(Hoja1!G1671, Sheet1!I:I, 0))</f>
        <v>122176</v>
      </c>
      <c r="J1671" s="2">
        <f>+INDEX(Sheet1!H:H, MATCH(Hoja1!G1671, Sheet1!I:I, 0))</f>
        <v>2.2256434284949295E-2</v>
      </c>
      <c r="K1671" s="2">
        <f>+INDEX(Sheet1!L:L, MATCH(Hoja1!G1671,Sheet1!M:M, 0))</f>
        <v>9</v>
      </c>
    </row>
    <row r="1672" spans="1:11" ht="16" x14ac:dyDescent="0.25">
      <c r="A1672" t="s">
        <v>1303</v>
      </c>
      <c r="B1672">
        <v>3</v>
      </c>
      <c r="C1672">
        <v>2022</v>
      </c>
      <c r="D1672" t="s">
        <v>997</v>
      </c>
      <c r="E1672">
        <v>3.9</v>
      </c>
      <c r="F1672">
        <v>7784477</v>
      </c>
      <c r="G1672" s="1" t="str">
        <f t="shared" si="26"/>
        <v>Washington2022</v>
      </c>
      <c r="H1672">
        <f>+INDEX(Sheet1!C:C, MATCH(Hoja1!G1672, Sheet1!D:D, 0))</f>
        <v>742909.5</v>
      </c>
      <c r="I1672">
        <f>+INDEX(Sheet1!G:G, MATCH(Hoja1!G1672, Sheet1!I:I, 0))</f>
        <v>122176</v>
      </c>
      <c r="J1672" s="2">
        <f>+INDEX(Sheet1!H:H, MATCH(Hoja1!G1672, Sheet1!I:I, 0))</f>
        <v>2.2256434284949295E-2</v>
      </c>
      <c r="K1672" s="2">
        <f>+INDEX(Sheet1!L:L, MATCH(Hoja1!G1672,Sheet1!M:M, 0))</f>
        <v>9</v>
      </c>
    </row>
    <row r="1673" spans="1:11" ht="16" x14ac:dyDescent="0.25">
      <c r="A1673" t="s">
        <v>1303</v>
      </c>
      <c r="B1673">
        <v>4</v>
      </c>
      <c r="C1673">
        <v>2022</v>
      </c>
      <c r="D1673" t="s">
        <v>777</v>
      </c>
      <c r="E1673">
        <v>3.9</v>
      </c>
      <c r="F1673">
        <v>7784477</v>
      </c>
      <c r="G1673" s="1" t="str">
        <f t="shared" si="26"/>
        <v>Washington2022</v>
      </c>
      <c r="H1673">
        <f>+INDEX(Sheet1!C:C, MATCH(Hoja1!G1673, Sheet1!D:D, 0))</f>
        <v>742909.5</v>
      </c>
      <c r="I1673">
        <f>+INDEX(Sheet1!G:G, MATCH(Hoja1!G1673, Sheet1!I:I, 0))</f>
        <v>122176</v>
      </c>
      <c r="J1673" s="2">
        <f>+INDEX(Sheet1!H:H, MATCH(Hoja1!G1673, Sheet1!I:I, 0))</f>
        <v>2.2256434284949295E-2</v>
      </c>
      <c r="K1673" s="2">
        <f>+INDEX(Sheet1!L:L, MATCH(Hoja1!G1673,Sheet1!M:M, 0))</f>
        <v>9</v>
      </c>
    </row>
    <row r="1674" spans="1:11" ht="16" x14ac:dyDescent="0.25">
      <c r="A1674" t="s">
        <v>1303</v>
      </c>
      <c r="B1674">
        <v>5</v>
      </c>
      <c r="C1674">
        <v>2022</v>
      </c>
      <c r="D1674" t="s">
        <v>1311</v>
      </c>
      <c r="E1674">
        <v>3.9</v>
      </c>
      <c r="F1674">
        <v>7784477</v>
      </c>
      <c r="G1674" s="1" t="str">
        <f t="shared" si="26"/>
        <v>Washington2022</v>
      </c>
      <c r="H1674">
        <f>+INDEX(Sheet1!C:C, MATCH(Hoja1!G1674, Sheet1!D:D, 0))</f>
        <v>742909.5</v>
      </c>
      <c r="I1674">
        <f>+INDEX(Sheet1!G:G, MATCH(Hoja1!G1674, Sheet1!I:I, 0))</f>
        <v>122176</v>
      </c>
      <c r="J1674" s="2">
        <f>+INDEX(Sheet1!H:H, MATCH(Hoja1!G1674, Sheet1!I:I, 0))</f>
        <v>2.2256434284949295E-2</v>
      </c>
      <c r="K1674" s="2">
        <f>+INDEX(Sheet1!L:L, MATCH(Hoja1!G1674,Sheet1!M:M, 0))</f>
        <v>9</v>
      </c>
    </row>
    <row r="1675" spans="1:11" ht="16" x14ac:dyDescent="0.25">
      <c r="A1675" t="s">
        <v>1303</v>
      </c>
      <c r="B1675">
        <v>6</v>
      </c>
      <c r="C1675">
        <v>2022</v>
      </c>
      <c r="D1675" t="s">
        <v>182</v>
      </c>
      <c r="E1675">
        <v>4</v>
      </c>
      <c r="F1675">
        <v>7784477</v>
      </c>
      <c r="G1675" s="1" t="str">
        <f t="shared" si="26"/>
        <v>Washington2022</v>
      </c>
      <c r="H1675">
        <f>+INDEX(Sheet1!C:C, MATCH(Hoja1!G1675, Sheet1!D:D, 0))</f>
        <v>742909.5</v>
      </c>
      <c r="I1675">
        <f>+INDEX(Sheet1!G:G, MATCH(Hoja1!G1675, Sheet1!I:I, 0))</f>
        <v>122176</v>
      </c>
      <c r="J1675" s="2">
        <f>+INDEX(Sheet1!H:H, MATCH(Hoja1!G1675, Sheet1!I:I, 0))</f>
        <v>2.2256434284949295E-2</v>
      </c>
      <c r="K1675" s="2">
        <f>+INDEX(Sheet1!L:L, MATCH(Hoja1!G1675,Sheet1!M:M, 0))</f>
        <v>9</v>
      </c>
    </row>
    <row r="1676" spans="1:11" ht="16" x14ac:dyDescent="0.25">
      <c r="A1676" t="s">
        <v>1303</v>
      </c>
      <c r="B1676">
        <v>7</v>
      </c>
      <c r="C1676">
        <v>2022</v>
      </c>
      <c r="D1676" t="s">
        <v>1137</v>
      </c>
      <c r="E1676">
        <v>4</v>
      </c>
      <c r="F1676">
        <v>7784477</v>
      </c>
      <c r="G1676" s="1" t="str">
        <f t="shared" si="26"/>
        <v>Washington2022</v>
      </c>
      <c r="H1676">
        <f>+INDEX(Sheet1!C:C, MATCH(Hoja1!G1676, Sheet1!D:D, 0))</f>
        <v>742909.5</v>
      </c>
      <c r="I1676">
        <f>+INDEX(Sheet1!G:G, MATCH(Hoja1!G1676, Sheet1!I:I, 0))</f>
        <v>122176</v>
      </c>
      <c r="J1676" s="2">
        <f>+INDEX(Sheet1!H:H, MATCH(Hoja1!G1676, Sheet1!I:I, 0))</f>
        <v>2.2256434284949295E-2</v>
      </c>
      <c r="K1676" s="2">
        <f>+INDEX(Sheet1!L:L, MATCH(Hoja1!G1676,Sheet1!M:M, 0))</f>
        <v>9</v>
      </c>
    </row>
    <row r="1677" spans="1:11" ht="16" x14ac:dyDescent="0.25">
      <c r="A1677" t="s">
        <v>1303</v>
      </c>
      <c r="B1677">
        <v>8</v>
      </c>
      <c r="C1677">
        <v>2022</v>
      </c>
      <c r="D1677" t="s">
        <v>1312</v>
      </c>
      <c r="E1677">
        <v>4.0999999999999996</v>
      </c>
      <c r="F1677">
        <v>7784477</v>
      </c>
      <c r="G1677" s="1" t="str">
        <f t="shared" si="26"/>
        <v>Washington2022</v>
      </c>
      <c r="H1677">
        <f>+INDEX(Sheet1!C:C, MATCH(Hoja1!G1677, Sheet1!D:D, 0))</f>
        <v>742909.5</v>
      </c>
      <c r="I1677">
        <f>+INDEX(Sheet1!G:G, MATCH(Hoja1!G1677, Sheet1!I:I, 0))</f>
        <v>122176</v>
      </c>
      <c r="J1677" s="2">
        <f>+INDEX(Sheet1!H:H, MATCH(Hoja1!G1677, Sheet1!I:I, 0))</f>
        <v>2.2256434284949295E-2</v>
      </c>
      <c r="K1677" s="2">
        <f>+INDEX(Sheet1!L:L, MATCH(Hoja1!G1677,Sheet1!M:M, 0))</f>
        <v>9</v>
      </c>
    </row>
    <row r="1678" spans="1:11" ht="16" x14ac:dyDescent="0.25">
      <c r="A1678" t="s">
        <v>1303</v>
      </c>
      <c r="B1678">
        <v>9</v>
      </c>
      <c r="C1678">
        <v>2022</v>
      </c>
      <c r="D1678" t="s">
        <v>1313</v>
      </c>
      <c r="E1678">
        <v>4.2</v>
      </c>
      <c r="F1678">
        <v>7784477</v>
      </c>
      <c r="G1678" s="1" t="str">
        <f t="shared" si="26"/>
        <v>Washington2022</v>
      </c>
      <c r="H1678">
        <f>+INDEX(Sheet1!C:C, MATCH(Hoja1!G1678, Sheet1!D:D, 0))</f>
        <v>742909.5</v>
      </c>
      <c r="I1678">
        <f>+INDEX(Sheet1!G:G, MATCH(Hoja1!G1678, Sheet1!I:I, 0))</f>
        <v>122176</v>
      </c>
      <c r="J1678" s="2">
        <f>+INDEX(Sheet1!H:H, MATCH(Hoja1!G1678, Sheet1!I:I, 0))</f>
        <v>2.2256434284949295E-2</v>
      </c>
      <c r="K1678" s="2">
        <f>+INDEX(Sheet1!L:L, MATCH(Hoja1!G1678,Sheet1!M:M, 0))</f>
        <v>9</v>
      </c>
    </row>
    <row r="1679" spans="1:11" ht="16" x14ac:dyDescent="0.25">
      <c r="A1679" t="s">
        <v>1303</v>
      </c>
      <c r="B1679">
        <v>10</v>
      </c>
      <c r="C1679">
        <v>2022</v>
      </c>
      <c r="D1679" t="s">
        <v>237</v>
      </c>
      <c r="E1679">
        <v>4.3</v>
      </c>
      <c r="F1679">
        <v>7784477</v>
      </c>
      <c r="G1679" s="1" t="str">
        <f t="shared" si="26"/>
        <v>Washington2022</v>
      </c>
      <c r="H1679">
        <f>+INDEX(Sheet1!C:C, MATCH(Hoja1!G1679, Sheet1!D:D, 0))</f>
        <v>742909.5</v>
      </c>
      <c r="I1679">
        <f>+INDEX(Sheet1!G:G, MATCH(Hoja1!G1679, Sheet1!I:I, 0))</f>
        <v>122176</v>
      </c>
      <c r="J1679" s="2">
        <f>+INDEX(Sheet1!H:H, MATCH(Hoja1!G1679, Sheet1!I:I, 0))</f>
        <v>2.2256434284949295E-2</v>
      </c>
      <c r="K1679" s="2">
        <f>+INDEX(Sheet1!L:L, MATCH(Hoja1!G1679,Sheet1!M:M, 0))</f>
        <v>9</v>
      </c>
    </row>
    <row r="1680" spans="1:11" ht="16" x14ac:dyDescent="0.25">
      <c r="A1680" t="s">
        <v>1303</v>
      </c>
      <c r="B1680">
        <v>11</v>
      </c>
      <c r="C1680">
        <v>2022</v>
      </c>
      <c r="D1680" t="s">
        <v>1314</v>
      </c>
      <c r="E1680">
        <v>4.3</v>
      </c>
      <c r="F1680">
        <v>7784477</v>
      </c>
      <c r="G1680" s="1" t="str">
        <f t="shared" si="26"/>
        <v>Washington2022</v>
      </c>
      <c r="H1680">
        <f>+INDEX(Sheet1!C:C, MATCH(Hoja1!G1680, Sheet1!D:D, 0))</f>
        <v>742909.5</v>
      </c>
      <c r="I1680">
        <f>+INDEX(Sheet1!G:G, MATCH(Hoja1!G1680, Sheet1!I:I, 0))</f>
        <v>122176</v>
      </c>
      <c r="J1680" s="2">
        <f>+INDEX(Sheet1!H:H, MATCH(Hoja1!G1680, Sheet1!I:I, 0))</f>
        <v>2.2256434284949295E-2</v>
      </c>
      <c r="K1680" s="2">
        <f>+INDEX(Sheet1!L:L, MATCH(Hoja1!G1680,Sheet1!M:M, 0))</f>
        <v>9</v>
      </c>
    </row>
    <row r="1681" spans="1:11" ht="16" x14ac:dyDescent="0.25">
      <c r="A1681" t="s">
        <v>1303</v>
      </c>
      <c r="B1681">
        <v>12</v>
      </c>
      <c r="C1681">
        <v>2022</v>
      </c>
      <c r="D1681" t="s">
        <v>1315</v>
      </c>
      <c r="E1681">
        <v>4.2</v>
      </c>
      <c r="F1681">
        <v>7784477</v>
      </c>
      <c r="G1681" s="1" t="str">
        <f t="shared" si="26"/>
        <v>Washington2022</v>
      </c>
      <c r="H1681">
        <f>+INDEX(Sheet1!C:C, MATCH(Hoja1!G1681, Sheet1!D:D, 0))</f>
        <v>742909.5</v>
      </c>
      <c r="I1681">
        <f>+INDEX(Sheet1!G:G, MATCH(Hoja1!G1681, Sheet1!I:I, 0))</f>
        <v>122176</v>
      </c>
      <c r="J1681" s="2">
        <f>+INDEX(Sheet1!H:H, MATCH(Hoja1!G1681, Sheet1!I:I, 0))</f>
        <v>2.2256434284949295E-2</v>
      </c>
      <c r="K1681" s="2">
        <f>+INDEX(Sheet1!L:L, MATCH(Hoja1!G1681,Sheet1!M:M, 0))</f>
        <v>9</v>
      </c>
    </row>
    <row r="1682" spans="1:11" ht="16" x14ac:dyDescent="0.25">
      <c r="A1682" t="s">
        <v>1303</v>
      </c>
      <c r="B1682">
        <v>1</v>
      </c>
      <c r="C1682">
        <v>2023</v>
      </c>
      <c r="D1682" t="s">
        <v>1316</v>
      </c>
      <c r="E1682">
        <v>4.0999999999999996</v>
      </c>
      <c r="F1682">
        <v>7812880</v>
      </c>
      <c r="G1682" s="1" t="str">
        <f t="shared" si="26"/>
        <v>Washington2023</v>
      </c>
      <c r="H1682">
        <f>+INDEX(Sheet1!C:C, MATCH(Hoja1!G1682, Sheet1!D:D, 0))</f>
        <v>807864.5</v>
      </c>
      <c r="I1682">
        <f>+INDEX(Sheet1!G:G, MATCH(Hoja1!G1682, Sheet1!I:I, 0))</f>
        <v>128467</v>
      </c>
      <c r="J1682" s="2">
        <f>+INDEX(Sheet1!H:H, MATCH(Hoja1!G1682, Sheet1!I:I, 0))</f>
        <v>5.1491291251964381E-2</v>
      </c>
      <c r="K1682" s="2">
        <f>+INDEX(Sheet1!L:L, MATCH(Hoja1!G1682,Sheet1!M:M, 0))</f>
        <v>8.6999999999999993</v>
      </c>
    </row>
    <row r="1683" spans="1:11" ht="16" x14ac:dyDescent="0.25">
      <c r="A1683" t="s">
        <v>1303</v>
      </c>
      <c r="B1683">
        <v>2</v>
      </c>
      <c r="C1683">
        <v>2023</v>
      </c>
      <c r="D1683" t="s">
        <v>1317</v>
      </c>
      <c r="E1683">
        <v>4</v>
      </c>
      <c r="F1683">
        <v>7812880</v>
      </c>
      <c r="G1683" s="1" t="str">
        <f t="shared" si="26"/>
        <v>Washington2023</v>
      </c>
      <c r="H1683">
        <f>+INDEX(Sheet1!C:C, MATCH(Hoja1!G1683, Sheet1!D:D, 0))</f>
        <v>807864.5</v>
      </c>
      <c r="I1683">
        <f>+INDEX(Sheet1!G:G, MATCH(Hoja1!G1683, Sheet1!I:I, 0))</f>
        <v>128467</v>
      </c>
      <c r="J1683" s="2">
        <f>+INDEX(Sheet1!H:H, MATCH(Hoja1!G1683, Sheet1!I:I, 0))</f>
        <v>5.1491291251964381E-2</v>
      </c>
      <c r="K1683" s="2">
        <f>+INDEX(Sheet1!L:L, MATCH(Hoja1!G1683,Sheet1!M:M, 0))</f>
        <v>8.6999999999999993</v>
      </c>
    </row>
    <row r="1684" spans="1:11" ht="16" x14ac:dyDescent="0.25">
      <c r="A1684" t="s">
        <v>1303</v>
      </c>
      <c r="B1684">
        <v>3</v>
      </c>
      <c r="C1684">
        <v>2023</v>
      </c>
      <c r="D1684" t="s">
        <v>1019</v>
      </c>
      <c r="E1684">
        <v>3.9</v>
      </c>
      <c r="F1684">
        <v>7812880</v>
      </c>
      <c r="G1684" s="1" t="str">
        <f t="shared" si="26"/>
        <v>Washington2023</v>
      </c>
      <c r="H1684">
        <f>+INDEX(Sheet1!C:C, MATCH(Hoja1!G1684, Sheet1!D:D, 0))</f>
        <v>807864.5</v>
      </c>
      <c r="I1684">
        <f>+INDEX(Sheet1!G:G, MATCH(Hoja1!G1684, Sheet1!I:I, 0))</f>
        <v>128467</v>
      </c>
      <c r="J1684" s="2">
        <f>+INDEX(Sheet1!H:H, MATCH(Hoja1!G1684, Sheet1!I:I, 0))</f>
        <v>5.1491291251964381E-2</v>
      </c>
      <c r="K1684" s="2">
        <f>+INDEX(Sheet1!L:L, MATCH(Hoja1!G1684,Sheet1!M:M, 0))</f>
        <v>8.6999999999999993</v>
      </c>
    </row>
    <row r="1685" spans="1:11" ht="16" x14ac:dyDescent="0.25">
      <c r="A1685" t="s">
        <v>1303</v>
      </c>
      <c r="B1685">
        <v>4</v>
      </c>
      <c r="C1685">
        <v>2023</v>
      </c>
      <c r="D1685" t="s">
        <v>689</v>
      </c>
      <c r="E1685">
        <v>3.8</v>
      </c>
      <c r="F1685">
        <v>7812880</v>
      </c>
      <c r="G1685" s="1" t="str">
        <f t="shared" si="26"/>
        <v>Washington2023</v>
      </c>
      <c r="H1685">
        <f>+INDEX(Sheet1!C:C, MATCH(Hoja1!G1685, Sheet1!D:D, 0))</f>
        <v>807864.5</v>
      </c>
      <c r="I1685">
        <f>+INDEX(Sheet1!G:G, MATCH(Hoja1!G1685, Sheet1!I:I, 0))</f>
        <v>128467</v>
      </c>
      <c r="J1685" s="2">
        <f>+INDEX(Sheet1!H:H, MATCH(Hoja1!G1685, Sheet1!I:I, 0))</f>
        <v>5.1491291251964381E-2</v>
      </c>
      <c r="K1685" s="2">
        <f>+INDEX(Sheet1!L:L, MATCH(Hoja1!G1685,Sheet1!M:M, 0))</f>
        <v>8.6999999999999993</v>
      </c>
    </row>
    <row r="1686" spans="1:11" ht="16" x14ac:dyDescent="0.25">
      <c r="A1686" t="s">
        <v>1303</v>
      </c>
      <c r="B1686">
        <v>5</v>
      </c>
      <c r="C1686">
        <v>2023</v>
      </c>
      <c r="D1686" t="s">
        <v>759</v>
      </c>
      <c r="E1686">
        <v>3.8</v>
      </c>
      <c r="F1686">
        <v>7812880</v>
      </c>
      <c r="G1686" s="1" t="str">
        <f t="shared" si="26"/>
        <v>Washington2023</v>
      </c>
      <c r="H1686">
        <f>+INDEX(Sheet1!C:C, MATCH(Hoja1!G1686, Sheet1!D:D, 0))</f>
        <v>807864.5</v>
      </c>
      <c r="I1686">
        <f>+INDEX(Sheet1!G:G, MATCH(Hoja1!G1686, Sheet1!I:I, 0))</f>
        <v>128467</v>
      </c>
      <c r="J1686" s="2">
        <f>+INDEX(Sheet1!H:H, MATCH(Hoja1!G1686, Sheet1!I:I, 0))</f>
        <v>5.1491291251964381E-2</v>
      </c>
      <c r="K1686" s="2">
        <f>+INDEX(Sheet1!L:L, MATCH(Hoja1!G1686,Sheet1!M:M, 0))</f>
        <v>8.6999999999999993</v>
      </c>
    </row>
    <row r="1687" spans="1:11" ht="16" x14ac:dyDescent="0.25">
      <c r="A1687" t="s">
        <v>1303</v>
      </c>
      <c r="B1687">
        <v>6</v>
      </c>
      <c r="C1687">
        <v>2023</v>
      </c>
      <c r="D1687" t="s">
        <v>1284</v>
      </c>
      <c r="E1687">
        <v>3.8</v>
      </c>
      <c r="F1687">
        <v>7812880</v>
      </c>
      <c r="G1687" s="1" t="str">
        <f t="shared" si="26"/>
        <v>Washington2023</v>
      </c>
      <c r="H1687">
        <f>+INDEX(Sheet1!C:C, MATCH(Hoja1!G1687, Sheet1!D:D, 0))</f>
        <v>807864.5</v>
      </c>
      <c r="I1687">
        <f>+INDEX(Sheet1!G:G, MATCH(Hoja1!G1687, Sheet1!I:I, 0))</f>
        <v>128467</v>
      </c>
      <c r="J1687" s="2">
        <f>+INDEX(Sheet1!H:H, MATCH(Hoja1!G1687, Sheet1!I:I, 0))</f>
        <v>5.1491291251964381E-2</v>
      </c>
      <c r="K1687" s="2">
        <f>+INDEX(Sheet1!L:L, MATCH(Hoja1!G1687,Sheet1!M:M, 0))</f>
        <v>8.6999999999999993</v>
      </c>
    </row>
    <row r="1688" spans="1:11" ht="16" x14ac:dyDescent="0.25">
      <c r="A1688" t="s">
        <v>1303</v>
      </c>
      <c r="B1688">
        <v>7</v>
      </c>
      <c r="C1688">
        <v>2023</v>
      </c>
      <c r="D1688" t="s">
        <v>1318</v>
      </c>
      <c r="E1688">
        <v>3.9</v>
      </c>
      <c r="F1688">
        <v>7812880</v>
      </c>
      <c r="G1688" s="1" t="str">
        <f t="shared" si="26"/>
        <v>Washington2023</v>
      </c>
      <c r="H1688">
        <f>+INDEX(Sheet1!C:C, MATCH(Hoja1!G1688, Sheet1!D:D, 0))</f>
        <v>807864.5</v>
      </c>
      <c r="I1688">
        <f>+INDEX(Sheet1!G:G, MATCH(Hoja1!G1688, Sheet1!I:I, 0))</f>
        <v>128467</v>
      </c>
      <c r="J1688" s="2">
        <f>+INDEX(Sheet1!H:H, MATCH(Hoja1!G1688, Sheet1!I:I, 0))</f>
        <v>5.1491291251964381E-2</v>
      </c>
      <c r="K1688" s="2">
        <f>+INDEX(Sheet1!L:L, MATCH(Hoja1!G1688,Sheet1!M:M, 0))</f>
        <v>8.6999999999999993</v>
      </c>
    </row>
    <row r="1689" spans="1:11" ht="16" x14ac:dyDescent="0.25">
      <c r="A1689" t="s">
        <v>1303</v>
      </c>
      <c r="B1689">
        <v>8</v>
      </c>
      <c r="C1689">
        <v>2023</v>
      </c>
      <c r="D1689" t="s">
        <v>971</v>
      </c>
      <c r="E1689">
        <v>4.0999999999999996</v>
      </c>
      <c r="F1689">
        <v>7812880</v>
      </c>
      <c r="G1689" s="1" t="str">
        <f t="shared" si="26"/>
        <v>Washington2023</v>
      </c>
      <c r="H1689">
        <f>+INDEX(Sheet1!C:C, MATCH(Hoja1!G1689, Sheet1!D:D, 0))</f>
        <v>807864.5</v>
      </c>
      <c r="I1689">
        <f>+INDEX(Sheet1!G:G, MATCH(Hoja1!G1689, Sheet1!I:I, 0))</f>
        <v>128467</v>
      </c>
      <c r="J1689" s="2">
        <f>+INDEX(Sheet1!H:H, MATCH(Hoja1!G1689, Sheet1!I:I, 0))</f>
        <v>5.1491291251964381E-2</v>
      </c>
      <c r="K1689" s="2">
        <f>+INDEX(Sheet1!L:L, MATCH(Hoja1!G1689,Sheet1!M:M, 0))</f>
        <v>8.6999999999999993</v>
      </c>
    </row>
    <row r="1690" spans="1:11" ht="16" x14ac:dyDescent="0.25">
      <c r="A1690" t="s">
        <v>1303</v>
      </c>
      <c r="B1690">
        <v>9</v>
      </c>
      <c r="C1690">
        <v>2023</v>
      </c>
      <c r="D1690" t="s">
        <v>1319</v>
      </c>
      <c r="E1690">
        <v>4.3</v>
      </c>
      <c r="F1690">
        <v>7812880</v>
      </c>
      <c r="G1690" s="1" t="str">
        <f t="shared" si="26"/>
        <v>Washington2023</v>
      </c>
      <c r="H1690">
        <f>+INDEX(Sheet1!C:C, MATCH(Hoja1!G1690, Sheet1!D:D, 0))</f>
        <v>807864.5</v>
      </c>
      <c r="I1690">
        <f>+INDEX(Sheet1!G:G, MATCH(Hoja1!G1690, Sheet1!I:I, 0))</f>
        <v>128467</v>
      </c>
      <c r="J1690" s="2">
        <f>+INDEX(Sheet1!H:H, MATCH(Hoja1!G1690, Sheet1!I:I, 0))</f>
        <v>5.1491291251964381E-2</v>
      </c>
      <c r="K1690" s="2">
        <f>+INDEX(Sheet1!L:L, MATCH(Hoja1!G1690,Sheet1!M:M, 0))</f>
        <v>8.6999999999999993</v>
      </c>
    </row>
    <row r="1691" spans="1:11" ht="16" x14ac:dyDescent="0.25">
      <c r="A1691" t="s">
        <v>1303</v>
      </c>
      <c r="B1691">
        <v>10</v>
      </c>
      <c r="C1691">
        <v>2023</v>
      </c>
      <c r="D1691" t="s">
        <v>1320</v>
      </c>
      <c r="E1691">
        <v>4.4000000000000004</v>
      </c>
      <c r="F1691">
        <v>7812880</v>
      </c>
      <c r="G1691" s="1" t="str">
        <f t="shared" si="26"/>
        <v>Washington2023</v>
      </c>
      <c r="H1691">
        <f>+INDEX(Sheet1!C:C, MATCH(Hoja1!G1691, Sheet1!D:D, 0))</f>
        <v>807864.5</v>
      </c>
      <c r="I1691">
        <f>+INDEX(Sheet1!G:G, MATCH(Hoja1!G1691, Sheet1!I:I, 0))</f>
        <v>128467</v>
      </c>
      <c r="J1691" s="2">
        <f>+INDEX(Sheet1!H:H, MATCH(Hoja1!G1691, Sheet1!I:I, 0))</f>
        <v>5.1491291251964381E-2</v>
      </c>
      <c r="K1691" s="2">
        <f>+INDEX(Sheet1!L:L, MATCH(Hoja1!G1691,Sheet1!M:M, 0))</f>
        <v>8.6999999999999993</v>
      </c>
    </row>
    <row r="1692" spans="1:11" ht="16" x14ac:dyDescent="0.25">
      <c r="A1692" t="s">
        <v>1303</v>
      </c>
      <c r="B1692">
        <v>11</v>
      </c>
      <c r="C1692">
        <v>2023</v>
      </c>
      <c r="D1692" t="s">
        <v>1321</v>
      </c>
      <c r="E1692">
        <v>4.4000000000000004</v>
      </c>
      <c r="F1692">
        <v>7812880</v>
      </c>
      <c r="G1692" s="1" t="str">
        <f t="shared" si="26"/>
        <v>Washington2023</v>
      </c>
      <c r="H1692">
        <f>+INDEX(Sheet1!C:C, MATCH(Hoja1!G1692, Sheet1!D:D, 0))</f>
        <v>807864.5</v>
      </c>
      <c r="I1692">
        <f>+INDEX(Sheet1!G:G, MATCH(Hoja1!G1692, Sheet1!I:I, 0))</f>
        <v>128467</v>
      </c>
      <c r="J1692" s="2">
        <f>+INDEX(Sheet1!H:H, MATCH(Hoja1!G1692, Sheet1!I:I, 0))</f>
        <v>5.1491291251964381E-2</v>
      </c>
      <c r="K1692" s="2">
        <f>+INDEX(Sheet1!L:L, MATCH(Hoja1!G1692,Sheet1!M:M, 0))</f>
        <v>8.6999999999999993</v>
      </c>
    </row>
    <row r="1693" spans="1:11" ht="16" x14ac:dyDescent="0.25">
      <c r="A1693" t="s">
        <v>1303</v>
      </c>
      <c r="B1693">
        <v>12</v>
      </c>
      <c r="C1693">
        <v>2023</v>
      </c>
      <c r="D1693" t="s">
        <v>1322</v>
      </c>
      <c r="E1693">
        <v>4.4000000000000004</v>
      </c>
      <c r="F1693">
        <v>7812880</v>
      </c>
      <c r="G1693" s="1" t="str">
        <f t="shared" si="26"/>
        <v>Washington2023</v>
      </c>
      <c r="H1693">
        <f>+INDEX(Sheet1!C:C, MATCH(Hoja1!G1693, Sheet1!D:D, 0))</f>
        <v>807864.5</v>
      </c>
      <c r="I1693">
        <f>+INDEX(Sheet1!G:G, MATCH(Hoja1!G1693, Sheet1!I:I, 0))</f>
        <v>128467</v>
      </c>
      <c r="J1693" s="2">
        <f>+INDEX(Sheet1!H:H, MATCH(Hoja1!G1693, Sheet1!I:I, 0))</f>
        <v>5.1491291251964381E-2</v>
      </c>
      <c r="K1693" s="2">
        <f>+INDEX(Sheet1!L:L, MATCH(Hoja1!G1693,Sheet1!M:M, 0))</f>
        <v>8.6999999999999993</v>
      </c>
    </row>
    <row r="1694" spans="1:11" ht="16" x14ac:dyDescent="0.25">
      <c r="A1694" t="s">
        <v>1323</v>
      </c>
      <c r="B1694">
        <v>1</v>
      </c>
      <c r="C1694">
        <v>2021</v>
      </c>
      <c r="D1694" t="s">
        <v>313</v>
      </c>
      <c r="E1694">
        <v>6.1</v>
      </c>
      <c r="F1694">
        <v>1785249</v>
      </c>
      <c r="G1694" s="1" t="str">
        <f t="shared" si="26"/>
        <v>West Virginia2021</v>
      </c>
      <c r="H1694">
        <f>+INDEX(Sheet1!C:C, MATCH(Hoja1!G1694, Sheet1!D:D, 0))</f>
        <v>86550.5</v>
      </c>
      <c r="I1694">
        <f>+INDEX(Sheet1!G:G, MATCH(Hoja1!G1694, Sheet1!I:I, 0))</f>
        <v>100788</v>
      </c>
      <c r="J1694" s="2">
        <f>+INDEX(Sheet1!H:H, MATCH(Hoja1!G1694, Sheet1!I:I, 0))</f>
        <v>1.6243685531927766E-2</v>
      </c>
      <c r="K1694" s="2">
        <f>+INDEX(Sheet1!L:L, MATCH(Hoja1!G1694,Sheet1!M:M, 0))</f>
        <v>16.899999999999999</v>
      </c>
    </row>
    <row r="1695" spans="1:11" ht="16" x14ac:dyDescent="0.25">
      <c r="A1695" t="s">
        <v>1323</v>
      </c>
      <c r="B1695">
        <v>2</v>
      </c>
      <c r="C1695">
        <v>2021</v>
      </c>
      <c r="D1695" t="s">
        <v>1324</v>
      </c>
      <c r="E1695">
        <v>6</v>
      </c>
      <c r="F1695">
        <v>1785249</v>
      </c>
      <c r="G1695" s="1" t="str">
        <f t="shared" si="26"/>
        <v>West Virginia2021</v>
      </c>
      <c r="H1695">
        <f>+INDEX(Sheet1!C:C, MATCH(Hoja1!G1695, Sheet1!D:D, 0))</f>
        <v>86550.5</v>
      </c>
      <c r="I1695">
        <f>+INDEX(Sheet1!G:G, MATCH(Hoja1!G1695, Sheet1!I:I, 0))</f>
        <v>100788</v>
      </c>
      <c r="J1695" s="2">
        <f>+INDEX(Sheet1!H:H, MATCH(Hoja1!G1695, Sheet1!I:I, 0))</f>
        <v>1.6243685531927766E-2</v>
      </c>
      <c r="K1695" s="2">
        <f>+INDEX(Sheet1!L:L, MATCH(Hoja1!G1695,Sheet1!M:M, 0))</f>
        <v>16.899999999999999</v>
      </c>
    </row>
    <row r="1696" spans="1:11" ht="16" x14ac:dyDescent="0.25">
      <c r="A1696" t="s">
        <v>1323</v>
      </c>
      <c r="B1696">
        <v>3</v>
      </c>
      <c r="C1696">
        <v>2021</v>
      </c>
      <c r="D1696" t="s">
        <v>201</v>
      </c>
      <c r="E1696">
        <v>5.9</v>
      </c>
      <c r="F1696">
        <v>1785249</v>
      </c>
      <c r="G1696" s="1" t="str">
        <f t="shared" si="26"/>
        <v>West Virginia2021</v>
      </c>
      <c r="H1696">
        <f>+INDEX(Sheet1!C:C, MATCH(Hoja1!G1696, Sheet1!D:D, 0))</f>
        <v>86550.5</v>
      </c>
      <c r="I1696">
        <f>+INDEX(Sheet1!G:G, MATCH(Hoja1!G1696, Sheet1!I:I, 0))</f>
        <v>100788</v>
      </c>
      <c r="J1696" s="2">
        <f>+INDEX(Sheet1!H:H, MATCH(Hoja1!G1696, Sheet1!I:I, 0))</f>
        <v>1.6243685531927766E-2</v>
      </c>
      <c r="K1696" s="2">
        <f>+INDEX(Sheet1!L:L, MATCH(Hoja1!G1696,Sheet1!M:M, 0))</f>
        <v>16.899999999999999</v>
      </c>
    </row>
    <row r="1697" spans="1:11" ht="16" x14ac:dyDescent="0.25">
      <c r="A1697" t="s">
        <v>1323</v>
      </c>
      <c r="B1697">
        <v>4</v>
      </c>
      <c r="C1697">
        <v>2021</v>
      </c>
      <c r="D1697" t="s">
        <v>1325</v>
      </c>
      <c r="E1697">
        <v>5.7</v>
      </c>
      <c r="F1697">
        <v>1785249</v>
      </c>
      <c r="G1697" s="1" t="str">
        <f t="shared" si="26"/>
        <v>West Virginia2021</v>
      </c>
      <c r="H1697">
        <f>+INDEX(Sheet1!C:C, MATCH(Hoja1!G1697, Sheet1!D:D, 0))</f>
        <v>86550.5</v>
      </c>
      <c r="I1697">
        <f>+INDEX(Sheet1!G:G, MATCH(Hoja1!G1697, Sheet1!I:I, 0))</f>
        <v>100788</v>
      </c>
      <c r="J1697" s="2">
        <f>+INDEX(Sheet1!H:H, MATCH(Hoja1!G1697, Sheet1!I:I, 0))</f>
        <v>1.6243685531927766E-2</v>
      </c>
      <c r="K1697" s="2">
        <f>+INDEX(Sheet1!L:L, MATCH(Hoja1!G1697,Sheet1!M:M, 0))</f>
        <v>16.899999999999999</v>
      </c>
    </row>
    <row r="1698" spans="1:11" ht="16" x14ac:dyDescent="0.25">
      <c r="A1698" t="s">
        <v>1323</v>
      </c>
      <c r="B1698">
        <v>5</v>
      </c>
      <c r="C1698">
        <v>2021</v>
      </c>
      <c r="D1698" t="s">
        <v>1326</v>
      </c>
      <c r="E1698">
        <v>5.5</v>
      </c>
      <c r="F1698">
        <v>1785249</v>
      </c>
      <c r="G1698" s="1" t="str">
        <f t="shared" si="26"/>
        <v>West Virginia2021</v>
      </c>
      <c r="H1698">
        <f>+INDEX(Sheet1!C:C, MATCH(Hoja1!G1698, Sheet1!D:D, 0))</f>
        <v>86550.5</v>
      </c>
      <c r="I1698">
        <f>+INDEX(Sheet1!G:G, MATCH(Hoja1!G1698, Sheet1!I:I, 0))</f>
        <v>100788</v>
      </c>
      <c r="J1698" s="2">
        <f>+INDEX(Sheet1!H:H, MATCH(Hoja1!G1698, Sheet1!I:I, 0))</f>
        <v>1.6243685531927766E-2</v>
      </c>
      <c r="K1698" s="2">
        <f>+INDEX(Sheet1!L:L, MATCH(Hoja1!G1698,Sheet1!M:M, 0))</f>
        <v>16.899999999999999</v>
      </c>
    </row>
    <row r="1699" spans="1:11" ht="16" x14ac:dyDescent="0.25">
      <c r="A1699" t="s">
        <v>1323</v>
      </c>
      <c r="B1699">
        <v>6</v>
      </c>
      <c r="C1699">
        <v>2021</v>
      </c>
      <c r="D1699" t="s">
        <v>727</v>
      </c>
      <c r="E1699">
        <v>5.4</v>
      </c>
      <c r="F1699">
        <v>1785249</v>
      </c>
      <c r="G1699" s="1" t="str">
        <f t="shared" si="26"/>
        <v>West Virginia2021</v>
      </c>
      <c r="H1699">
        <f>+INDEX(Sheet1!C:C, MATCH(Hoja1!G1699, Sheet1!D:D, 0))</f>
        <v>86550.5</v>
      </c>
      <c r="I1699">
        <f>+INDEX(Sheet1!G:G, MATCH(Hoja1!G1699, Sheet1!I:I, 0))</f>
        <v>100788</v>
      </c>
      <c r="J1699" s="2">
        <f>+INDEX(Sheet1!H:H, MATCH(Hoja1!G1699, Sheet1!I:I, 0))</f>
        <v>1.6243685531927766E-2</v>
      </c>
      <c r="K1699" s="2">
        <f>+INDEX(Sheet1!L:L, MATCH(Hoja1!G1699,Sheet1!M:M, 0))</f>
        <v>16.899999999999999</v>
      </c>
    </row>
    <row r="1700" spans="1:11" ht="16" x14ac:dyDescent="0.25">
      <c r="A1700" t="s">
        <v>1323</v>
      </c>
      <c r="B1700">
        <v>7</v>
      </c>
      <c r="C1700">
        <v>2021</v>
      </c>
      <c r="D1700" t="s">
        <v>1327</v>
      </c>
      <c r="E1700">
        <v>5.0999999999999996</v>
      </c>
      <c r="F1700">
        <v>1785249</v>
      </c>
      <c r="G1700" s="1" t="str">
        <f t="shared" si="26"/>
        <v>West Virginia2021</v>
      </c>
      <c r="H1700">
        <f>+INDEX(Sheet1!C:C, MATCH(Hoja1!G1700, Sheet1!D:D, 0))</f>
        <v>86550.5</v>
      </c>
      <c r="I1700">
        <f>+INDEX(Sheet1!G:G, MATCH(Hoja1!G1700, Sheet1!I:I, 0))</f>
        <v>100788</v>
      </c>
      <c r="J1700" s="2">
        <f>+INDEX(Sheet1!H:H, MATCH(Hoja1!G1700, Sheet1!I:I, 0))</f>
        <v>1.6243685531927766E-2</v>
      </c>
      <c r="K1700" s="2">
        <f>+INDEX(Sheet1!L:L, MATCH(Hoja1!G1700,Sheet1!M:M, 0))</f>
        <v>16.899999999999999</v>
      </c>
    </row>
    <row r="1701" spans="1:11" ht="16" x14ac:dyDescent="0.25">
      <c r="A1701" t="s">
        <v>1323</v>
      </c>
      <c r="B1701">
        <v>8</v>
      </c>
      <c r="C1701">
        <v>2021</v>
      </c>
      <c r="D1701" t="s">
        <v>1328</v>
      </c>
      <c r="E1701">
        <v>4.9000000000000004</v>
      </c>
      <c r="F1701">
        <v>1785249</v>
      </c>
      <c r="G1701" s="1" t="str">
        <f t="shared" si="26"/>
        <v>West Virginia2021</v>
      </c>
      <c r="H1701">
        <f>+INDEX(Sheet1!C:C, MATCH(Hoja1!G1701, Sheet1!D:D, 0))</f>
        <v>86550.5</v>
      </c>
      <c r="I1701">
        <f>+INDEX(Sheet1!G:G, MATCH(Hoja1!G1701, Sheet1!I:I, 0))</f>
        <v>100788</v>
      </c>
      <c r="J1701" s="2">
        <f>+INDEX(Sheet1!H:H, MATCH(Hoja1!G1701, Sheet1!I:I, 0))</f>
        <v>1.6243685531927766E-2</v>
      </c>
      <c r="K1701" s="2">
        <f>+INDEX(Sheet1!L:L, MATCH(Hoja1!G1701,Sheet1!M:M, 0))</f>
        <v>16.899999999999999</v>
      </c>
    </row>
    <row r="1702" spans="1:11" ht="16" x14ac:dyDescent="0.25">
      <c r="A1702" t="s">
        <v>1323</v>
      </c>
      <c r="B1702">
        <v>9</v>
      </c>
      <c r="C1702">
        <v>2021</v>
      </c>
      <c r="D1702" t="s">
        <v>1329</v>
      </c>
      <c r="E1702">
        <v>4.5999999999999996</v>
      </c>
      <c r="F1702">
        <v>1785249</v>
      </c>
      <c r="G1702" s="1" t="str">
        <f t="shared" si="26"/>
        <v>West Virginia2021</v>
      </c>
      <c r="H1702">
        <f>+INDEX(Sheet1!C:C, MATCH(Hoja1!G1702, Sheet1!D:D, 0))</f>
        <v>86550.5</v>
      </c>
      <c r="I1702">
        <f>+INDEX(Sheet1!G:G, MATCH(Hoja1!G1702, Sheet1!I:I, 0))</f>
        <v>100788</v>
      </c>
      <c r="J1702" s="2">
        <f>+INDEX(Sheet1!H:H, MATCH(Hoja1!G1702, Sheet1!I:I, 0))</f>
        <v>1.6243685531927766E-2</v>
      </c>
      <c r="K1702" s="2">
        <f>+INDEX(Sheet1!L:L, MATCH(Hoja1!G1702,Sheet1!M:M, 0))</f>
        <v>16.899999999999999</v>
      </c>
    </row>
    <row r="1703" spans="1:11" ht="16" x14ac:dyDescent="0.25">
      <c r="A1703" t="s">
        <v>1323</v>
      </c>
      <c r="B1703">
        <v>10</v>
      </c>
      <c r="C1703">
        <v>2021</v>
      </c>
      <c r="D1703" t="s">
        <v>1330</v>
      </c>
      <c r="E1703">
        <v>4.4000000000000004</v>
      </c>
      <c r="F1703">
        <v>1785249</v>
      </c>
      <c r="G1703" s="1" t="str">
        <f t="shared" si="26"/>
        <v>West Virginia2021</v>
      </c>
      <c r="H1703">
        <f>+INDEX(Sheet1!C:C, MATCH(Hoja1!G1703, Sheet1!D:D, 0))</f>
        <v>86550.5</v>
      </c>
      <c r="I1703">
        <f>+INDEX(Sheet1!G:G, MATCH(Hoja1!G1703, Sheet1!I:I, 0))</f>
        <v>100788</v>
      </c>
      <c r="J1703" s="2">
        <f>+INDEX(Sheet1!H:H, MATCH(Hoja1!G1703, Sheet1!I:I, 0))</f>
        <v>1.6243685531927766E-2</v>
      </c>
      <c r="K1703" s="2">
        <f>+INDEX(Sheet1!L:L, MATCH(Hoja1!G1703,Sheet1!M:M, 0))</f>
        <v>16.899999999999999</v>
      </c>
    </row>
    <row r="1704" spans="1:11" ht="16" x14ac:dyDescent="0.25">
      <c r="A1704" t="s">
        <v>1323</v>
      </c>
      <c r="B1704">
        <v>11</v>
      </c>
      <c r="C1704">
        <v>2021</v>
      </c>
      <c r="D1704" t="s">
        <v>1331</v>
      </c>
      <c r="E1704">
        <v>4.2</v>
      </c>
      <c r="F1704">
        <v>1785249</v>
      </c>
      <c r="G1704" s="1" t="str">
        <f t="shared" si="26"/>
        <v>West Virginia2021</v>
      </c>
      <c r="H1704">
        <f>+INDEX(Sheet1!C:C, MATCH(Hoja1!G1704, Sheet1!D:D, 0))</f>
        <v>86550.5</v>
      </c>
      <c r="I1704">
        <f>+INDEX(Sheet1!G:G, MATCH(Hoja1!G1704, Sheet1!I:I, 0))</f>
        <v>100788</v>
      </c>
      <c r="J1704" s="2">
        <f>+INDEX(Sheet1!H:H, MATCH(Hoja1!G1704, Sheet1!I:I, 0))</f>
        <v>1.6243685531927766E-2</v>
      </c>
      <c r="K1704" s="2">
        <f>+INDEX(Sheet1!L:L, MATCH(Hoja1!G1704,Sheet1!M:M, 0))</f>
        <v>16.899999999999999</v>
      </c>
    </row>
    <row r="1705" spans="1:11" ht="16" x14ac:dyDescent="0.25">
      <c r="A1705" t="s">
        <v>1323</v>
      </c>
      <c r="B1705">
        <v>12</v>
      </c>
      <c r="C1705">
        <v>2021</v>
      </c>
      <c r="D1705" t="s">
        <v>1332</v>
      </c>
      <c r="E1705">
        <v>4</v>
      </c>
      <c r="F1705">
        <v>1785249</v>
      </c>
      <c r="G1705" s="1" t="str">
        <f t="shared" si="26"/>
        <v>West Virginia2021</v>
      </c>
      <c r="H1705">
        <f>+INDEX(Sheet1!C:C, MATCH(Hoja1!G1705, Sheet1!D:D, 0))</f>
        <v>86550.5</v>
      </c>
      <c r="I1705">
        <f>+INDEX(Sheet1!G:G, MATCH(Hoja1!G1705, Sheet1!I:I, 0))</f>
        <v>100788</v>
      </c>
      <c r="J1705" s="2">
        <f>+INDEX(Sheet1!H:H, MATCH(Hoja1!G1705, Sheet1!I:I, 0))</f>
        <v>1.6243685531927766E-2</v>
      </c>
      <c r="K1705" s="2">
        <f>+INDEX(Sheet1!L:L, MATCH(Hoja1!G1705,Sheet1!M:M, 0))</f>
        <v>16.899999999999999</v>
      </c>
    </row>
    <row r="1706" spans="1:11" ht="16" x14ac:dyDescent="0.25">
      <c r="A1706" t="s">
        <v>1323</v>
      </c>
      <c r="B1706">
        <v>1</v>
      </c>
      <c r="C1706">
        <v>2022</v>
      </c>
      <c r="D1706" t="s">
        <v>1333</v>
      </c>
      <c r="E1706">
        <v>3.9</v>
      </c>
      <c r="F1706">
        <v>1774035</v>
      </c>
      <c r="G1706" s="1" t="str">
        <f t="shared" si="26"/>
        <v>West Virginia2022</v>
      </c>
      <c r="H1706">
        <f>+INDEX(Sheet1!C:C, MATCH(Hoja1!G1706, Sheet1!D:D, 0))</f>
        <v>98290</v>
      </c>
      <c r="I1706">
        <f>+INDEX(Sheet1!G:G, MATCH(Hoja1!G1706, Sheet1!I:I, 0))</f>
        <v>102681</v>
      </c>
      <c r="J1706" s="2">
        <f>+INDEX(Sheet1!H:H, MATCH(Hoja1!G1706, Sheet1!I:I, 0))</f>
        <v>1.8781997856887726E-2</v>
      </c>
      <c r="K1706" s="2">
        <f>+INDEX(Sheet1!L:L, MATCH(Hoja1!G1706,Sheet1!M:M, 0))</f>
        <v>15.5</v>
      </c>
    </row>
    <row r="1707" spans="1:11" ht="16" x14ac:dyDescent="0.25">
      <c r="A1707" t="s">
        <v>1323</v>
      </c>
      <c r="B1707">
        <v>2</v>
      </c>
      <c r="C1707">
        <v>2022</v>
      </c>
      <c r="D1707" t="s">
        <v>239</v>
      </c>
      <c r="E1707">
        <v>3.8</v>
      </c>
      <c r="F1707">
        <v>1774035</v>
      </c>
      <c r="G1707" s="1" t="str">
        <f t="shared" si="26"/>
        <v>West Virginia2022</v>
      </c>
      <c r="H1707">
        <f>+INDEX(Sheet1!C:C, MATCH(Hoja1!G1707, Sheet1!D:D, 0))</f>
        <v>98290</v>
      </c>
      <c r="I1707">
        <f>+INDEX(Sheet1!G:G, MATCH(Hoja1!G1707, Sheet1!I:I, 0))</f>
        <v>102681</v>
      </c>
      <c r="J1707" s="2">
        <f>+INDEX(Sheet1!H:H, MATCH(Hoja1!G1707, Sheet1!I:I, 0))</f>
        <v>1.8781997856887726E-2</v>
      </c>
      <c r="K1707" s="2">
        <f>+INDEX(Sheet1!L:L, MATCH(Hoja1!G1707,Sheet1!M:M, 0))</f>
        <v>15.5</v>
      </c>
    </row>
    <row r="1708" spans="1:11" ht="16" x14ac:dyDescent="0.25">
      <c r="A1708" t="s">
        <v>1323</v>
      </c>
      <c r="B1708">
        <v>3</v>
      </c>
      <c r="C1708">
        <v>2022</v>
      </c>
      <c r="D1708" t="s">
        <v>692</v>
      </c>
      <c r="E1708">
        <v>3.8</v>
      </c>
      <c r="F1708">
        <v>1774035</v>
      </c>
      <c r="G1708" s="1" t="str">
        <f t="shared" si="26"/>
        <v>West Virginia2022</v>
      </c>
      <c r="H1708">
        <f>+INDEX(Sheet1!C:C, MATCH(Hoja1!G1708, Sheet1!D:D, 0))</f>
        <v>98290</v>
      </c>
      <c r="I1708">
        <f>+INDEX(Sheet1!G:G, MATCH(Hoja1!G1708, Sheet1!I:I, 0))</f>
        <v>102681</v>
      </c>
      <c r="J1708" s="2">
        <f>+INDEX(Sheet1!H:H, MATCH(Hoja1!G1708, Sheet1!I:I, 0))</f>
        <v>1.8781997856887726E-2</v>
      </c>
      <c r="K1708" s="2">
        <f>+INDEX(Sheet1!L:L, MATCH(Hoja1!G1708,Sheet1!M:M, 0))</f>
        <v>15.5</v>
      </c>
    </row>
    <row r="1709" spans="1:11" ht="16" x14ac:dyDescent="0.25">
      <c r="A1709" t="s">
        <v>1323</v>
      </c>
      <c r="B1709">
        <v>4</v>
      </c>
      <c r="C1709">
        <v>2022</v>
      </c>
      <c r="D1709" t="s">
        <v>502</v>
      </c>
      <c r="E1709">
        <v>3.8</v>
      </c>
      <c r="F1709">
        <v>1774035</v>
      </c>
      <c r="G1709" s="1" t="str">
        <f t="shared" si="26"/>
        <v>West Virginia2022</v>
      </c>
      <c r="H1709">
        <f>+INDEX(Sheet1!C:C, MATCH(Hoja1!G1709, Sheet1!D:D, 0))</f>
        <v>98290</v>
      </c>
      <c r="I1709">
        <f>+INDEX(Sheet1!G:G, MATCH(Hoja1!G1709, Sheet1!I:I, 0))</f>
        <v>102681</v>
      </c>
      <c r="J1709" s="2">
        <f>+INDEX(Sheet1!H:H, MATCH(Hoja1!G1709, Sheet1!I:I, 0))</f>
        <v>1.8781997856887726E-2</v>
      </c>
      <c r="K1709" s="2">
        <f>+INDEX(Sheet1!L:L, MATCH(Hoja1!G1709,Sheet1!M:M, 0))</f>
        <v>15.5</v>
      </c>
    </row>
    <row r="1710" spans="1:11" ht="16" x14ac:dyDescent="0.25">
      <c r="A1710" t="s">
        <v>1323</v>
      </c>
      <c r="B1710">
        <v>5</v>
      </c>
      <c r="C1710">
        <v>2022</v>
      </c>
      <c r="D1710" t="s">
        <v>1334</v>
      </c>
      <c r="E1710">
        <v>3.8</v>
      </c>
      <c r="F1710">
        <v>1774035</v>
      </c>
      <c r="G1710" s="1" t="str">
        <f t="shared" si="26"/>
        <v>West Virginia2022</v>
      </c>
      <c r="H1710">
        <f>+INDEX(Sheet1!C:C, MATCH(Hoja1!G1710, Sheet1!D:D, 0))</f>
        <v>98290</v>
      </c>
      <c r="I1710">
        <f>+INDEX(Sheet1!G:G, MATCH(Hoja1!G1710, Sheet1!I:I, 0))</f>
        <v>102681</v>
      </c>
      <c r="J1710" s="2">
        <f>+INDEX(Sheet1!H:H, MATCH(Hoja1!G1710, Sheet1!I:I, 0))</f>
        <v>1.8781997856887726E-2</v>
      </c>
      <c r="K1710" s="2">
        <f>+INDEX(Sheet1!L:L, MATCH(Hoja1!G1710,Sheet1!M:M, 0))</f>
        <v>15.5</v>
      </c>
    </row>
    <row r="1711" spans="1:11" ht="16" x14ac:dyDescent="0.25">
      <c r="A1711" t="s">
        <v>1323</v>
      </c>
      <c r="B1711">
        <v>6</v>
      </c>
      <c r="C1711">
        <v>2022</v>
      </c>
      <c r="D1711" t="s">
        <v>1335</v>
      </c>
      <c r="E1711">
        <v>3.9</v>
      </c>
      <c r="F1711">
        <v>1774035</v>
      </c>
      <c r="G1711" s="1" t="str">
        <f t="shared" si="26"/>
        <v>West Virginia2022</v>
      </c>
      <c r="H1711">
        <f>+INDEX(Sheet1!C:C, MATCH(Hoja1!G1711, Sheet1!D:D, 0))</f>
        <v>98290</v>
      </c>
      <c r="I1711">
        <f>+INDEX(Sheet1!G:G, MATCH(Hoja1!G1711, Sheet1!I:I, 0))</f>
        <v>102681</v>
      </c>
      <c r="J1711" s="2">
        <f>+INDEX(Sheet1!H:H, MATCH(Hoja1!G1711, Sheet1!I:I, 0))</f>
        <v>1.8781997856887726E-2</v>
      </c>
      <c r="K1711" s="2">
        <f>+INDEX(Sheet1!L:L, MATCH(Hoja1!G1711,Sheet1!M:M, 0))</f>
        <v>15.5</v>
      </c>
    </row>
    <row r="1712" spans="1:11" ht="16" x14ac:dyDescent="0.25">
      <c r="A1712" t="s">
        <v>1323</v>
      </c>
      <c r="B1712">
        <v>7</v>
      </c>
      <c r="C1712">
        <v>2022</v>
      </c>
      <c r="D1712" t="s">
        <v>1336</v>
      </c>
      <c r="E1712">
        <v>4</v>
      </c>
      <c r="F1712">
        <v>1774035</v>
      </c>
      <c r="G1712" s="1" t="str">
        <f t="shared" si="26"/>
        <v>West Virginia2022</v>
      </c>
      <c r="H1712">
        <f>+INDEX(Sheet1!C:C, MATCH(Hoja1!G1712, Sheet1!D:D, 0))</f>
        <v>98290</v>
      </c>
      <c r="I1712">
        <f>+INDEX(Sheet1!G:G, MATCH(Hoja1!G1712, Sheet1!I:I, 0))</f>
        <v>102681</v>
      </c>
      <c r="J1712" s="2">
        <f>+INDEX(Sheet1!H:H, MATCH(Hoja1!G1712, Sheet1!I:I, 0))</f>
        <v>1.8781997856887726E-2</v>
      </c>
      <c r="K1712" s="2">
        <f>+INDEX(Sheet1!L:L, MATCH(Hoja1!G1712,Sheet1!M:M, 0))</f>
        <v>15.5</v>
      </c>
    </row>
    <row r="1713" spans="1:11" ht="16" x14ac:dyDescent="0.25">
      <c r="A1713" t="s">
        <v>1323</v>
      </c>
      <c r="B1713">
        <v>8</v>
      </c>
      <c r="C1713">
        <v>2022</v>
      </c>
      <c r="D1713" t="s">
        <v>227</v>
      </c>
      <c r="E1713">
        <v>4</v>
      </c>
      <c r="F1713">
        <v>1774035</v>
      </c>
      <c r="G1713" s="1" t="str">
        <f t="shared" si="26"/>
        <v>West Virginia2022</v>
      </c>
      <c r="H1713">
        <f>+INDEX(Sheet1!C:C, MATCH(Hoja1!G1713, Sheet1!D:D, 0))</f>
        <v>98290</v>
      </c>
      <c r="I1713">
        <f>+INDEX(Sheet1!G:G, MATCH(Hoja1!G1713, Sheet1!I:I, 0))</f>
        <v>102681</v>
      </c>
      <c r="J1713" s="2">
        <f>+INDEX(Sheet1!H:H, MATCH(Hoja1!G1713, Sheet1!I:I, 0))</f>
        <v>1.8781997856887726E-2</v>
      </c>
      <c r="K1713" s="2">
        <f>+INDEX(Sheet1!L:L, MATCH(Hoja1!G1713,Sheet1!M:M, 0))</f>
        <v>15.5</v>
      </c>
    </row>
    <row r="1714" spans="1:11" ht="16" x14ac:dyDescent="0.25">
      <c r="A1714" t="s">
        <v>1323</v>
      </c>
      <c r="B1714">
        <v>9</v>
      </c>
      <c r="C1714">
        <v>2022</v>
      </c>
      <c r="D1714" t="s">
        <v>348</v>
      </c>
      <c r="E1714">
        <v>4</v>
      </c>
      <c r="F1714">
        <v>1774035</v>
      </c>
      <c r="G1714" s="1" t="str">
        <f t="shared" si="26"/>
        <v>West Virginia2022</v>
      </c>
      <c r="H1714">
        <f>+INDEX(Sheet1!C:C, MATCH(Hoja1!G1714, Sheet1!D:D, 0))</f>
        <v>98290</v>
      </c>
      <c r="I1714">
        <f>+INDEX(Sheet1!G:G, MATCH(Hoja1!G1714, Sheet1!I:I, 0))</f>
        <v>102681</v>
      </c>
      <c r="J1714" s="2">
        <f>+INDEX(Sheet1!H:H, MATCH(Hoja1!G1714, Sheet1!I:I, 0))</f>
        <v>1.8781997856887726E-2</v>
      </c>
      <c r="K1714" s="2">
        <f>+INDEX(Sheet1!L:L, MATCH(Hoja1!G1714,Sheet1!M:M, 0))</f>
        <v>15.5</v>
      </c>
    </row>
    <row r="1715" spans="1:11" ht="16" x14ac:dyDescent="0.25">
      <c r="A1715" t="s">
        <v>1323</v>
      </c>
      <c r="B1715">
        <v>10</v>
      </c>
      <c r="C1715">
        <v>2022</v>
      </c>
      <c r="D1715" t="s">
        <v>1308</v>
      </c>
      <c r="E1715">
        <v>4</v>
      </c>
      <c r="F1715">
        <v>1774035</v>
      </c>
      <c r="G1715" s="1" t="str">
        <f t="shared" si="26"/>
        <v>West Virginia2022</v>
      </c>
      <c r="H1715">
        <f>+INDEX(Sheet1!C:C, MATCH(Hoja1!G1715, Sheet1!D:D, 0))</f>
        <v>98290</v>
      </c>
      <c r="I1715">
        <f>+INDEX(Sheet1!G:G, MATCH(Hoja1!G1715, Sheet1!I:I, 0))</f>
        <v>102681</v>
      </c>
      <c r="J1715" s="2">
        <f>+INDEX(Sheet1!H:H, MATCH(Hoja1!G1715, Sheet1!I:I, 0))</f>
        <v>1.8781997856887726E-2</v>
      </c>
      <c r="K1715" s="2">
        <f>+INDEX(Sheet1!L:L, MATCH(Hoja1!G1715,Sheet1!M:M, 0))</f>
        <v>15.5</v>
      </c>
    </row>
    <row r="1716" spans="1:11" ht="16" x14ac:dyDescent="0.25">
      <c r="A1716" t="s">
        <v>1323</v>
      </c>
      <c r="B1716">
        <v>11</v>
      </c>
      <c r="C1716">
        <v>2022</v>
      </c>
      <c r="D1716" t="s">
        <v>612</v>
      </c>
      <c r="E1716">
        <v>3.8</v>
      </c>
      <c r="F1716">
        <v>1774035</v>
      </c>
      <c r="G1716" s="1" t="str">
        <f t="shared" si="26"/>
        <v>West Virginia2022</v>
      </c>
      <c r="H1716">
        <f>+INDEX(Sheet1!C:C, MATCH(Hoja1!G1716, Sheet1!D:D, 0))</f>
        <v>98290</v>
      </c>
      <c r="I1716">
        <f>+INDEX(Sheet1!G:G, MATCH(Hoja1!G1716, Sheet1!I:I, 0))</f>
        <v>102681</v>
      </c>
      <c r="J1716" s="2">
        <f>+INDEX(Sheet1!H:H, MATCH(Hoja1!G1716, Sheet1!I:I, 0))</f>
        <v>1.8781997856887726E-2</v>
      </c>
      <c r="K1716" s="2">
        <f>+INDEX(Sheet1!L:L, MATCH(Hoja1!G1716,Sheet1!M:M, 0))</f>
        <v>15.5</v>
      </c>
    </row>
    <row r="1717" spans="1:11" ht="16" x14ac:dyDescent="0.25">
      <c r="A1717" t="s">
        <v>1323</v>
      </c>
      <c r="B1717">
        <v>12</v>
      </c>
      <c r="C1717">
        <v>2022</v>
      </c>
      <c r="D1717" t="s">
        <v>771</v>
      </c>
      <c r="E1717">
        <v>3.7</v>
      </c>
      <c r="F1717">
        <v>1774035</v>
      </c>
      <c r="G1717" s="1" t="str">
        <f t="shared" si="26"/>
        <v>West Virginia2022</v>
      </c>
      <c r="H1717">
        <f>+INDEX(Sheet1!C:C, MATCH(Hoja1!G1717, Sheet1!D:D, 0))</f>
        <v>98290</v>
      </c>
      <c r="I1717">
        <f>+INDEX(Sheet1!G:G, MATCH(Hoja1!G1717, Sheet1!I:I, 0))</f>
        <v>102681</v>
      </c>
      <c r="J1717" s="2">
        <f>+INDEX(Sheet1!H:H, MATCH(Hoja1!G1717, Sheet1!I:I, 0))</f>
        <v>1.8781997856887726E-2</v>
      </c>
      <c r="K1717" s="2">
        <f>+INDEX(Sheet1!L:L, MATCH(Hoja1!G1717,Sheet1!M:M, 0))</f>
        <v>15.5</v>
      </c>
    </row>
    <row r="1718" spans="1:11" ht="16" x14ac:dyDescent="0.25">
      <c r="A1718" t="s">
        <v>1323</v>
      </c>
      <c r="B1718">
        <v>1</v>
      </c>
      <c r="C1718">
        <v>2023</v>
      </c>
      <c r="D1718" t="s">
        <v>227</v>
      </c>
      <c r="E1718">
        <v>3.6</v>
      </c>
      <c r="F1718">
        <v>1770071</v>
      </c>
      <c r="G1718" s="1" t="str">
        <f t="shared" si="26"/>
        <v>West Virginia2023</v>
      </c>
      <c r="H1718">
        <f>+INDEX(Sheet1!C:C, MATCH(Hoja1!G1718, Sheet1!D:D, 0))</f>
        <v>102151.8</v>
      </c>
      <c r="I1718">
        <f>+INDEX(Sheet1!G:G, MATCH(Hoja1!G1718, Sheet1!I:I, 0))</f>
        <v>107484</v>
      </c>
      <c r="J1718" s="2">
        <f>+INDEX(Sheet1!H:H, MATCH(Hoja1!G1718, Sheet1!I:I, 0))</f>
        <v>4.6775937125661027E-2</v>
      </c>
      <c r="K1718" s="2">
        <f>+INDEX(Sheet1!L:L, MATCH(Hoja1!G1718,Sheet1!M:M, 0))</f>
        <v>13.3</v>
      </c>
    </row>
    <row r="1719" spans="1:11" ht="16" x14ac:dyDescent="0.25">
      <c r="A1719" t="s">
        <v>1323</v>
      </c>
      <c r="B1719">
        <v>2</v>
      </c>
      <c r="C1719">
        <v>2023</v>
      </c>
      <c r="D1719" t="s">
        <v>1337</v>
      </c>
      <c r="E1719">
        <v>3.5</v>
      </c>
      <c r="F1719">
        <v>1770071</v>
      </c>
      <c r="G1719" s="1" t="str">
        <f t="shared" si="26"/>
        <v>West Virginia2023</v>
      </c>
      <c r="H1719">
        <f>+INDEX(Sheet1!C:C, MATCH(Hoja1!G1719, Sheet1!D:D, 0))</f>
        <v>102151.8</v>
      </c>
      <c r="I1719">
        <f>+INDEX(Sheet1!G:G, MATCH(Hoja1!G1719, Sheet1!I:I, 0))</f>
        <v>107484</v>
      </c>
      <c r="J1719" s="2">
        <f>+INDEX(Sheet1!H:H, MATCH(Hoja1!G1719, Sheet1!I:I, 0))</f>
        <v>4.6775937125661027E-2</v>
      </c>
      <c r="K1719" s="2">
        <f>+INDEX(Sheet1!L:L, MATCH(Hoja1!G1719,Sheet1!M:M, 0))</f>
        <v>13.3</v>
      </c>
    </row>
    <row r="1720" spans="1:11" ht="16" x14ac:dyDescent="0.25">
      <c r="A1720" t="s">
        <v>1323</v>
      </c>
      <c r="B1720">
        <v>3</v>
      </c>
      <c r="C1720">
        <v>2023</v>
      </c>
      <c r="D1720" t="s">
        <v>1219</v>
      </c>
      <c r="E1720">
        <v>3.5</v>
      </c>
      <c r="F1720">
        <v>1770071</v>
      </c>
      <c r="G1720" s="1" t="str">
        <f t="shared" si="26"/>
        <v>West Virginia2023</v>
      </c>
      <c r="H1720">
        <f>+INDEX(Sheet1!C:C, MATCH(Hoja1!G1720, Sheet1!D:D, 0))</f>
        <v>102151.8</v>
      </c>
      <c r="I1720">
        <f>+INDEX(Sheet1!G:G, MATCH(Hoja1!G1720, Sheet1!I:I, 0))</f>
        <v>107484</v>
      </c>
      <c r="J1720" s="2">
        <f>+INDEX(Sheet1!H:H, MATCH(Hoja1!G1720, Sheet1!I:I, 0))</f>
        <v>4.6775937125661027E-2</v>
      </c>
      <c r="K1720" s="2">
        <f>+INDEX(Sheet1!L:L, MATCH(Hoja1!G1720,Sheet1!M:M, 0))</f>
        <v>13.3</v>
      </c>
    </row>
    <row r="1721" spans="1:11" ht="16" x14ac:dyDescent="0.25">
      <c r="A1721" t="s">
        <v>1323</v>
      </c>
      <c r="B1721">
        <v>4</v>
      </c>
      <c r="C1721">
        <v>2023</v>
      </c>
      <c r="D1721" t="s">
        <v>1317</v>
      </c>
      <c r="E1721">
        <v>3.5</v>
      </c>
      <c r="F1721">
        <v>1770071</v>
      </c>
      <c r="G1721" s="1" t="str">
        <f t="shared" si="26"/>
        <v>West Virginia2023</v>
      </c>
      <c r="H1721">
        <f>+INDEX(Sheet1!C:C, MATCH(Hoja1!G1721, Sheet1!D:D, 0))</f>
        <v>102151.8</v>
      </c>
      <c r="I1721">
        <f>+INDEX(Sheet1!G:G, MATCH(Hoja1!G1721, Sheet1!I:I, 0))</f>
        <v>107484</v>
      </c>
      <c r="J1721" s="2">
        <f>+INDEX(Sheet1!H:H, MATCH(Hoja1!G1721, Sheet1!I:I, 0))</f>
        <v>4.6775937125661027E-2</v>
      </c>
      <c r="K1721" s="2">
        <f>+INDEX(Sheet1!L:L, MATCH(Hoja1!G1721,Sheet1!M:M, 0))</f>
        <v>13.3</v>
      </c>
    </row>
    <row r="1722" spans="1:11" ht="16" x14ac:dyDescent="0.25">
      <c r="A1722" t="s">
        <v>1323</v>
      </c>
      <c r="B1722">
        <v>5</v>
      </c>
      <c r="C1722">
        <v>2023</v>
      </c>
      <c r="D1722" t="s">
        <v>1338</v>
      </c>
      <c r="E1722">
        <v>3.6</v>
      </c>
      <c r="F1722">
        <v>1770071</v>
      </c>
      <c r="G1722" s="1" t="str">
        <f t="shared" si="26"/>
        <v>West Virginia2023</v>
      </c>
      <c r="H1722">
        <f>+INDEX(Sheet1!C:C, MATCH(Hoja1!G1722, Sheet1!D:D, 0))</f>
        <v>102151.8</v>
      </c>
      <c r="I1722">
        <f>+INDEX(Sheet1!G:G, MATCH(Hoja1!G1722, Sheet1!I:I, 0))</f>
        <v>107484</v>
      </c>
      <c r="J1722" s="2">
        <f>+INDEX(Sheet1!H:H, MATCH(Hoja1!G1722, Sheet1!I:I, 0))</f>
        <v>4.6775937125661027E-2</v>
      </c>
      <c r="K1722" s="2">
        <f>+INDEX(Sheet1!L:L, MATCH(Hoja1!G1722,Sheet1!M:M, 0))</f>
        <v>13.3</v>
      </c>
    </row>
    <row r="1723" spans="1:11" ht="16" x14ac:dyDescent="0.25">
      <c r="A1723" t="s">
        <v>1323</v>
      </c>
      <c r="B1723">
        <v>6</v>
      </c>
      <c r="C1723">
        <v>2023</v>
      </c>
      <c r="D1723" t="s">
        <v>1339</v>
      </c>
      <c r="E1723">
        <v>3.8</v>
      </c>
      <c r="F1723">
        <v>1770071</v>
      </c>
      <c r="G1723" s="1" t="str">
        <f t="shared" si="26"/>
        <v>West Virginia2023</v>
      </c>
      <c r="H1723">
        <f>+INDEX(Sheet1!C:C, MATCH(Hoja1!G1723, Sheet1!D:D, 0))</f>
        <v>102151.8</v>
      </c>
      <c r="I1723">
        <f>+INDEX(Sheet1!G:G, MATCH(Hoja1!G1723, Sheet1!I:I, 0))</f>
        <v>107484</v>
      </c>
      <c r="J1723" s="2">
        <f>+INDEX(Sheet1!H:H, MATCH(Hoja1!G1723, Sheet1!I:I, 0))</f>
        <v>4.6775937125661027E-2</v>
      </c>
      <c r="K1723" s="2">
        <f>+INDEX(Sheet1!L:L, MATCH(Hoja1!G1723,Sheet1!M:M, 0))</f>
        <v>13.3</v>
      </c>
    </row>
    <row r="1724" spans="1:11" ht="16" x14ac:dyDescent="0.25">
      <c r="A1724" t="s">
        <v>1323</v>
      </c>
      <c r="B1724">
        <v>7</v>
      </c>
      <c r="C1724">
        <v>2023</v>
      </c>
      <c r="D1724" t="s">
        <v>477</v>
      </c>
      <c r="E1724">
        <v>4</v>
      </c>
      <c r="F1724">
        <v>1770071</v>
      </c>
      <c r="G1724" s="1" t="str">
        <f t="shared" si="26"/>
        <v>West Virginia2023</v>
      </c>
      <c r="H1724">
        <f>+INDEX(Sheet1!C:C, MATCH(Hoja1!G1724, Sheet1!D:D, 0))</f>
        <v>102151.8</v>
      </c>
      <c r="I1724">
        <f>+INDEX(Sheet1!G:G, MATCH(Hoja1!G1724, Sheet1!I:I, 0))</f>
        <v>107484</v>
      </c>
      <c r="J1724" s="2">
        <f>+INDEX(Sheet1!H:H, MATCH(Hoja1!G1724, Sheet1!I:I, 0))</f>
        <v>4.6775937125661027E-2</v>
      </c>
      <c r="K1724" s="2">
        <f>+INDEX(Sheet1!L:L, MATCH(Hoja1!G1724,Sheet1!M:M, 0))</f>
        <v>13.3</v>
      </c>
    </row>
    <row r="1725" spans="1:11" ht="16" x14ac:dyDescent="0.25">
      <c r="A1725" t="s">
        <v>1323</v>
      </c>
      <c r="B1725">
        <v>8</v>
      </c>
      <c r="C1725">
        <v>2023</v>
      </c>
      <c r="D1725" t="s">
        <v>1340</v>
      </c>
      <c r="E1725">
        <v>4.2</v>
      </c>
      <c r="F1725">
        <v>1770071</v>
      </c>
      <c r="G1725" s="1" t="str">
        <f t="shared" si="26"/>
        <v>West Virginia2023</v>
      </c>
      <c r="H1725">
        <f>+INDEX(Sheet1!C:C, MATCH(Hoja1!G1725, Sheet1!D:D, 0))</f>
        <v>102151.8</v>
      </c>
      <c r="I1725">
        <f>+INDEX(Sheet1!G:G, MATCH(Hoja1!G1725, Sheet1!I:I, 0))</f>
        <v>107484</v>
      </c>
      <c r="J1725" s="2">
        <f>+INDEX(Sheet1!H:H, MATCH(Hoja1!G1725, Sheet1!I:I, 0))</f>
        <v>4.6775937125661027E-2</v>
      </c>
      <c r="K1725" s="2">
        <f>+INDEX(Sheet1!L:L, MATCH(Hoja1!G1725,Sheet1!M:M, 0))</f>
        <v>13.3</v>
      </c>
    </row>
    <row r="1726" spans="1:11" ht="16" x14ac:dyDescent="0.25">
      <c r="A1726" t="s">
        <v>1323</v>
      </c>
      <c r="B1726">
        <v>9</v>
      </c>
      <c r="C1726">
        <v>2023</v>
      </c>
      <c r="D1726" t="s">
        <v>995</v>
      </c>
      <c r="E1726">
        <v>4.3</v>
      </c>
      <c r="F1726">
        <v>1770071</v>
      </c>
      <c r="G1726" s="1" t="str">
        <f t="shared" si="26"/>
        <v>West Virginia2023</v>
      </c>
      <c r="H1726">
        <f>+INDEX(Sheet1!C:C, MATCH(Hoja1!G1726, Sheet1!D:D, 0))</f>
        <v>102151.8</v>
      </c>
      <c r="I1726">
        <f>+INDEX(Sheet1!G:G, MATCH(Hoja1!G1726, Sheet1!I:I, 0))</f>
        <v>107484</v>
      </c>
      <c r="J1726" s="2">
        <f>+INDEX(Sheet1!H:H, MATCH(Hoja1!G1726, Sheet1!I:I, 0))</f>
        <v>4.6775937125661027E-2</v>
      </c>
      <c r="K1726" s="2">
        <f>+INDEX(Sheet1!L:L, MATCH(Hoja1!G1726,Sheet1!M:M, 0))</f>
        <v>13.3</v>
      </c>
    </row>
    <row r="1727" spans="1:11" ht="16" x14ac:dyDescent="0.25">
      <c r="A1727" t="s">
        <v>1323</v>
      </c>
      <c r="B1727">
        <v>10</v>
      </c>
      <c r="C1727">
        <v>2023</v>
      </c>
      <c r="D1727" t="s">
        <v>1341</v>
      </c>
      <c r="E1727">
        <v>4.3</v>
      </c>
      <c r="F1727">
        <v>1770071</v>
      </c>
      <c r="G1727" s="1" t="str">
        <f t="shared" si="26"/>
        <v>West Virginia2023</v>
      </c>
      <c r="H1727">
        <f>+INDEX(Sheet1!C:C, MATCH(Hoja1!G1727, Sheet1!D:D, 0))</f>
        <v>102151.8</v>
      </c>
      <c r="I1727">
        <f>+INDEX(Sheet1!G:G, MATCH(Hoja1!G1727, Sheet1!I:I, 0))</f>
        <v>107484</v>
      </c>
      <c r="J1727" s="2">
        <f>+INDEX(Sheet1!H:H, MATCH(Hoja1!G1727, Sheet1!I:I, 0))</f>
        <v>4.6775937125661027E-2</v>
      </c>
      <c r="K1727" s="2">
        <f>+INDEX(Sheet1!L:L, MATCH(Hoja1!G1727,Sheet1!M:M, 0))</f>
        <v>13.3</v>
      </c>
    </row>
    <row r="1728" spans="1:11" ht="16" x14ac:dyDescent="0.25">
      <c r="A1728" t="s">
        <v>1323</v>
      </c>
      <c r="B1728">
        <v>11</v>
      </c>
      <c r="C1728">
        <v>2023</v>
      </c>
      <c r="D1728" t="s">
        <v>1342</v>
      </c>
      <c r="E1728">
        <v>4.3</v>
      </c>
      <c r="F1728">
        <v>1770071</v>
      </c>
      <c r="G1728" s="1" t="str">
        <f t="shared" si="26"/>
        <v>West Virginia2023</v>
      </c>
      <c r="H1728">
        <f>+INDEX(Sheet1!C:C, MATCH(Hoja1!G1728, Sheet1!D:D, 0))</f>
        <v>102151.8</v>
      </c>
      <c r="I1728">
        <f>+INDEX(Sheet1!G:G, MATCH(Hoja1!G1728, Sheet1!I:I, 0))</f>
        <v>107484</v>
      </c>
      <c r="J1728" s="2">
        <f>+INDEX(Sheet1!H:H, MATCH(Hoja1!G1728, Sheet1!I:I, 0))</f>
        <v>4.6775937125661027E-2</v>
      </c>
      <c r="K1728" s="2">
        <f>+INDEX(Sheet1!L:L, MATCH(Hoja1!G1728,Sheet1!M:M, 0))</f>
        <v>13.3</v>
      </c>
    </row>
    <row r="1729" spans="1:11" ht="16" x14ac:dyDescent="0.25">
      <c r="A1729" t="s">
        <v>1323</v>
      </c>
      <c r="B1729">
        <v>12</v>
      </c>
      <c r="C1729">
        <v>2023</v>
      </c>
      <c r="D1729" t="s">
        <v>1055</v>
      </c>
      <c r="E1729">
        <v>4.3</v>
      </c>
      <c r="F1729">
        <v>1770071</v>
      </c>
      <c r="G1729" s="1" t="str">
        <f t="shared" si="26"/>
        <v>West Virginia2023</v>
      </c>
      <c r="H1729">
        <f>+INDEX(Sheet1!C:C, MATCH(Hoja1!G1729, Sheet1!D:D, 0))</f>
        <v>102151.8</v>
      </c>
      <c r="I1729">
        <f>+INDEX(Sheet1!G:G, MATCH(Hoja1!G1729, Sheet1!I:I, 0))</f>
        <v>107484</v>
      </c>
      <c r="J1729" s="2">
        <f>+INDEX(Sheet1!H:H, MATCH(Hoja1!G1729, Sheet1!I:I, 0))</f>
        <v>4.6775937125661027E-2</v>
      </c>
      <c r="K1729" s="2">
        <f>+INDEX(Sheet1!L:L, MATCH(Hoja1!G1729,Sheet1!M:M, 0))</f>
        <v>13.3</v>
      </c>
    </row>
    <row r="1730" spans="1:11" ht="16" x14ac:dyDescent="0.25">
      <c r="A1730" t="s">
        <v>1343</v>
      </c>
      <c r="B1730">
        <v>1</v>
      </c>
      <c r="C1730">
        <v>2021</v>
      </c>
      <c r="D1730" t="s">
        <v>1079</v>
      </c>
      <c r="E1730">
        <v>4.7</v>
      </c>
      <c r="F1730">
        <v>5879978</v>
      </c>
      <c r="G1730" s="1" t="str">
        <f t="shared" si="26"/>
        <v>Wisconsin2021</v>
      </c>
      <c r="H1730">
        <f>+INDEX(Sheet1!C:C, MATCH(Hoja1!G1730, Sheet1!D:D, 0))</f>
        <v>368880.4</v>
      </c>
      <c r="I1730">
        <f>+INDEX(Sheet1!G:G, MATCH(Hoja1!G1730, Sheet1!I:I, 0))</f>
        <v>103923</v>
      </c>
      <c r="J1730" s="2">
        <f>+INDEX(Sheet1!H:H, MATCH(Hoja1!G1730, Sheet1!I:I, 0))</f>
        <v>3.7352392170171986E-2</v>
      </c>
      <c r="K1730" s="2">
        <f>+INDEX(Sheet1!L:L, MATCH(Hoja1!G1730,Sheet1!M:M, 0))</f>
        <v>9.3000000000000007</v>
      </c>
    </row>
    <row r="1731" spans="1:11" ht="16" x14ac:dyDescent="0.25">
      <c r="A1731" t="s">
        <v>1343</v>
      </c>
      <c r="B1731">
        <v>2</v>
      </c>
      <c r="C1731">
        <v>2021</v>
      </c>
      <c r="D1731" t="s">
        <v>1344</v>
      </c>
      <c r="E1731">
        <v>4.5999999999999996</v>
      </c>
      <c r="F1731">
        <v>5879978</v>
      </c>
      <c r="G1731" s="1" t="str">
        <f t="shared" ref="G1731:G1794" si="27">+A1731&amp;C1731</f>
        <v>Wisconsin2021</v>
      </c>
      <c r="H1731">
        <f>+INDEX(Sheet1!C:C, MATCH(Hoja1!G1731, Sheet1!D:D, 0))</f>
        <v>368880.4</v>
      </c>
      <c r="I1731">
        <f>+INDEX(Sheet1!G:G, MATCH(Hoja1!G1731, Sheet1!I:I, 0))</f>
        <v>103923</v>
      </c>
      <c r="J1731" s="2">
        <f>+INDEX(Sheet1!H:H, MATCH(Hoja1!G1731, Sheet1!I:I, 0))</f>
        <v>3.7352392170171986E-2</v>
      </c>
      <c r="K1731" s="2">
        <f>+INDEX(Sheet1!L:L, MATCH(Hoja1!G1731,Sheet1!M:M, 0))</f>
        <v>9.3000000000000007</v>
      </c>
    </row>
    <row r="1732" spans="1:11" ht="16" x14ac:dyDescent="0.25">
      <c r="A1732" t="s">
        <v>1343</v>
      </c>
      <c r="B1732">
        <v>3</v>
      </c>
      <c r="C1732">
        <v>2021</v>
      </c>
      <c r="D1732" t="s">
        <v>130</v>
      </c>
      <c r="E1732">
        <v>4.4000000000000004</v>
      </c>
      <c r="F1732">
        <v>5879978</v>
      </c>
      <c r="G1732" s="1" t="str">
        <f t="shared" si="27"/>
        <v>Wisconsin2021</v>
      </c>
      <c r="H1732">
        <f>+INDEX(Sheet1!C:C, MATCH(Hoja1!G1732, Sheet1!D:D, 0))</f>
        <v>368880.4</v>
      </c>
      <c r="I1732">
        <f>+INDEX(Sheet1!G:G, MATCH(Hoja1!G1732, Sheet1!I:I, 0))</f>
        <v>103923</v>
      </c>
      <c r="J1732" s="2">
        <f>+INDEX(Sheet1!H:H, MATCH(Hoja1!G1732, Sheet1!I:I, 0))</f>
        <v>3.7352392170171986E-2</v>
      </c>
      <c r="K1732" s="2">
        <f>+INDEX(Sheet1!L:L, MATCH(Hoja1!G1732,Sheet1!M:M, 0))</f>
        <v>9.3000000000000007</v>
      </c>
    </row>
    <row r="1733" spans="1:11" ht="16" x14ac:dyDescent="0.25">
      <c r="A1733" t="s">
        <v>1343</v>
      </c>
      <c r="B1733">
        <v>4</v>
      </c>
      <c r="C1733">
        <v>2021</v>
      </c>
      <c r="D1733" t="s">
        <v>1345</v>
      </c>
      <c r="E1733">
        <v>4.3</v>
      </c>
      <c r="F1733">
        <v>5879978</v>
      </c>
      <c r="G1733" s="1" t="str">
        <f t="shared" si="27"/>
        <v>Wisconsin2021</v>
      </c>
      <c r="H1733">
        <f>+INDEX(Sheet1!C:C, MATCH(Hoja1!G1733, Sheet1!D:D, 0))</f>
        <v>368880.4</v>
      </c>
      <c r="I1733">
        <f>+INDEX(Sheet1!G:G, MATCH(Hoja1!G1733, Sheet1!I:I, 0))</f>
        <v>103923</v>
      </c>
      <c r="J1733" s="2">
        <f>+INDEX(Sheet1!H:H, MATCH(Hoja1!G1733, Sheet1!I:I, 0))</f>
        <v>3.7352392170171986E-2</v>
      </c>
      <c r="K1733" s="2">
        <f>+INDEX(Sheet1!L:L, MATCH(Hoja1!G1733,Sheet1!M:M, 0))</f>
        <v>9.3000000000000007</v>
      </c>
    </row>
    <row r="1734" spans="1:11" ht="16" x14ac:dyDescent="0.25">
      <c r="A1734" t="s">
        <v>1343</v>
      </c>
      <c r="B1734">
        <v>5</v>
      </c>
      <c r="C1734">
        <v>2021</v>
      </c>
      <c r="D1734" t="s">
        <v>37</v>
      </c>
      <c r="E1734">
        <v>4.0999999999999996</v>
      </c>
      <c r="F1734">
        <v>5879978</v>
      </c>
      <c r="G1734" s="1" t="str">
        <f t="shared" si="27"/>
        <v>Wisconsin2021</v>
      </c>
      <c r="H1734">
        <f>+INDEX(Sheet1!C:C, MATCH(Hoja1!G1734, Sheet1!D:D, 0))</f>
        <v>368880.4</v>
      </c>
      <c r="I1734">
        <f>+INDEX(Sheet1!G:G, MATCH(Hoja1!G1734, Sheet1!I:I, 0))</f>
        <v>103923</v>
      </c>
      <c r="J1734" s="2">
        <f>+INDEX(Sheet1!H:H, MATCH(Hoja1!G1734, Sheet1!I:I, 0))</f>
        <v>3.7352392170171986E-2</v>
      </c>
      <c r="K1734" s="2">
        <f>+INDEX(Sheet1!L:L, MATCH(Hoja1!G1734,Sheet1!M:M, 0))</f>
        <v>9.3000000000000007</v>
      </c>
    </row>
    <row r="1735" spans="1:11" ht="16" x14ac:dyDescent="0.25">
      <c r="A1735" t="s">
        <v>1343</v>
      </c>
      <c r="B1735">
        <v>6</v>
      </c>
      <c r="C1735">
        <v>2021</v>
      </c>
      <c r="D1735" t="s">
        <v>1344</v>
      </c>
      <c r="E1735">
        <v>4</v>
      </c>
      <c r="F1735">
        <v>5879978</v>
      </c>
      <c r="G1735" s="1" t="str">
        <f t="shared" si="27"/>
        <v>Wisconsin2021</v>
      </c>
      <c r="H1735">
        <f>+INDEX(Sheet1!C:C, MATCH(Hoja1!G1735, Sheet1!D:D, 0))</f>
        <v>368880.4</v>
      </c>
      <c r="I1735">
        <f>+INDEX(Sheet1!G:G, MATCH(Hoja1!G1735, Sheet1!I:I, 0))</f>
        <v>103923</v>
      </c>
      <c r="J1735" s="2">
        <f>+INDEX(Sheet1!H:H, MATCH(Hoja1!G1735, Sheet1!I:I, 0))</f>
        <v>3.7352392170171986E-2</v>
      </c>
      <c r="K1735" s="2">
        <f>+INDEX(Sheet1!L:L, MATCH(Hoja1!G1735,Sheet1!M:M, 0))</f>
        <v>9.3000000000000007</v>
      </c>
    </row>
    <row r="1736" spans="1:11" ht="16" x14ac:dyDescent="0.25">
      <c r="A1736" t="s">
        <v>1343</v>
      </c>
      <c r="B1736">
        <v>7</v>
      </c>
      <c r="C1736">
        <v>2021</v>
      </c>
      <c r="D1736" t="s">
        <v>1346</v>
      </c>
      <c r="E1736">
        <v>3.8</v>
      </c>
      <c r="F1736">
        <v>5879978</v>
      </c>
      <c r="G1736" s="1" t="str">
        <f t="shared" si="27"/>
        <v>Wisconsin2021</v>
      </c>
      <c r="H1736">
        <f>+INDEX(Sheet1!C:C, MATCH(Hoja1!G1736, Sheet1!D:D, 0))</f>
        <v>368880.4</v>
      </c>
      <c r="I1736">
        <f>+INDEX(Sheet1!G:G, MATCH(Hoja1!G1736, Sheet1!I:I, 0))</f>
        <v>103923</v>
      </c>
      <c r="J1736" s="2">
        <f>+INDEX(Sheet1!H:H, MATCH(Hoja1!G1736, Sheet1!I:I, 0))</f>
        <v>3.7352392170171986E-2</v>
      </c>
      <c r="K1736" s="2">
        <f>+INDEX(Sheet1!L:L, MATCH(Hoja1!G1736,Sheet1!M:M, 0))</f>
        <v>9.3000000000000007</v>
      </c>
    </row>
    <row r="1737" spans="1:11" ht="16" x14ac:dyDescent="0.25">
      <c r="A1737" t="s">
        <v>1343</v>
      </c>
      <c r="B1737">
        <v>8</v>
      </c>
      <c r="C1737">
        <v>2021</v>
      </c>
      <c r="D1737" t="s">
        <v>1347</v>
      </c>
      <c r="E1737">
        <v>3.6</v>
      </c>
      <c r="F1737">
        <v>5879978</v>
      </c>
      <c r="G1737" s="1" t="str">
        <f t="shared" si="27"/>
        <v>Wisconsin2021</v>
      </c>
      <c r="H1737">
        <f>+INDEX(Sheet1!C:C, MATCH(Hoja1!G1737, Sheet1!D:D, 0))</f>
        <v>368880.4</v>
      </c>
      <c r="I1737">
        <f>+INDEX(Sheet1!G:G, MATCH(Hoja1!G1737, Sheet1!I:I, 0))</f>
        <v>103923</v>
      </c>
      <c r="J1737" s="2">
        <f>+INDEX(Sheet1!H:H, MATCH(Hoja1!G1737, Sheet1!I:I, 0))</f>
        <v>3.7352392170171986E-2</v>
      </c>
      <c r="K1737" s="2">
        <f>+INDEX(Sheet1!L:L, MATCH(Hoja1!G1737,Sheet1!M:M, 0))</f>
        <v>9.3000000000000007</v>
      </c>
    </row>
    <row r="1738" spans="1:11" ht="16" x14ac:dyDescent="0.25">
      <c r="A1738" t="s">
        <v>1343</v>
      </c>
      <c r="B1738">
        <v>9</v>
      </c>
      <c r="C1738">
        <v>2021</v>
      </c>
      <c r="D1738" t="s">
        <v>422</v>
      </c>
      <c r="E1738">
        <v>3.4</v>
      </c>
      <c r="F1738">
        <v>5879978</v>
      </c>
      <c r="G1738" s="1" t="str">
        <f t="shared" si="27"/>
        <v>Wisconsin2021</v>
      </c>
      <c r="H1738">
        <f>+INDEX(Sheet1!C:C, MATCH(Hoja1!G1738, Sheet1!D:D, 0))</f>
        <v>368880.4</v>
      </c>
      <c r="I1738">
        <f>+INDEX(Sheet1!G:G, MATCH(Hoja1!G1738, Sheet1!I:I, 0))</f>
        <v>103923</v>
      </c>
      <c r="J1738" s="2">
        <f>+INDEX(Sheet1!H:H, MATCH(Hoja1!G1738, Sheet1!I:I, 0))</f>
        <v>3.7352392170171986E-2</v>
      </c>
      <c r="K1738" s="2">
        <f>+INDEX(Sheet1!L:L, MATCH(Hoja1!G1738,Sheet1!M:M, 0))</f>
        <v>9.3000000000000007</v>
      </c>
    </row>
    <row r="1739" spans="1:11" ht="16" x14ac:dyDescent="0.25">
      <c r="A1739" t="s">
        <v>1343</v>
      </c>
      <c r="B1739">
        <v>10</v>
      </c>
      <c r="C1739">
        <v>2021</v>
      </c>
      <c r="D1739" t="s">
        <v>685</v>
      </c>
      <c r="E1739">
        <v>3.3</v>
      </c>
      <c r="F1739">
        <v>5879978</v>
      </c>
      <c r="G1739" s="1" t="str">
        <f t="shared" si="27"/>
        <v>Wisconsin2021</v>
      </c>
      <c r="H1739">
        <f>+INDEX(Sheet1!C:C, MATCH(Hoja1!G1739, Sheet1!D:D, 0))</f>
        <v>368880.4</v>
      </c>
      <c r="I1739">
        <f>+INDEX(Sheet1!G:G, MATCH(Hoja1!G1739, Sheet1!I:I, 0))</f>
        <v>103923</v>
      </c>
      <c r="J1739" s="2">
        <f>+INDEX(Sheet1!H:H, MATCH(Hoja1!G1739, Sheet1!I:I, 0))</f>
        <v>3.7352392170171986E-2</v>
      </c>
      <c r="K1739" s="2">
        <f>+INDEX(Sheet1!L:L, MATCH(Hoja1!G1739,Sheet1!M:M, 0))</f>
        <v>9.3000000000000007</v>
      </c>
    </row>
    <row r="1740" spans="1:11" ht="16" x14ac:dyDescent="0.25">
      <c r="A1740" t="s">
        <v>1343</v>
      </c>
      <c r="B1740">
        <v>11</v>
      </c>
      <c r="C1740">
        <v>2021</v>
      </c>
      <c r="D1740" t="s">
        <v>1348</v>
      </c>
      <c r="E1740">
        <v>3.1</v>
      </c>
      <c r="F1740">
        <v>5879978</v>
      </c>
      <c r="G1740" s="1" t="str">
        <f t="shared" si="27"/>
        <v>Wisconsin2021</v>
      </c>
      <c r="H1740">
        <f>+INDEX(Sheet1!C:C, MATCH(Hoja1!G1740, Sheet1!D:D, 0))</f>
        <v>368880.4</v>
      </c>
      <c r="I1740">
        <f>+INDEX(Sheet1!G:G, MATCH(Hoja1!G1740, Sheet1!I:I, 0))</f>
        <v>103923</v>
      </c>
      <c r="J1740" s="2">
        <f>+INDEX(Sheet1!H:H, MATCH(Hoja1!G1740, Sheet1!I:I, 0))</f>
        <v>3.7352392170171986E-2</v>
      </c>
      <c r="K1740" s="2">
        <f>+INDEX(Sheet1!L:L, MATCH(Hoja1!G1740,Sheet1!M:M, 0))</f>
        <v>9.3000000000000007</v>
      </c>
    </row>
    <row r="1741" spans="1:11" ht="16" x14ac:dyDescent="0.25">
      <c r="A1741" t="s">
        <v>1343</v>
      </c>
      <c r="B1741">
        <v>12</v>
      </c>
      <c r="C1741">
        <v>2021</v>
      </c>
      <c r="D1741" t="s">
        <v>1349</v>
      </c>
      <c r="E1741">
        <v>3</v>
      </c>
      <c r="F1741">
        <v>5879978</v>
      </c>
      <c r="G1741" s="1" t="str">
        <f t="shared" si="27"/>
        <v>Wisconsin2021</v>
      </c>
      <c r="H1741">
        <f>+INDEX(Sheet1!C:C, MATCH(Hoja1!G1741, Sheet1!D:D, 0))</f>
        <v>368880.4</v>
      </c>
      <c r="I1741">
        <f>+INDEX(Sheet1!G:G, MATCH(Hoja1!G1741, Sheet1!I:I, 0))</f>
        <v>103923</v>
      </c>
      <c r="J1741" s="2">
        <f>+INDEX(Sheet1!H:H, MATCH(Hoja1!G1741, Sheet1!I:I, 0))</f>
        <v>3.7352392170171986E-2</v>
      </c>
      <c r="K1741" s="2">
        <f>+INDEX(Sheet1!L:L, MATCH(Hoja1!G1741,Sheet1!M:M, 0))</f>
        <v>9.3000000000000007</v>
      </c>
    </row>
    <row r="1742" spans="1:11" ht="16" x14ac:dyDescent="0.25">
      <c r="A1742" t="s">
        <v>1343</v>
      </c>
      <c r="B1742">
        <v>1</v>
      </c>
      <c r="C1742">
        <v>2022</v>
      </c>
      <c r="D1742" t="s">
        <v>1350</v>
      </c>
      <c r="E1742">
        <v>3</v>
      </c>
      <c r="F1742">
        <v>5890543</v>
      </c>
      <c r="G1742" s="1" t="str">
        <f t="shared" si="27"/>
        <v>Wisconsin2022</v>
      </c>
      <c r="H1742">
        <f>+INDEX(Sheet1!C:C, MATCH(Hoja1!G1742, Sheet1!D:D, 0))</f>
        <v>400621.4</v>
      </c>
      <c r="I1742">
        <f>+INDEX(Sheet1!G:G, MATCH(Hoja1!G1742, Sheet1!I:I, 0))</f>
        <v>105549</v>
      </c>
      <c r="J1742" s="2">
        <f>+INDEX(Sheet1!H:H, MATCH(Hoja1!G1742, Sheet1!I:I, 0))</f>
        <v>1.5646199590081119E-2</v>
      </c>
      <c r="K1742" s="2">
        <f>+INDEX(Sheet1!L:L, MATCH(Hoja1!G1742,Sheet1!M:M, 0))</f>
        <v>6.6</v>
      </c>
    </row>
    <row r="1743" spans="1:11" ht="16" x14ac:dyDescent="0.25">
      <c r="A1743" t="s">
        <v>1343</v>
      </c>
      <c r="B1743">
        <v>2</v>
      </c>
      <c r="C1743">
        <v>2022</v>
      </c>
      <c r="D1743" t="s">
        <v>1351</v>
      </c>
      <c r="E1743">
        <v>2.9</v>
      </c>
      <c r="F1743">
        <v>5890543</v>
      </c>
      <c r="G1743" s="1" t="str">
        <f t="shared" si="27"/>
        <v>Wisconsin2022</v>
      </c>
      <c r="H1743">
        <f>+INDEX(Sheet1!C:C, MATCH(Hoja1!G1743, Sheet1!D:D, 0))</f>
        <v>400621.4</v>
      </c>
      <c r="I1743">
        <f>+INDEX(Sheet1!G:G, MATCH(Hoja1!G1743, Sheet1!I:I, 0))</f>
        <v>105549</v>
      </c>
      <c r="J1743" s="2">
        <f>+INDEX(Sheet1!H:H, MATCH(Hoja1!G1743, Sheet1!I:I, 0))</f>
        <v>1.5646199590081119E-2</v>
      </c>
      <c r="K1743" s="2">
        <f>+INDEX(Sheet1!L:L, MATCH(Hoja1!G1743,Sheet1!M:M, 0))</f>
        <v>6.6</v>
      </c>
    </row>
    <row r="1744" spans="1:11" ht="16" x14ac:dyDescent="0.25">
      <c r="A1744" t="s">
        <v>1343</v>
      </c>
      <c r="B1744">
        <v>3</v>
      </c>
      <c r="C1744">
        <v>2022</v>
      </c>
      <c r="D1744" t="s">
        <v>687</v>
      </c>
      <c r="E1744">
        <v>2.9</v>
      </c>
      <c r="F1744">
        <v>5890543</v>
      </c>
      <c r="G1744" s="1" t="str">
        <f t="shared" si="27"/>
        <v>Wisconsin2022</v>
      </c>
      <c r="H1744">
        <f>+INDEX(Sheet1!C:C, MATCH(Hoja1!G1744, Sheet1!D:D, 0))</f>
        <v>400621.4</v>
      </c>
      <c r="I1744">
        <f>+INDEX(Sheet1!G:G, MATCH(Hoja1!G1744, Sheet1!I:I, 0))</f>
        <v>105549</v>
      </c>
      <c r="J1744" s="2">
        <f>+INDEX(Sheet1!H:H, MATCH(Hoja1!G1744, Sheet1!I:I, 0))</f>
        <v>1.5646199590081119E-2</v>
      </c>
      <c r="K1744" s="2">
        <f>+INDEX(Sheet1!L:L, MATCH(Hoja1!G1744,Sheet1!M:M, 0))</f>
        <v>6.6</v>
      </c>
    </row>
    <row r="1745" spans="1:11" ht="16" x14ac:dyDescent="0.25">
      <c r="A1745" t="s">
        <v>1343</v>
      </c>
      <c r="B1745">
        <v>4</v>
      </c>
      <c r="C1745">
        <v>2022</v>
      </c>
      <c r="D1745" t="s">
        <v>66</v>
      </c>
      <c r="E1745">
        <v>2.9</v>
      </c>
      <c r="F1745">
        <v>5890543</v>
      </c>
      <c r="G1745" s="1" t="str">
        <f t="shared" si="27"/>
        <v>Wisconsin2022</v>
      </c>
      <c r="H1745">
        <f>+INDEX(Sheet1!C:C, MATCH(Hoja1!G1745, Sheet1!D:D, 0))</f>
        <v>400621.4</v>
      </c>
      <c r="I1745">
        <f>+INDEX(Sheet1!G:G, MATCH(Hoja1!G1745, Sheet1!I:I, 0))</f>
        <v>105549</v>
      </c>
      <c r="J1745" s="2">
        <f>+INDEX(Sheet1!H:H, MATCH(Hoja1!G1745, Sheet1!I:I, 0))</f>
        <v>1.5646199590081119E-2</v>
      </c>
      <c r="K1745" s="2">
        <f>+INDEX(Sheet1!L:L, MATCH(Hoja1!G1745,Sheet1!M:M, 0))</f>
        <v>6.6</v>
      </c>
    </row>
    <row r="1746" spans="1:11" ht="16" x14ac:dyDescent="0.25">
      <c r="A1746" t="s">
        <v>1343</v>
      </c>
      <c r="B1746">
        <v>5</v>
      </c>
      <c r="C1746">
        <v>2022</v>
      </c>
      <c r="D1746" t="s">
        <v>1281</v>
      </c>
      <c r="E1746">
        <v>2.9</v>
      </c>
      <c r="F1746">
        <v>5890543</v>
      </c>
      <c r="G1746" s="1" t="str">
        <f t="shared" si="27"/>
        <v>Wisconsin2022</v>
      </c>
      <c r="H1746">
        <f>+INDEX(Sheet1!C:C, MATCH(Hoja1!G1746, Sheet1!D:D, 0))</f>
        <v>400621.4</v>
      </c>
      <c r="I1746">
        <f>+INDEX(Sheet1!G:G, MATCH(Hoja1!G1746, Sheet1!I:I, 0))</f>
        <v>105549</v>
      </c>
      <c r="J1746" s="2">
        <f>+INDEX(Sheet1!H:H, MATCH(Hoja1!G1746, Sheet1!I:I, 0))</f>
        <v>1.5646199590081119E-2</v>
      </c>
      <c r="K1746" s="2">
        <f>+INDEX(Sheet1!L:L, MATCH(Hoja1!G1746,Sheet1!M:M, 0))</f>
        <v>6.6</v>
      </c>
    </row>
    <row r="1747" spans="1:11" ht="16" x14ac:dyDescent="0.25">
      <c r="A1747" t="s">
        <v>1343</v>
      </c>
      <c r="B1747">
        <v>6</v>
      </c>
      <c r="C1747">
        <v>2022</v>
      </c>
      <c r="D1747" t="s">
        <v>1352</v>
      </c>
      <c r="E1747">
        <v>2.9</v>
      </c>
      <c r="F1747">
        <v>5890543</v>
      </c>
      <c r="G1747" s="1" t="str">
        <f t="shared" si="27"/>
        <v>Wisconsin2022</v>
      </c>
      <c r="H1747">
        <f>+INDEX(Sheet1!C:C, MATCH(Hoja1!G1747, Sheet1!D:D, 0))</f>
        <v>400621.4</v>
      </c>
      <c r="I1747">
        <f>+INDEX(Sheet1!G:G, MATCH(Hoja1!G1747, Sheet1!I:I, 0))</f>
        <v>105549</v>
      </c>
      <c r="J1747" s="2">
        <f>+INDEX(Sheet1!H:H, MATCH(Hoja1!G1747, Sheet1!I:I, 0))</f>
        <v>1.5646199590081119E-2</v>
      </c>
      <c r="K1747" s="2">
        <f>+INDEX(Sheet1!L:L, MATCH(Hoja1!G1747,Sheet1!M:M, 0))</f>
        <v>6.6</v>
      </c>
    </row>
    <row r="1748" spans="1:11" ht="16" x14ac:dyDescent="0.25">
      <c r="A1748" t="s">
        <v>1343</v>
      </c>
      <c r="B1748">
        <v>7</v>
      </c>
      <c r="C1748">
        <v>2022</v>
      </c>
      <c r="D1748" t="s">
        <v>1353</v>
      </c>
      <c r="E1748">
        <v>2.9</v>
      </c>
      <c r="F1748">
        <v>5890543</v>
      </c>
      <c r="G1748" s="1" t="str">
        <f t="shared" si="27"/>
        <v>Wisconsin2022</v>
      </c>
      <c r="H1748">
        <f>+INDEX(Sheet1!C:C, MATCH(Hoja1!G1748, Sheet1!D:D, 0))</f>
        <v>400621.4</v>
      </c>
      <c r="I1748">
        <f>+INDEX(Sheet1!G:G, MATCH(Hoja1!G1748, Sheet1!I:I, 0))</f>
        <v>105549</v>
      </c>
      <c r="J1748" s="2">
        <f>+INDEX(Sheet1!H:H, MATCH(Hoja1!G1748, Sheet1!I:I, 0))</f>
        <v>1.5646199590081119E-2</v>
      </c>
      <c r="K1748" s="2">
        <f>+INDEX(Sheet1!L:L, MATCH(Hoja1!G1748,Sheet1!M:M, 0))</f>
        <v>6.6</v>
      </c>
    </row>
    <row r="1749" spans="1:11" ht="16" x14ac:dyDescent="0.25">
      <c r="A1749" t="s">
        <v>1343</v>
      </c>
      <c r="B1749">
        <v>8</v>
      </c>
      <c r="C1749">
        <v>2022</v>
      </c>
      <c r="D1749" t="s">
        <v>1354</v>
      </c>
      <c r="E1749">
        <v>2.9</v>
      </c>
      <c r="F1749">
        <v>5890543</v>
      </c>
      <c r="G1749" s="1" t="str">
        <f t="shared" si="27"/>
        <v>Wisconsin2022</v>
      </c>
      <c r="H1749">
        <f>+INDEX(Sheet1!C:C, MATCH(Hoja1!G1749, Sheet1!D:D, 0))</f>
        <v>400621.4</v>
      </c>
      <c r="I1749">
        <f>+INDEX(Sheet1!G:G, MATCH(Hoja1!G1749, Sheet1!I:I, 0))</f>
        <v>105549</v>
      </c>
      <c r="J1749" s="2">
        <f>+INDEX(Sheet1!H:H, MATCH(Hoja1!G1749, Sheet1!I:I, 0))</f>
        <v>1.5646199590081119E-2</v>
      </c>
      <c r="K1749" s="2">
        <f>+INDEX(Sheet1!L:L, MATCH(Hoja1!G1749,Sheet1!M:M, 0))</f>
        <v>6.6</v>
      </c>
    </row>
    <row r="1750" spans="1:11" ht="16" x14ac:dyDescent="0.25">
      <c r="A1750" t="s">
        <v>1343</v>
      </c>
      <c r="B1750">
        <v>9</v>
      </c>
      <c r="C1750">
        <v>2022</v>
      </c>
      <c r="D1750" t="s">
        <v>1355</v>
      </c>
      <c r="E1750">
        <v>3</v>
      </c>
      <c r="F1750">
        <v>5890543</v>
      </c>
      <c r="G1750" s="1" t="str">
        <f t="shared" si="27"/>
        <v>Wisconsin2022</v>
      </c>
      <c r="H1750">
        <f>+INDEX(Sheet1!C:C, MATCH(Hoja1!G1750, Sheet1!D:D, 0))</f>
        <v>400621.4</v>
      </c>
      <c r="I1750">
        <f>+INDEX(Sheet1!G:G, MATCH(Hoja1!G1750, Sheet1!I:I, 0))</f>
        <v>105549</v>
      </c>
      <c r="J1750" s="2">
        <f>+INDEX(Sheet1!H:H, MATCH(Hoja1!G1750, Sheet1!I:I, 0))</f>
        <v>1.5646199590081119E-2</v>
      </c>
      <c r="K1750" s="2">
        <f>+INDEX(Sheet1!L:L, MATCH(Hoja1!G1750,Sheet1!M:M, 0))</f>
        <v>6.6</v>
      </c>
    </row>
    <row r="1751" spans="1:11" ht="16" x14ac:dyDescent="0.25">
      <c r="A1751" t="s">
        <v>1343</v>
      </c>
      <c r="B1751">
        <v>10</v>
      </c>
      <c r="C1751">
        <v>2022</v>
      </c>
      <c r="D1751" t="s">
        <v>307</v>
      </c>
      <c r="E1751">
        <v>2.9</v>
      </c>
      <c r="F1751">
        <v>5890543</v>
      </c>
      <c r="G1751" s="1" t="str">
        <f t="shared" si="27"/>
        <v>Wisconsin2022</v>
      </c>
      <c r="H1751">
        <f>+INDEX(Sheet1!C:C, MATCH(Hoja1!G1751, Sheet1!D:D, 0))</f>
        <v>400621.4</v>
      </c>
      <c r="I1751">
        <f>+INDEX(Sheet1!G:G, MATCH(Hoja1!G1751, Sheet1!I:I, 0))</f>
        <v>105549</v>
      </c>
      <c r="J1751" s="2">
        <f>+INDEX(Sheet1!H:H, MATCH(Hoja1!G1751, Sheet1!I:I, 0))</f>
        <v>1.5646199590081119E-2</v>
      </c>
      <c r="K1751" s="2">
        <f>+INDEX(Sheet1!L:L, MATCH(Hoja1!G1751,Sheet1!M:M, 0))</f>
        <v>6.6</v>
      </c>
    </row>
    <row r="1752" spans="1:11" ht="16" x14ac:dyDescent="0.25">
      <c r="A1752" t="s">
        <v>1343</v>
      </c>
      <c r="B1752">
        <v>11</v>
      </c>
      <c r="C1752">
        <v>2022</v>
      </c>
      <c r="D1752" t="s">
        <v>1228</v>
      </c>
      <c r="E1752">
        <v>2.8</v>
      </c>
      <c r="F1752">
        <v>5890543</v>
      </c>
      <c r="G1752" s="1" t="str">
        <f t="shared" si="27"/>
        <v>Wisconsin2022</v>
      </c>
      <c r="H1752">
        <f>+INDEX(Sheet1!C:C, MATCH(Hoja1!G1752, Sheet1!D:D, 0))</f>
        <v>400621.4</v>
      </c>
      <c r="I1752">
        <f>+INDEX(Sheet1!G:G, MATCH(Hoja1!G1752, Sheet1!I:I, 0))</f>
        <v>105549</v>
      </c>
      <c r="J1752" s="2">
        <f>+INDEX(Sheet1!H:H, MATCH(Hoja1!G1752, Sheet1!I:I, 0))</f>
        <v>1.5646199590081119E-2</v>
      </c>
      <c r="K1752" s="2">
        <f>+INDEX(Sheet1!L:L, MATCH(Hoja1!G1752,Sheet1!M:M, 0))</f>
        <v>6.6</v>
      </c>
    </row>
    <row r="1753" spans="1:11" ht="16" x14ac:dyDescent="0.25">
      <c r="A1753" t="s">
        <v>1343</v>
      </c>
      <c r="B1753">
        <v>12</v>
      </c>
      <c r="C1753">
        <v>2022</v>
      </c>
      <c r="D1753" t="s">
        <v>1229</v>
      </c>
      <c r="E1753">
        <v>2.7</v>
      </c>
      <c r="F1753">
        <v>5890543</v>
      </c>
      <c r="G1753" s="1" t="str">
        <f t="shared" si="27"/>
        <v>Wisconsin2022</v>
      </c>
      <c r="H1753">
        <f>+INDEX(Sheet1!C:C, MATCH(Hoja1!G1753, Sheet1!D:D, 0))</f>
        <v>400621.4</v>
      </c>
      <c r="I1753">
        <f>+INDEX(Sheet1!G:G, MATCH(Hoja1!G1753, Sheet1!I:I, 0))</f>
        <v>105549</v>
      </c>
      <c r="J1753" s="2">
        <f>+INDEX(Sheet1!H:H, MATCH(Hoja1!G1753, Sheet1!I:I, 0))</f>
        <v>1.5646199590081119E-2</v>
      </c>
      <c r="K1753" s="2">
        <f>+INDEX(Sheet1!L:L, MATCH(Hoja1!G1753,Sheet1!M:M, 0))</f>
        <v>6.6</v>
      </c>
    </row>
    <row r="1754" spans="1:11" ht="16" x14ac:dyDescent="0.25">
      <c r="A1754" t="s">
        <v>1343</v>
      </c>
      <c r="B1754">
        <v>1</v>
      </c>
      <c r="C1754">
        <v>2023</v>
      </c>
      <c r="D1754" t="s">
        <v>1018</v>
      </c>
      <c r="E1754">
        <v>2.7</v>
      </c>
      <c r="F1754">
        <v>5910955</v>
      </c>
      <c r="G1754" s="1" t="str">
        <f t="shared" si="27"/>
        <v>Wisconsin2023</v>
      </c>
      <c r="H1754">
        <f>+INDEX(Sheet1!C:C, MATCH(Hoja1!G1754, Sheet1!D:D, 0))</f>
        <v>428447.1</v>
      </c>
      <c r="I1754">
        <f>+INDEX(Sheet1!G:G, MATCH(Hoja1!G1754, Sheet1!I:I, 0))</f>
        <v>107047</v>
      </c>
      <c r="J1754" s="2">
        <f>+INDEX(Sheet1!H:H, MATCH(Hoja1!G1754, Sheet1!I:I, 0))</f>
        <v>1.4192460373854797E-2</v>
      </c>
      <c r="K1754" s="2">
        <f>+INDEX(Sheet1!L:L, MATCH(Hoja1!G1754,Sheet1!M:M, 0))</f>
        <v>9.3000000000000007</v>
      </c>
    </row>
    <row r="1755" spans="1:11" ht="16" x14ac:dyDescent="0.25">
      <c r="A1755" t="s">
        <v>1343</v>
      </c>
      <c r="B1755">
        <v>2</v>
      </c>
      <c r="C1755">
        <v>2023</v>
      </c>
      <c r="D1755" t="s">
        <v>1356</v>
      </c>
      <c r="E1755">
        <v>2.6</v>
      </c>
      <c r="F1755">
        <v>5910955</v>
      </c>
      <c r="G1755" s="1" t="str">
        <f t="shared" si="27"/>
        <v>Wisconsin2023</v>
      </c>
      <c r="H1755">
        <f>+INDEX(Sheet1!C:C, MATCH(Hoja1!G1755, Sheet1!D:D, 0))</f>
        <v>428447.1</v>
      </c>
      <c r="I1755">
        <f>+INDEX(Sheet1!G:G, MATCH(Hoja1!G1755, Sheet1!I:I, 0))</f>
        <v>107047</v>
      </c>
      <c r="J1755" s="2">
        <f>+INDEX(Sheet1!H:H, MATCH(Hoja1!G1755, Sheet1!I:I, 0))</f>
        <v>1.4192460373854797E-2</v>
      </c>
      <c r="K1755" s="2">
        <f>+INDEX(Sheet1!L:L, MATCH(Hoja1!G1755,Sheet1!M:M, 0))</f>
        <v>9.3000000000000007</v>
      </c>
    </row>
    <row r="1756" spans="1:11" ht="16" x14ac:dyDescent="0.25">
      <c r="A1756" t="s">
        <v>1343</v>
      </c>
      <c r="B1756">
        <v>3</v>
      </c>
      <c r="C1756">
        <v>2023</v>
      </c>
      <c r="D1756" t="s">
        <v>730</v>
      </c>
      <c r="E1756">
        <v>2.6</v>
      </c>
      <c r="F1756">
        <v>5910955</v>
      </c>
      <c r="G1756" s="1" t="str">
        <f t="shared" si="27"/>
        <v>Wisconsin2023</v>
      </c>
      <c r="H1756">
        <f>+INDEX(Sheet1!C:C, MATCH(Hoja1!G1756, Sheet1!D:D, 0))</f>
        <v>428447.1</v>
      </c>
      <c r="I1756">
        <f>+INDEX(Sheet1!G:G, MATCH(Hoja1!G1756, Sheet1!I:I, 0))</f>
        <v>107047</v>
      </c>
      <c r="J1756" s="2">
        <f>+INDEX(Sheet1!H:H, MATCH(Hoja1!G1756, Sheet1!I:I, 0))</f>
        <v>1.4192460373854797E-2</v>
      </c>
      <c r="K1756" s="2">
        <f>+INDEX(Sheet1!L:L, MATCH(Hoja1!G1756,Sheet1!M:M, 0))</f>
        <v>9.3000000000000007</v>
      </c>
    </row>
    <row r="1757" spans="1:11" ht="16" x14ac:dyDescent="0.25">
      <c r="A1757" t="s">
        <v>1343</v>
      </c>
      <c r="B1757">
        <v>4</v>
      </c>
      <c r="C1757">
        <v>2023</v>
      </c>
      <c r="D1757" t="s">
        <v>720</v>
      </c>
      <c r="E1757">
        <v>2.7</v>
      </c>
      <c r="F1757">
        <v>5910955</v>
      </c>
      <c r="G1757" s="1" t="str">
        <f t="shared" si="27"/>
        <v>Wisconsin2023</v>
      </c>
      <c r="H1757">
        <f>+INDEX(Sheet1!C:C, MATCH(Hoja1!G1757, Sheet1!D:D, 0))</f>
        <v>428447.1</v>
      </c>
      <c r="I1757">
        <f>+INDEX(Sheet1!G:G, MATCH(Hoja1!G1757, Sheet1!I:I, 0))</f>
        <v>107047</v>
      </c>
      <c r="J1757" s="2">
        <f>+INDEX(Sheet1!H:H, MATCH(Hoja1!G1757, Sheet1!I:I, 0))</f>
        <v>1.4192460373854797E-2</v>
      </c>
      <c r="K1757" s="2">
        <f>+INDEX(Sheet1!L:L, MATCH(Hoja1!G1757,Sheet1!M:M, 0))</f>
        <v>9.3000000000000007</v>
      </c>
    </row>
    <row r="1758" spans="1:11" ht="16" x14ac:dyDescent="0.25">
      <c r="A1758" t="s">
        <v>1343</v>
      </c>
      <c r="B1758">
        <v>5</v>
      </c>
      <c r="C1758">
        <v>2023</v>
      </c>
      <c r="D1758" t="s">
        <v>1081</v>
      </c>
      <c r="E1758">
        <v>2.9</v>
      </c>
      <c r="F1758">
        <v>5910955</v>
      </c>
      <c r="G1758" s="1" t="str">
        <f t="shared" si="27"/>
        <v>Wisconsin2023</v>
      </c>
      <c r="H1758">
        <f>+INDEX(Sheet1!C:C, MATCH(Hoja1!G1758, Sheet1!D:D, 0))</f>
        <v>428447.1</v>
      </c>
      <c r="I1758">
        <f>+INDEX(Sheet1!G:G, MATCH(Hoja1!G1758, Sheet1!I:I, 0))</f>
        <v>107047</v>
      </c>
      <c r="J1758" s="2">
        <f>+INDEX(Sheet1!H:H, MATCH(Hoja1!G1758, Sheet1!I:I, 0))</f>
        <v>1.4192460373854797E-2</v>
      </c>
      <c r="K1758" s="2">
        <f>+INDEX(Sheet1!L:L, MATCH(Hoja1!G1758,Sheet1!M:M, 0))</f>
        <v>9.3000000000000007</v>
      </c>
    </row>
    <row r="1759" spans="1:11" ht="16" x14ac:dyDescent="0.25">
      <c r="A1759" t="s">
        <v>1343</v>
      </c>
      <c r="B1759">
        <v>6</v>
      </c>
      <c r="C1759">
        <v>2023</v>
      </c>
      <c r="D1759" t="s">
        <v>502</v>
      </c>
      <c r="E1759">
        <v>3</v>
      </c>
      <c r="F1759">
        <v>5910955</v>
      </c>
      <c r="G1759" s="1" t="str">
        <f t="shared" si="27"/>
        <v>Wisconsin2023</v>
      </c>
      <c r="H1759">
        <f>+INDEX(Sheet1!C:C, MATCH(Hoja1!G1759, Sheet1!D:D, 0))</f>
        <v>428447.1</v>
      </c>
      <c r="I1759">
        <f>+INDEX(Sheet1!G:G, MATCH(Hoja1!G1759, Sheet1!I:I, 0))</f>
        <v>107047</v>
      </c>
      <c r="J1759" s="2">
        <f>+INDEX(Sheet1!H:H, MATCH(Hoja1!G1759, Sheet1!I:I, 0))</f>
        <v>1.4192460373854797E-2</v>
      </c>
      <c r="K1759" s="2">
        <f>+INDEX(Sheet1!L:L, MATCH(Hoja1!G1759,Sheet1!M:M, 0))</f>
        <v>9.3000000000000007</v>
      </c>
    </row>
    <row r="1760" spans="1:11" ht="16" x14ac:dyDescent="0.25">
      <c r="A1760" t="s">
        <v>1343</v>
      </c>
      <c r="B1760">
        <v>7</v>
      </c>
      <c r="C1760">
        <v>2023</v>
      </c>
      <c r="D1760" t="s">
        <v>1357</v>
      </c>
      <c r="E1760">
        <v>3.2</v>
      </c>
      <c r="F1760">
        <v>5910955</v>
      </c>
      <c r="G1760" s="1" t="str">
        <f t="shared" si="27"/>
        <v>Wisconsin2023</v>
      </c>
      <c r="H1760">
        <f>+INDEX(Sheet1!C:C, MATCH(Hoja1!G1760, Sheet1!D:D, 0))</f>
        <v>428447.1</v>
      </c>
      <c r="I1760">
        <f>+INDEX(Sheet1!G:G, MATCH(Hoja1!G1760, Sheet1!I:I, 0))</f>
        <v>107047</v>
      </c>
      <c r="J1760" s="2">
        <f>+INDEX(Sheet1!H:H, MATCH(Hoja1!G1760, Sheet1!I:I, 0))</f>
        <v>1.4192460373854797E-2</v>
      </c>
      <c r="K1760" s="2">
        <f>+INDEX(Sheet1!L:L, MATCH(Hoja1!G1760,Sheet1!M:M, 0))</f>
        <v>9.3000000000000007</v>
      </c>
    </row>
    <row r="1761" spans="1:11" ht="16" x14ac:dyDescent="0.25">
      <c r="A1761" t="s">
        <v>1343</v>
      </c>
      <c r="B1761">
        <v>8</v>
      </c>
      <c r="C1761">
        <v>2023</v>
      </c>
      <c r="D1761" t="s">
        <v>1358</v>
      </c>
      <c r="E1761">
        <v>3.3</v>
      </c>
      <c r="F1761">
        <v>5910955</v>
      </c>
      <c r="G1761" s="1" t="str">
        <f t="shared" si="27"/>
        <v>Wisconsin2023</v>
      </c>
      <c r="H1761">
        <f>+INDEX(Sheet1!C:C, MATCH(Hoja1!G1761, Sheet1!D:D, 0))</f>
        <v>428447.1</v>
      </c>
      <c r="I1761">
        <f>+INDEX(Sheet1!G:G, MATCH(Hoja1!G1761, Sheet1!I:I, 0))</f>
        <v>107047</v>
      </c>
      <c r="J1761" s="2">
        <f>+INDEX(Sheet1!H:H, MATCH(Hoja1!G1761, Sheet1!I:I, 0))</f>
        <v>1.4192460373854797E-2</v>
      </c>
      <c r="K1761" s="2">
        <f>+INDEX(Sheet1!L:L, MATCH(Hoja1!G1761,Sheet1!M:M, 0))</f>
        <v>9.3000000000000007</v>
      </c>
    </row>
    <row r="1762" spans="1:11" ht="16" x14ac:dyDescent="0.25">
      <c r="A1762" t="s">
        <v>1343</v>
      </c>
      <c r="B1762">
        <v>9</v>
      </c>
      <c r="C1762">
        <v>2023</v>
      </c>
      <c r="D1762" t="s">
        <v>772</v>
      </c>
      <c r="E1762">
        <v>3.4</v>
      </c>
      <c r="F1762">
        <v>5910955</v>
      </c>
      <c r="G1762" s="1" t="str">
        <f t="shared" si="27"/>
        <v>Wisconsin2023</v>
      </c>
      <c r="H1762">
        <f>+INDEX(Sheet1!C:C, MATCH(Hoja1!G1762, Sheet1!D:D, 0))</f>
        <v>428447.1</v>
      </c>
      <c r="I1762">
        <f>+INDEX(Sheet1!G:G, MATCH(Hoja1!G1762, Sheet1!I:I, 0))</f>
        <v>107047</v>
      </c>
      <c r="J1762" s="2">
        <f>+INDEX(Sheet1!H:H, MATCH(Hoja1!G1762, Sheet1!I:I, 0))</f>
        <v>1.4192460373854797E-2</v>
      </c>
      <c r="K1762" s="2">
        <f>+INDEX(Sheet1!L:L, MATCH(Hoja1!G1762,Sheet1!M:M, 0))</f>
        <v>9.3000000000000007</v>
      </c>
    </row>
    <row r="1763" spans="1:11" ht="16" x14ac:dyDescent="0.25">
      <c r="A1763" t="s">
        <v>1343</v>
      </c>
      <c r="B1763">
        <v>10</v>
      </c>
      <c r="C1763">
        <v>2023</v>
      </c>
      <c r="D1763" t="s">
        <v>690</v>
      </c>
      <c r="E1763">
        <v>3.4</v>
      </c>
      <c r="F1763">
        <v>5910955</v>
      </c>
      <c r="G1763" s="1" t="str">
        <f t="shared" si="27"/>
        <v>Wisconsin2023</v>
      </c>
      <c r="H1763">
        <f>+INDEX(Sheet1!C:C, MATCH(Hoja1!G1763, Sheet1!D:D, 0))</f>
        <v>428447.1</v>
      </c>
      <c r="I1763">
        <f>+INDEX(Sheet1!G:G, MATCH(Hoja1!G1763, Sheet1!I:I, 0))</f>
        <v>107047</v>
      </c>
      <c r="J1763" s="2">
        <f>+INDEX(Sheet1!H:H, MATCH(Hoja1!G1763, Sheet1!I:I, 0))</f>
        <v>1.4192460373854797E-2</v>
      </c>
      <c r="K1763" s="2">
        <f>+INDEX(Sheet1!L:L, MATCH(Hoja1!G1763,Sheet1!M:M, 0))</f>
        <v>9.3000000000000007</v>
      </c>
    </row>
    <row r="1764" spans="1:11" ht="16" x14ac:dyDescent="0.25">
      <c r="A1764" t="s">
        <v>1343</v>
      </c>
      <c r="B1764">
        <v>11</v>
      </c>
      <c r="C1764">
        <v>2023</v>
      </c>
      <c r="D1764" t="s">
        <v>488</v>
      </c>
      <c r="E1764">
        <v>3.4</v>
      </c>
      <c r="F1764">
        <v>5910955</v>
      </c>
      <c r="G1764" s="1" t="str">
        <f t="shared" si="27"/>
        <v>Wisconsin2023</v>
      </c>
      <c r="H1764">
        <f>+INDEX(Sheet1!C:C, MATCH(Hoja1!G1764, Sheet1!D:D, 0))</f>
        <v>428447.1</v>
      </c>
      <c r="I1764">
        <f>+INDEX(Sheet1!G:G, MATCH(Hoja1!G1764, Sheet1!I:I, 0))</f>
        <v>107047</v>
      </c>
      <c r="J1764" s="2">
        <f>+INDEX(Sheet1!H:H, MATCH(Hoja1!G1764, Sheet1!I:I, 0))</f>
        <v>1.4192460373854797E-2</v>
      </c>
      <c r="K1764" s="2">
        <f>+INDEX(Sheet1!L:L, MATCH(Hoja1!G1764,Sheet1!M:M, 0))</f>
        <v>9.3000000000000007</v>
      </c>
    </row>
    <row r="1765" spans="1:11" ht="16" x14ac:dyDescent="0.25">
      <c r="A1765" t="s">
        <v>1343</v>
      </c>
      <c r="B1765">
        <v>12</v>
      </c>
      <c r="C1765">
        <v>2023</v>
      </c>
      <c r="D1765" t="s">
        <v>1359</v>
      </c>
      <c r="E1765">
        <v>3.4</v>
      </c>
      <c r="F1765">
        <v>5910955</v>
      </c>
      <c r="G1765" s="1" t="str">
        <f t="shared" si="27"/>
        <v>Wisconsin2023</v>
      </c>
      <c r="H1765">
        <f>+INDEX(Sheet1!C:C, MATCH(Hoja1!G1765, Sheet1!D:D, 0))</f>
        <v>428447.1</v>
      </c>
      <c r="I1765">
        <f>+INDEX(Sheet1!G:G, MATCH(Hoja1!G1765, Sheet1!I:I, 0))</f>
        <v>107047</v>
      </c>
      <c r="J1765" s="2">
        <f>+INDEX(Sheet1!H:H, MATCH(Hoja1!G1765, Sheet1!I:I, 0))</f>
        <v>1.4192460373854797E-2</v>
      </c>
      <c r="K1765" s="2">
        <f>+INDEX(Sheet1!L:L, MATCH(Hoja1!G1765,Sheet1!M:M, 0))</f>
        <v>9.3000000000000007</v>
      </c>
    </row>
    <row r="1766" spans="1:11" ht="16" x14ac:dyDescent="0.25">
      <c r="A1766" t="s">
        <v>1360</v>
      </c>
      <c r="B1766">
        <v>1</v>
      </c>
      <c r="C1766">
        <v>2021</v>
      </c>
      <c r="D1766" t="s">
        <v>227</v>
      </c>
      <c r="E1766">
        <v>5.3</v>
      </c>
      <c r="F1766">
        <v>579548</v>
      </c>
      <c r="G1766" s="1" t="str">
        <f t="shared" si="27"/>
        <v>Wyoming2021</v>
      </c>
      <c r="H1766">
        <f>+INDEX(Sheet1!C:C, MATCH(Hoja1!G1766, Sheet1!D:D, 0))</f>
        <v>42319.1</v>
      </c>
      <c r="I1766">
        <f>+INDEX(Sheet1!G:G, MATCH(Hoja1!G1766, Sheet1!I:I, 0))</f>
        <v>98702</v>
      </c>
      <c r="J1766" s="2">
        <f>+INDEX(Sheet1!H:H, MATCH(Hoja1!G1766, Sheet1!I:I, 0))</f>
        <v>2.5795053003533568E-2</v>
      </c>
      <c r="K1766" s="2">
        <f>+INDEX(Sheet1!L:L, MATCH(Hoja1!G1766,Sheet1!M:M, 0))</f>
        <v>9.4</v>
      </c>
    </row>
    <row r="1767" spans="1:11" ht="16" x14ac:dyDescent="0.25">
      <c r="A1767" t="s">
        <v>1360</v>
      </c>
      <c r="B1767">
        <v>2</v>
      </c>
      <c r="C1767">
        <v>2021</v>
      </c>
      <c r="D1767" t="s">
        <v>1361</v>
      </c>
      <c r="E1767">
        <v>5.3</v>
      </c>
      <c r="F1767">
        <v>579548</v>
      </c>
      <c r="G1767" s="1" t="str">
        <f t="shared" si="27"/>
        <v>Wyoming2021</v>
      </c>
      <c r="H1767">
        <f>+INDEX(Sheet1!C:C, MATCH(Hoja1!G1767, Sheet1!D:D, 0))</f>
        <v>42319.1</v>
      </c>
      <c r="I1767">
        <f>+INDEX(Sheet1!G:G, MATCH(Hoja1!G1767, Sheet1!I:I, 0))</f>
        <v>98702</v>
      </c>
      <c r="J1767" s="2">
        <f>+INDEX(Sheet1!H:H, MATCH(Hoja1!G1767, Sheet1!I:I, 0))</f>
        <v>2.5795053003533568E-2</v>
      </c>
      <c r="K1767" s="2">
        <f>+INDEX(Sheet1!L:L, MATCH(Hoja1!G1767,Sheet1!M:M, 0))</f>
        <v>9.4</v>
      </c>
    </row>
    <row r="1768" spans="1:11" ht="16" x14ac:dyDescent="0.25">
      <c r="A1768" t="s">
        <v>1360</v>
      </c>
      <c r="B1768">
        <v>3</v>
      </c>
      <c r="C1768">
        <v>2021</v>
      </c>
      <c r="D1768" t="s">
        <v>1362</v>
      </c>
      <c r="E1768">
        <v>5.2</v>
      </c>
      <c r="F1768">
        <v>579548</v>
      </c>
      <c r="G1768" s="1" t="str">
        <f t="shared" si="27"/>
        <v>Wyoming2021</v>
      </c>
      <c r="H1768">
        <f>+INDEX(Sheet1!C:C, MATCH(Hoja1!G1768, Sheet1!D:D, 0))</f>
        <v>42319.1</v>
      </c>
      <c r="I1768">
        <f>+INDEX(Sheet1!G:G, MATCH(Hoja1!G1768, Sheet1!I:I, 0))</f>
        <v>98702</v>
      </c>
      <c r="J1768" s="2">
        <f>+INDEX(Sheet1!H:H, MATCH(Hoja1!G1768, Sheet1!I:I, 0))</f>
        <v>2.5795053003533568E-2</v>
      </c>
      <c r="K1768" s="2">
        <f>+INDEX(Sheet1!L:L, MATCH(Hoja1!G1768,Sheet1!M:M, 0))</f>
        <v>9.4</v>
      </c>
    </row>
    <row r="1769" spans="1:11" ht="16" x14ac:dyDescent="0.25">
      <c r="A1769" t="s">
        <v>1360</v>
      </c>
      <c r="B1769">
        <v>4</v>
      </c>
      <c r="C1769">
        <v>2021</v>
      </c>
      <c r="D1769" t="s">
        <v>1363</v>
      </c>
      <c r="E1769">
        <v>5</v>
      </c>
      <c r="F1769">
        <v>579548</v>
      </c>
      <c r="G1769" s="1" t="str">
        <f t="shared" si="27"/>
        <v>Wyoming2021</v>
      </c>
      <c r="H1769">
        <f>+INDEX(Sheet1!C:C, MATCH(Hoja1!G1769, Sheet1!D:D, 0))</f>
        <v>42319.1</v>
      </c>
      <c r="I1769">
        <f>+INDEX(Sheet1!G:G, MATCH(Hoja1!G1769, Sheet1!I:I, 0))</f>
        <v>98702</v>
      </c>
      <c r="J1769" s="2">
        <f>+INDEX(Sheet1!H:H, MATCH(Hoja1!G1769, Sheet1!I:I, 0))</f>
        <v>2.5795053003533568E-2</v>
      </c>
      <c r="K1769" s="2">
        <f>+INDEX(Sheet1!L:L, MATCH(Hoja1!G1769,Sheet1!M:M, 0))</f>
        <v>9.4</v>
      </c>
    </row>
    <row r="1770" spans="1:11" ht="16" x14ac:dyDescent="0.25">
      <c r="A1770" t="s">
        <v>1360</v>
      </c>
      <c r="B1770">
        <v>5</v>
      </c>
      <c r="C1770">
        <v>2021</v>
      </c>
      <c r="D1770" t="s">
        <v>469</v>
      </c>
      <c r="E1770">
        <v>4.9000000000000004</v>
      </c>
      <c r="F1770">
        <v>579548</v>
      </c>
      <c r="G1770" s="1" t="str">
        <f t="shared" si="27"/>
        <v>Wyoming2021</v>
      </c>
      <c r="H1770">
        <f>+INDEX(Sheet1!C:C, MATCH(Hoja1!G1770, Sheet1!D:D, 0))</f>
        <v>42319.1</v>
      </c>
      <c r="I1770">
        <f>+INDEX(Sheet1!G:G, MATCH(Hoja1!G1770, Sheet1!I:I, 0))</f>
        <v>98702</v>
      </c>
      <c r="J1770" s="2">
        <f>+INDEX(Sheet1!H:H, MATCH(Hoja1!G1770, Sheet1!I:I, 0))</f>
        <v>2.5795053003533568E-2</v>
      </c>
      <c r="K1770" s="2">
        <f>+INDEX(Sheet1!L:L, MATCH(Hoja1!G1770,Sheet1!M:M, 0))</f>
        <v>9.4</v>
      </c>
    </row>
    <row r="1771" spans="1:11" ht="16" x14ac:dyDescent="0.25">
      <c r="A1771" t="s">
        <v>1360</v>
      </c>
      <c r="B1771">
        <v>6</v>
      </c>
      <c r="C1771">
        <v>2021</v>
      </c>
      <c r="D1771" t="s">
        <v>1074</v>
      </c>
      <c r="E1771">
        <v>4.7</v>
      </c>
      <c r="F1771">
        <v>579548</v>
      </c>
      <c r="G1771" s="1" t="str">
        <f t="shared" si="27"/>
        <v>Wyoming2021</v>
      </c>
      <c r="H1771">
        <f>+INDEX(Sheet1!C:C, MATCH(Hoja1!G1771, Sheet1!D:D, 0))</f>
        <v>42319.1</v>
      </c>
      <c r="I1771">
        <f>+INDEX(Sheet1!G:G, MATCH(Hoja1!G1771, Sheet1!I:I, 0))</f>
        <v>98702</v>
      </c>
      <c r="J1771" s="2">
        <f>+INDEX(Sheet1!H:H, MATCH(Hoja1!G1771, Sheet1!I:I, 0))</f>
        <v>2.5795053003533568E-2</v>
      </c>
      <c r="K1771" s="2">
        <f>+INDEX(Sheet1!L:L, MATCH(Hoja1!G1771,Sheet1!M:M, 0))</f>
        <v>9.4</v>
      </c>
    </row>
    <row r="1772" spans="1:11" ht="16" x14ac:dyDescent="0.25">
      <c r="A1772" t="s">
        <v>1360</v>
      </c>
      <c r="B1772">
        <v>7</v>
      </c>
      <c r="C1772">
        <v>2021</v>
      </c>
      <c r="D1772" t="s">
        <v>227</v>
      </c>
      <c r="E1772">
        <v>4.5</v>
      </c>
      <c r="F1772">
        <v>579548</v>
      </c>
      <c r="G1772" s="1" t="str">
        <f t="shared" si="27"/>
        <v>Wyoming2021</v>
      </c>
      <c r="H1772">
        <f>+INDEX(Sheet1!C:C, MATCH(Hoja1!G1772, Sheet1!D:D, 0))</f>
        <v>42319.1</v>
      </c>
      <c r="I1772">
        <f>+INDEX(Sheet1!G:G, MATCH(Hoja1!G1772, Sheet1!I:I, 0))</f>
        <v>98702</v>
      </c>
      <c r="J1772" s="2">
        <f>+INDEX(Sheet1!H:H, MATCH(Hoja1!G1772, Sheet1!I:I, 0))</f>
        <v>2.5795053003533568E-2</v>
      </c>
      <c r="K1772" s="2">
        <f>+INDEX(Sheet1!L:L, MATCH(Hoja1!G1772,Sheet1!M:M, 0))</f>
        <v>9.4</v>
      </c>
    </row>
    <row r="1773" spans="1:11" ht="16" x14ac:dyDescent="0.25">
      <c r="A1773" t="s">
        <v>1360</v>
      </c>
      <c r="B1773">
        <v>8</v>
      </c>
      <c r="C1773">
        <v>2021</v>
      </c>
      <c r="D1773" t="s">
        <v>1364</v>
      </c>
      <c r="E1773">
        <v>4.3</v>
      </c>
      <c r="F1773">
        <v>579548</v>
      </c>
      <c r="G1773" s="1" t="str">
        <f t="shared" si="27"/>
        <v>Wyoming2021</v>
      </c>
      <c r="H1773">
        <f>+INDEX(Sheet1!C:C, MATCH(Hoja1!G1773, Sheet1!D:D, 0))</f>
        <v>42319.1</v>
      </c>
      <c r="I1773">
        <f>+INDEX(Sheet1!G:G, MATCH(Hoja1!G1773, Sheet1!I:I, 0))</f>
        <v>98702</v>
      </c>
      <c r="J1773" s="2">
        <f>+INDEX(Sheet1!H:H, MATCH(Hoja1!G1773, Sheet1!I:I, 0))</f>
        <v>2.5795053003533568E-2</v>
      </c>
      <c r="K1773" s="2">
        <f>+INDEX(Sheet1!L:L, MATCH(Hoja1!G1773,Sheet1!M:M, 0))</f>
        <v>9.4</v>
      </c>
    </row>
    <row r="1774" spans="1:11" ht="16" x14ac:dyDescent="0.25">
      <c r="A1774" t="s">
        <v>1360</v>
      </c>
      <c r="B1774">
        <v>9</v>
      </c>
      <c r="C1774">
        <v>2021</v>
      </c>
      <c r="D1774" t="s">
        <v>641</v>
      </c>
      <c r="E1774">
        <v>4.0999999999999996</v>
      </c>
      <c r="F1774">
        <v>579548</v>
      </c>
      <c r="G1774" s="1" t="str">
        <f t="shared" si="27"/>
        <v>Wyoming2021</v>
      </c>
      <c r="H1774">
        <f>+INDEX(Sheet1!C:C, MATCH(Hoja1!G1774, Sheet1!D:D, 0))</f>
        <v>42319.1</v>
      </c>
      <c r="I1774">
        <f>+INDEX(Sheet1!G:G, MATCH(Hoja1!G1774, Sheet1!I:I, 0))</f>
        <v>98702</v>
      </c>
      <c r="J1774" s="2">
        <f>+INDEX(Sheet1!H:H, MATCH(Hoja1!G1774, Sheet1!I:I, 0))</f>
        <v>2.5795053003533568E-2</v>
      </c>
      <c r="K1774" s="2">
        <f>+INDEX(Sheet1!L:L, MATCH(Hoja1!G1774,Sheet1!M:M, 0))</f>
        <v>9.4</v>
      </c>
    </row>
    <row r="1775" spans="1:11" ht="16" x14ac:dyDescent="0.25">
      <c r="A1775" t="s">
        <v>1360</v>
      </c>
      <c r="B1775">
        <v>10</v>
      </c>
      <c r="C1775">
        <v>2021</v>
      </c>
      <c r="D1775" t="s">
        <v>1207</v>
      </c>
      <c r="E1775">
        <v>3.9</v>
      </c>
      <c r="F1775">
        <v>579548</v>
      </c>
      <c r="G1775" s="1" t="str">
        <f t="shared" si="27"/>
        <v>Wyoming2021</v>
      </c>
      <c r="H1775">
        <f>+INDEX(Sheet1!C:C, MATCH(Hoja1!G1775, Sheet1!D:D, 0))</f>
        <v>42319.1</v>
      </c>
      <c r="I1775">
        <f>+INDEX(Sheet1!G:G, MATCH(Hoja1!G1775, Sheet1!I:I, 0))</f>
        <v>98702</v>
      </c>
      <c r="J1775" s="2">
        <f>+INDEX(Sheet1!H:H, MATCH(Hoja1!G1775, Sheet1!I:I, 0))</f>
        <v>2.5795053003533568E-2</v>
      </c>
      <c r="K1775" s="2">
        <f>+INDEX(Sheet1!L:L, MATCH(Hoja1!G1775,Sheet1!M:M, 0))</f>
        <v>9.4</v>
      </c>
    </row>
    <row r="1776" spans="1:11" ht="16" x14ac:dyDescent="0.25">
      <c r="A1776" t="s">
        <v>1360</v>
      </c>
      <c r="B1776">
        <v>11</v>
      </c>
      <c r="C1776">
        <v>2021</v>
      </c>
      <c r="D1776" t="s">
        <v>1365</v>
      </c>
      <c r="E1776">
        <v>3.7</v>
      </c>
      <c r="F1776">
        <v>579548</v>
      </c>
      <c r="G1776" s="1" t="str">
        <f t="shared" si="27"/>
        <v>Wyoming2021</v>
      </c>
      <c r="H1776">
        <f>+INDEX(Sheet1!C:C, MATCH(Hoja1!G1776, Sheet1!D:D, 0))</f>
        <v>42319.1</v>
      </c>
      <c r="I1776">
        <f>+INDEX(Sheet1!G:G, MATCH(Hoja1!G1776, Sheet1!I:I, 0))</f>
        <v>98702</v>
      </c>
      <c r="J1776" s="2">
        <f>+INDEX(Sheet1!H:H, MATCH(Hoja1!G1776, Sheet1!I:I, 0))</f>
        <v>2.5795053003533568E-2</v>
      </c>
      <c r="K1776" s="2">
        <f>+INDEX(Sheet1!L:L, MATCH(Hoja1!G1776,Sheet1!M:M, 0))</f>
        <v>9.4</v>
      </c>
    </row>
    <row r="1777" spans="1:11" ht="16" x14ac:dyDescent="0.25">
      <c r="A1777" t="s">
        <v>1360</v>
      </c>
      <c r="B1777">
        <v>12</v>
      </c>
      <c r="C1777">
        <v>2021</v>
      </c>
      <c r="D1777" t="s">
        <v>666</v>
      </c>
      <c r="E1777">
        <v>3.6</v>
      </c>
      <c r="F1777">
        <v>579548</v>
      </c>
      <c r="G1777" s="1" t="str">
        <f t="shared" si="27"/>
        <v>Wyoming2021</v>
      </c>
      <c r="H1777">
        <f>+INDEX(Sheet1!C:C, MATCH(Hoja1!G1777, Sheet1!D:D, 0))</f>
        <v>42319.1</v>
      </c>
      <c r="I1777">
        <f>+INDEX(Sheet1!G:G, MATCH(Hoja1!G1777, Sheet1!I:I, 0))</f>
        <v>98702</v>
      </c>
      <c r="J1777" s="2">
        <f>+INDEX(Sheet1!H:H, MATCH(Hoja1!G1777, Sheet1!I:I, 0))</f>
        <v>2.5795053003533568E-2</v>
      </c>
      <c r="K1777" s="2">
        <f>+INDEX(Sheet1!L:L, MATCH(Hoja1!G1777,Sheet1!M:M, 0))</f>
        <v>9.4</v>
      </c>
    </row>
    <row r="1778" spans="1:11" ht="16" x14ac:dyDescent="0.25">
      <c r="A1778" t="s">
        <v>1360</v>
      </c>
      <c r="B1778">
        <v>1</v>
      </c>
      <c r="C1778">
        <v>2022</v>
      </c>
      <c r="D1778" t="s">
        <v>1366</v>
      </c>
      <c r="E1778">
        <v>3.5</v>
      </c>
      <c r="F1778">
        <v>581629</v>
      </c>
      <c r="G1778" s="1" t="str">
        <f t="shared" si="27"/>
        <v>Wyoming2022</v>
      </c>
      <c r="H1778">
        <f>+INDEX(Sheet1!C:C, MATCH(Hoja1!G1778, Sheet1!D:D, 0))</f>
        <v>49782.6</v>
      </c>
      <c r="I1778">
        <f>+INDEX(Sheet1!G:G, MATCH(Hoja1!G1778, Sheet1!I:I, 0))</f>
        <v>100550</v>
      </c>
      <c r="J1778" s="2">
        <f>+INDEX(Sheet1!H:H, MATCH(Hoja1!G1778, Sheet1!I:I, 0))</f>
        <v>1.8723024862718082E-2</v>
      </c>
      <c r="K1778" s="2">
        <f>+INDEX(Sheet1!L:L, MATCH(Hoja1!G1778,Sheet1!M:M, 0))</f>
        <v>7.1</v>
      </c>
    </row>
    <row r="1779" spans="1:11" ht="16" x14ac:dyDescent="0.25">
      <c r="A1779" t="s">
        <v>1360</v>
      </c>
      <c r="B1779">
        <v>2</v>
      </c>
      <c r="C1779">
        <v>2022</v>
      </c>
      <c r="D1779" t="s">
        <v>1367</v>
      </c>
      <c r="E1779">
        <v>3.4</v>
      </c>
      <c r="F1779">
        <v>581629</v>
      </c>
      <c r="G1779" s="1" t="str">
        <f t="shared" si="27"/>
        <v>Wyoming2022</v>
      </c>
      <c r="H1779">
        <f>+INDEX(Sheet1!C:C, MATCH(Hoja1!G1779, Sheet1!D:D, 0))</f>
        <v>49782.6</v>
      </c>
      <c r="I1779">
        <f>+INDEX(Sheet1!G:G, MATCH(Hoja1!G1779, Sheet1!I:I, 0))</f>
        <v>100550</v>
      </c>
      <c r="J1779" s="2">
        <f>+INDEX(Sheet1!H:H, MATCH(Hoja1!G1779, Sheet1!I:I, 0))</f>
        <v>1.8723024862718082E-2</v>
      </c>
      <c r="K1779" s="2">
        <f>+INDEX(Sheet1!L:L, MATCH(Hoja1!G1779,Sheet1!M:M, 0))</f>
        <v>7.1</v>
      </c>
    </row>
    <row r="1780" spans="1:11" ht="16" x14ac:dyDescent="0.25">
      <c r="A1780" t="s">
        <v>1360</v>
      </c>
      <c r="B1780">
        <v>3</v>
      </c>
      <c r="C1780">
        <v>2022</v>
      </c>
      <c r="D1780" t="s">
        <v>832</v>
      </c>
      <c r="E1780">
        <v>3.3</v>
      </c>
      <c r="F1780">
        <v>581629</v>
      </c>
      <c r="G1780" s="1" t="str">
        <f t="shared" si="27"/>
        <v>Wyoming2022</v>
      </c>
      <c r="H1780">
        <f>+INDEX(Sheet1!C:C, MATCH(Hoja1!G1780, Sheet1!D:D, 0))</f>
        <v>49782.6</v>
      </c>
      <c r="I1780">
        <f>+INDEX(Sheet1!G:G, MATCH(Hoja1!G1780, Sheet1!I:I, 0))</f>
        <v>100550</v>
      </c>
      <c r="J1780" s="2">
        <f>+INDEX(Sheet1!H:H, MATCH(Hoja1!G1780, Sheet1!I:I, 0))</f>
        <v>1.8723024862718082E-2</v>
      </c>
      <c r="K1780" s="2">
        <f>+INDEX(Sheet1!L:L, MATCH(Hoja1!G1780,Sheet1!M:M, 0))</f>
        <v>7.1</v>
      </c>
    </row>
    <row r="1781" spans="1:11" ht="16" x14ac:dyDescent="0.25">
      <c r="A1781" t="s">
        <v>1360</v>
      </c>
      <c r="B1781">
        <v>4</v>
      </c>
      <c r="C1781">
        <v>2022</v>
      </c>
      <c r="D1781" t="s">
        <v>445</v>
      </c>
      <c r="E1781">
        <v>3.3</v>
      </c>
      <c r="F1781">
        <v>581629</v>
      </c>
      <c r="G1781" s="1" t="str">
        <f t="shared" si="27"/>
        <v>Wyoming2022</v>
      </c>
      <c r="H1781">
        <f>+INDEX(Sheet1!C:C, MATCH(Hoja1!G1781, Sheet1!D:D, 0))</f>
        <v>49782.6</v>
      </c>
      <c r="I1781">
        <f>+INDEX(Sheet1!G:G, MATCH(Hoja1!G1781, Sheet1!I:I, 0))</f>
        <v>100550</v>
      </c>
      <c r="J1781" s="2">
        <f>+INDEX(Sheet1!H:H, MATCH(Hoja1!G1781, Sheet1!I:I, 0))</f>
        <v>1.8723024862718082E-2</v>
      </c>
      <c r="K1781" s="2">
        <f>+INDEX(Sheet1!L:L, MATCH(Hoja1!G1781,Sheet1!M:M, 0))</f>
        <v>7.1</v>
      </c>
    </row>
    <row r="1782" spans="1:11" ht="16" x14ac:dyDescent="0.25">
      <c r="A1782" t="s">
        <v>1360</v>
      </c>
      <c r="B1782">
        <v>5</v>
      </c>
      <c r="C1782">
        <v>2022</v>
      </c>
      <c r="D1782" t="s">
        <v>1368</v>
      </c>
      <c r="E1782">
        <v>3.3</v>
      </c>
      <c r="F1782">
        <v>581629</v>
      </c>
      <c r="G1782" s="1" t="str">
        <f t="shared" si="27"/>
        <v>Wyoming2022</v>
      </c>
      <c r="H1782">
        <f>+INDEX(Sheet1!C:C, MATCH(Hoja1!G1782, Sheet1!D:D, 0))</f>
        <v>49782.6</v>
      </c>
      <c r="I1782">
        <f>+INDEX(Sheet1!G:G, MATCH(Hoja1!G1782, Sheet1!I:I, 0))</f>
        <v>100550</v>
      </c>
      <c r="J1782" s="2">
        <f>+INDEX(Sheet1!H:H, MATCH(Hoja1!G1782, Sheet1!I:I, 0))</f>
        <v>1.8723024862718082E-2</v>
      </c>
      <c r="K1782" s="2">
        <f>+INDEX(Sheet1!L:L, MATCH(Hoja1!G1782,Sheet1!M:M, 0))</f>
        <v>7.1</v>
      </c>
    </row>
    <row r="1783" spans="1:11" ht="16" x14ac:dyDescent="0.25">
      <c r="A1783" t="s">
        <v>1360</v>
      </c>
      <c r="B1783">
        <v>6</v>
      </c>
      <c r="C1783">
        <v>2022</v>
      </c>
      <c r="D1783" t="s">
        <v>1369</v>
      </c>
      <c r="E1783">
        <v>3.4</v>
      </c>
      <c r="F1783">
        <v>581629</v>
      </c>
      <c r="G1783" s="1" t="str">
        <f t="shared" si="27"/>
        <v>Wyoming2022</v>
      </c>
      <c r="H1783">
        <f>+INDEX(Sheet1!C:C, MATCH(Hoja1!G1783, Sheet1!D:D, 0))</f>
        <v>49782.6</v>
      </c>
      <c r="I1783">
        <f>+INDEX(Sheet1!G:G, MATCH(Hoja1!G1783, Sheet1!I:I, 0))</f>
        <v>100550</v>
      </c>
      <c r="J1783" s="2">
        <f>+INDEX(Sheet1!H:H, MATCH(Hoja1!G1783, Sheet1!I:I, 0))</f>
        <v>1.8723024862718082E-2</v>
      </c>
      <c r="K1783" s="2">
        <f>+INDEX(Sheet1!L:L, MATCH(Hoja1!G1783,Sheet1!M:M, 0))</f>
        <v>7.1</v>
      </c>
    </row>
    <row r="1784" spans="1:11" ht="16" x14ac:dyDescent="0.25">
      <c r="A1784" t="s">
        <v>1360</v>
      </c>
      <c r="B1784">
        <v>7</v>
      </c>
      <c r="C1784">
        <v>2022</v>
      </c>
      <c r="D1784" t="s">
        <v>481</v>
      </c>
      <c r="E1784">
        <v>3.4</v>
      </c>
      <c r="F1784">
        <v>581629</v>
      </c>
      <c r="G1784" s="1" t="str">
        <f t="shared" si="27"/>
        <v>Wyoming2022</v>
      </c>
      <c r="H1784">
        <f>+INDEX(Sheet1!C:C, MATCH(Hoja1!G1784, Sheet1!D:D, 0))</f>
        <v>49782.6</v>
      </c>
      <c r="I1784">
        <f>+INDEX(Sheet1!G:G, MATCH(Hoja1!G1784, Sheet1!I:I, 0))</f>
        <v>100550</v>
      </c>
      <c r="J1784" s="2">
        <f>+INDEX(Sheet1!H:H, MATCH(Hoja1!G1784, Sheet1!I:I, 0))</f>
        <v>1.8723024862718082E-2</v>
      </c>
      <c r="K1784" s="2">
        <f>+INDEX(Sheet1!L:L, MATCH(Hoja1!G1784,Sheet1!M:M, 0))</f>
        <v>7.1</v>
      </c>
    </row>
    <row r="1785" spans="1:11" ht="16" x14ac:dyDescent="0.25">
      <c r="A1785" t="s">
        <v>1360</v>
      </c>
      <c r="B1785">
        <v>8</v>
      </c>
      <c r="C1785">
        <v>2022</v>
      </c>
      <c r="D1785" t="s">
        <v>1369</v>
      </c>
      <c r="E1785">
        <v>3.5</v>
      </c>
      <c r="F1785">
        <v>581629</v>
      </c>
      <c r="G1785" s="1" t="str">
        <f t="shared" si="27"/>
        <v>Wyoming2022</v>
      </c>
      <c r="H1785">
        <f>+INDEX(Sheet1!C:C, MATCH(Hoja1!G1785, Sheet1!D:D, 0))</f>
        <v>49782.6</v>
      </c>
      <c r="I1785">
        <f>+INDEX(Sheet1!G:G, MATCH(Hoja1!G1785, Sheet1!I:I, 0))</f>
        <v>100550</v>
      </c>
      <c r="J1785" s="2">
        <f>+INDEX(Sheet1!H:H, MATCH(Hoja1!G1785, Sheet1!I:I, 0))</f>
        <v>1.8723024862718082E-2</v>
      </c>
      <c r="K1785" s="2">
        <f>+INDEX(Sheet1!L:L, MATCH(Hoja1!G1785,Sheet1!M:M, 0))</f>
        <v>7.1</v>
      </c>
    </row>
    <row r="1786" spans="1:11" ht="16" x14ac:dyDescent="0.25">
      <c r="A1786" t="s">
        <v>1360</v>
      </c>
      <c r="B1786">
        <v>9</v>
      </c>
      <c r="C1786">
        <v>2022</v>
      </c>
      <c r="D1786" t="s">
        <v>689</v>
      </c>
      <c r="E1786">
        <v>3.5</v>
      </c>
      <c r="F1786">
        <v>581629</v>
      </c>
      <c r="G1786" s="1" t="str">
        <f t="shared" si="27"/>
        <v>Wyoming2022</v>
      </c>
      <c r="H1786">
        <f>+INDEX(Sheet1!C:C, MATCH(Hoja1!G1786, Sheet1!D:D, 0))</f>
        <v>49782.6</v>
      </c>
      <c r="I1786">
        <f>+INDEX(Sheet1!G:G, MATCH(Hoja1!G1786, Sheet1!I:I, 0))</f>
        <v>100550</v>
      </c>
      <c r="J1786" s="2">
        <f>+INDEX(Sheet1!H:H, MATCH(Hoja1!G1786, Sheet1!I:I, 0))</f>
        <v>1.8723024862718082E-2</v>
      </c>
      <c r="K1786" s="2">
        <f>+INDEX(Sheet1!L:L, MATCH(Hoja1!G1786,Sheet1!M:M, 0))</f>
        <v>7.1</v>
      </c>
    </row>
    <row r="1787" spans="1:11" ht="16" x14ac:dyDescent="0.25">
      <c r="A1787" t="s">
        <v>1360</v>
      </c>
      <c r="B1787">
        <v>10</v>
      </c>
      <c r="C1787">
        <v>2022</v>
      </c>
      <c r="D1787" t="s">
        <v>774</v>
      </c>
      <c r="E1787">
        <v>3.5</v>
      </c>
      <c r="F1787">
        <v>581629</v>
      </c>
      <c r="G1787" s="1" t="str">
        <f t="shared" si="27"/>
        <v>Wyoming2022</v>
      </c>
      <c r="H1787">
        <f>+INDEX(Sheet1!C:C, MATCH(Hoja1!G1787, Sheet1!D:D, 0))</f>
        <v>49782.6</v>
      </c>
      <c r="I1787">
        <f>+INDEX(Sheet1!G:G, MATCH(Hoja1!G1787, Sheet1!I:I, 0))</f>
        <v>100550</v>
      </c>
      <c r="J1787" s="2">
        <f>+INDEX(Sheet1!H:H, MATCH(Hoja1!G1787, Sheet1!I:I, 0))</f>
        <v>1.8723024862718082E-2</v>
      </c>
      <c r="K1787" s="2">
        <f>+INDEX(Sheet1!L:L, MATCH(Hoja1!G1787,Sheet1!M:M, 0))</f>
        <v>7.1</v>
      </c>
    </row>
    <row r="1788" spans="1:11" ht="16" x14ac:dyDescent="0.25">
      <c r="A1788" t="s">
        <v>1360</v>
      </c>
      <c r="B1788">
        <v>11</v>
      </c>
      <c r="C1788">
        <v>2022</v>
      </c>
      <c r="D1788" t="s">
        <v>1370</v>
      </c>
      <c r="E1788">
        <v>3.5</v>
      </c>
      <c r="F1788">
        <v>581629</v>
      </c>
      <c r="G1788" s="1" t="str">
        <f t="shared" si="27"/>
        <v>Wyoming2022</v>
      </c>
      <c r="H1788">
        <f>+INDEX(Sheet1!C:C, MATCH(Hoja1!G1788, Sheet1!D:D, 0))</f>
        <v>49782.6</v>
      </c>
      <c r="I1788">
        <f>+INDEX(Sheet1!G:G, MATCH(Hoja1!G1788, Sheet1!I:I, 0))</f>
        <v>100550</v>
      </c>
      <c r="J1788" s="2">
        <f>+INDEX(Sheet1!H:H, MATCH(Hoja1!G1788, Sheet1!I:I, 0))</f>
        <v>1.8723024862718082E-2</v>
      </c>
      <c r="K1788" s="2">
        <f>+INDEX(Sheet1!L:L, MATCH(Hoja1!G1788,Sheet1!M:M, 0))</f>
        <v>7.1</v>
      </c>
    </row>
    <row r="1789" spans="1:11" ht="16" x14ac:dyDescent="0.25">
      <c r="A1789" t="s">
        <v>1360</v>
      </c>
      <c r="B1789">
        <v>12</v>
      </c>
      <c r="C1789">
        <v>2022</v>
      </c>
      <c r="D1789" t="s">
        <v>1255</v>
      </c>
      <c r="E1789">
        <v>3.4</v>
      </c>
      <c r="F1789">
        <v>581629</v>
      </c>
      <c r="G1789" s="1" t="str">
        <f t="shared" si="27"/>
        <v>Wyoming2022</v>
      </c>
      <c r="H1789">
        <f>+INDEX(Sheet1!C:C, MATCH(Hoja1!G1789, Sheet1!D:D, 0))</f>
        <v>49782.6</v>
      </c>
      <c r="I1789">
        <f>+INDEX(Sheet1!G:G, MATCH(Hoja1!G1789, Sheet1!I:I, 0))</f>
        <v>100550</v>
      </c>
      <c r="J1789" s="2">
        <f>+INDEX(Sheet1!H:H, MATCH(Hoja1!G1789, Sheet1!I:I, 0))</f>
        <v>1.8723024862718082E-2</v>
      </c>
      <c r="K1789" s="2">
        <f>+INDEX(Sheet1!L:L, MATCH(Hoja1!G1789,Sheet1!M:M, 0))</f>
        <v>7.1</v>
      </c>
    </row>
    <row r="1790" spans="1:11" ht="16" x14ac:dyDescent="0.25">
      <c r="A1790" t="s">
        <v>1360</v>
      </c>
      <c r="B1790">
        <v>1</v>
      </c>
      <c r="C1790">
        <v>2023</v>
      </c>
      <c r="D1790" t="s">
        <v>886</v>
      </c>
      <c r="E1790">
        <v>3.3</v>
      </c>
      <c r="F1790">
        <v>584057</v>
      </c>
      <c r="G1790" s="1" t="str">
        <f t="shared" si="27"/>
        <v>Wyoming2023</v>
      </c>
      <c r="H1790">
        <f>+INDEX(Sheet1!C:C, MATCH(Hoja1!G1790, Sheet1!D:D, 0))</f>
        <v>51990.5</v>
      </c>
      <c r="I1790">
        <f>+INDEX(Sheet1!G:G, MATCH(Hoja1!G1790, Sheet1!I:I, 0))</f>
        <v>106886</v>
      </c>
      <c r="J1790" s="2">
        <f>+INDEX(Sheet1!H:H, MATCH(Hoja1!G1790, Sheet1!I:I, 0))</f>
        <v>6.3013426156141222E-2</v>
      </c>
      <c r="K1790" s="2">
        <f>+INDEX(Sheet1!L:L, MATCH(Hoja1!G1790,Sheet1!M:M, 0))</f>
        <v>9.4</v>
      </c>
    </row>
    <row r="1791" spans="1:11" ht="16" x14ac:dyDescent="0.25">
      <c r="A1791" t="s">
        <v>1360</v>
      </c>
      <c r="B1791">
        <v>2</v>
      </c>
      <c r="C1791">
        <v>2023</v>
      </c>
      <c r="D1791" t="s">
        <v>1371</v>
      </c>
      <c r="E1791">
        <v>3.1</v>
      </c>
      <c r="F1791">
        <v>584057</v>
      </c>
      <c r="G1791" s="1" t="str">
        <f t="shared" si="27"/>
        <v>Wyoming2023</v>
      </c>
      <c r="H1791">
        <f>+INDEX(Sheet1!C:C, MATCH(Hoja1!G1791, Sheet1!D:D, 0))</f>
        <v>51990.5</v>
      </c>
      <c r="I1791">
        <f>+INDEX(Sheet1!G:G, MATCH(Hoja1!G1791, Sheet1!I:I, 0))</f>
        <v>106886</v>
      </c>
      <c r="J1791" s="2">
        <f>+INDEX(Sheet1!H:H, MATCH(Hoja1!G1791, Sheet1!I:I, 0))</f>
        <v>6.3013426156141222E-2</v>
      </c>
      <c r="K1791" s="2">
        <f>+INDEX(Sheet1!L:L, MATCH(Hoja1!G1791,Sheet1!M:M, 0))</f>
        <v>9.4</v>
      </c>
    </row>
    <row r="1792" spans="1:11" ht="16" x14ac:dyDescent="0.25">
      <c r="A1792" t="s">
        <v>1360</v>
      </c>
      <c r="B1792">
        <v>3</v>
      </c>
      <c r="C1792">
        <v>2023</v>
      </c>
      <c r="D1792" t="s">
        <v>1372</v>
      </c>
      <c r="E1792">
        <v>3</v>
      </c>
      <c r="F1792">
        <v>584057</v>
      </c>
      <c r="G1792" s="1" t="str">
        <f t="shared" si="27"/>
        <v>Wyoming2023</v>
      </c>
      <c r="H1792">
        <f>+INDEX(Sheet1!C:C, MATCH(Hoja1!G1792, Sheet1!D:D, 0))</f>
        <v>51990.5</v>
      </c>
      <c r="I1792">
        <f>+INDEX(Sheet1!G:G, MATCH(Hoja1!G1792, Sheet1!I:I, 0))</f>
        <v>106886</v>
      </c>
      <c r="J1792" s="2">
        <f>+INDEX(Sheet1!H:H, MATCH(Hoja1!G1792, Sheet1!I:I, 0))</f>
        <v>6.3013426156141222E-2</v>
      </c>
      <c r="K1792" s="2">
        <f>+INDEX(Sheet1!L:L, MATCH(Hoja1!G1792,Sheet1!M:M, 0))</f>
        <v>9.4</v>
      </c>
    </row>
    <row r="1793" spans="1:11" ht="16" x14ac:dyDescent="0.25">
      <c r="A1793" t="s">
        <v>1360</v>
      </c>
      <c r="B1793">
        <v>4</v>
      </c>
      <c r="C1793">
        <v>2023</v>
      </c>
      <c r="D1793" t="s">
        <v>1373</v>
      </c>
      <c r="E1793">
        <v>2.8</v>
      </c>
      <c r="F1793">
        <v>584057</v>
      </c>
      <c r="G1793" s="1" t="str">
        <f t="shared" si="27"/>
        <v>Wyoming2023</v>
      </c>
      <c r="H1793">
        <f>+INDEX(Sheet1!C:C, MATCH(Hoja1!G1793, Sheet1!D:D, 0))</f>
        <v>51990.5</v>
      </c>
      <c r="I1793">
        <f>+INDEX(Sheet1!G:G, MATCH(Hoja1!G1793, Sheet1!I:I, 0))</f>
        <v>106886</v>
      </c>
      <c r="J1793" s="2">
        <f>+INDEX(Sheet1!H:H, MATCH(Hoja1!G1793, Sheet1!I:I, 0))</f>
        <v>6.3013426156141222E-2</v>
      </c>
      <c r="K1793" s="2">
        <f>+INDEX(Sheet1!L:L, MATCH(Hoja1!G1793,Sheet1!M:M, 0))</f>
        <v>9.4</v>
      </c>
    </row>
    <row r="1794" spans="1:11" ht="16" x14ac:dyDescent="0.25">
      <c r="A1794" t="s">
        <v>1360</v>
      </c>
      <c r="B1794">
        <v>5</v>
      </c>
      <c r="C1794">
        <v>2023</v>
      </c>
      <c r="D1794" t="s">
        <v>1286</v>
      </c>
      <c r="E1794">
        <v>2.8</v>
      </c>
      <c r="F1794">
        <v>584057</v>
      </c>
      <c r="G1794" s="1" t="str">
        <f t="shared" si="27"/>
        <v>Wyoming2023</v>
      </c>
      <c r="H1794">
        <f>+INDEX(Sheet1!C:C, MATCH(Hoja1!G1794, Sheet1!D:D, 0))</f>
        <v>51990.5</v>
      </c>
      <c r="I1794">
        <f>+INDEX(Sheet1!G:G, MATCH(Hoja1!G1794, Sheet1!I:I, 0))</f>
        <v>106886</v>
      </c>
      <c r="J1794" s="2">
        <f>+INDEX(Sheet1!H:H, MATCH(Hoja1!G1794, Sheet1!I:I, 0))</f>
        <v>6.3013426156141222E-2</v>
      </c>
      <c r="K1794" s="2">
        <f>+INDEX(Sheet1!L:L, MATCH(Hoja1!G1794,Sheet1!M:M, 0))</f>
        <v>9.4</v>
      </c>
    </row>
    <row r="1795" spans="1:11" ht="16" x14ac:dyDescent="0.25">
      <c r="A1795" t="s">
        <v>1360</v>
      </c>
      <c r="B1795">
        <v>6</v>
      </c>
      <c r="C1795">
        <v>2023</v>
      </c>
      <c r="D1795" t="s">
        <v>87</v>
      </c>
      <c r="E1795">
        <v>2.8</v>
      </c>
      <c r="F1795">
        <v>584057</v>
      </c>
      <c r="G1795" s="1" t="str">
        <f t="shared" ref="G1795:G1801" si="28">+A1795&amp;C1795</f>
        <v>Wyoming2023</v>
      </c>
      <c r="H1795">
        <f>+INDEX(Sheet1!C:C, MATCH(Hoja1!G1795, Sheet1!D:D, 0))</f>
        <v>51990.5</v>
      </c>
      <c r="I1795">
        <f>+INDEX(Sheet1!G:G, MATCH(Hoja1!G1795, Sheet1!I:I, 0))</f>
        <v>106886</v>
      </c>
      <c r="J1795" s="2">
        <f>+INDEX(Sheet1!H:H, MATCH(Hoja1!G1795, Sheet1!I:I, 0))</f>
        <v>6.3013426156141222E-2</v>
      </c>
      <c r="K1795" s="2">
        <f>+INDEX(Sheet1!L:L, MATCH(Hoja1!G1795,Sheet1!M:M, 0))</f>
        <v>9.4</v>
      </c>
    </row>
    <row r="1796" spans="1:11" ht="16" x14ac:dyDescent="0.25">
      <c r="A1796" t="s">
        <v>1360</v>
      </c>
      <c r="B1796">
        <v>7</v>
      </c>
      <c r="C1796">
        <v>2023</v>
      </c>
      <c r="D1796" t="s">
        <v>1374</v>
      </c>
      <c r="E1796">
        <v>2.8</v>
      </c>
      <c r="F1796">
        <v>584057</v>
      </c>
      <c r="G1796" s="1" t="str">
        <f t="shared" si="28"/>
        <v>Wyoming2023</v>
      </c>
      <c r="H1796">
        <f>+INDEX(Sheet1!C:C, MATCH(Hoja1!G1796, Sheet1!D:D, 0))</f>
        <v>51990.5</v>
      </c>
      <c r="I1796">
        <f>+INDEX(Sheet1!G:G, MATCH(Hoja1!G1796, Sheet1!I:I, 0))</f>
        <v>106886</v>
      </c>
      <c r="J1796" s="2">
        <f>+INDEX(Sheet1!H:H, MATCH(Hoja1!G1796, Sheet1!I:I, 0))</f>
        <v>6.3013426156141222E-2</v>
      </c>
      <c r="K1796" s="2">
        <f>+INDEX(Sheet1!L:L, MATCH(Hoja1!G1796,Sheet1!M:M, 0))</f>
        <v>9.4</v>
      </c>
    </row>
    <row r="1797" spans="1:11" ht="16" x14ac:dyDescent="0.25">
      <c r="A1797" t="s">
        <v>1360</v>
      </c>
      <c r="B1797">
        <v>8</v>
      </c>
      <c r="C1797">
        <v>2023</v>
      </c>
      <c r="D1797" t="s">
        <v>1373</v>
      </c>
      <c r="E1797">
        <v>2.8</v>
      </c>
      <c r="F1797">
        <v>584057</v>
      </c>
      <c r="G1797" s="1" t="str">
        <f t="shared" si="28"/>
        <v>Wyoming2023</v>
      </c>
      <c r="H1797">
        <f>+INDEX(Sheet1!C:C, MATCH(Hoja1!G1797, Sheet1!D:D, 0))</f>
        <v>51990.5</v>
      </c>
      <c r="I1797">
        <f>+INDEX(Sheet1!G:G, MATCH(Hoja1!G1797, Sheet1!I:I, 0))</f>
        <v>106886</v>
      </c>
      <c r="J1797" s="2">
        <f>+INDEX(Sheet1!H:H, MATCH(Hoja1!G1797, Sheet1!I:I, 0))</f>
        <v>6.3013426156141222E-2</v>
      </c>
      <c r="K1797" s="2">
        <f>+INDEX(Sheet1!L:L, MATCH(Hoja1!G1797,Sheet1!M:M, 0))</f>
        <v>9.4</v>
      </c>
    </row>
    <row r="1798" spans="1:11" ht="16" x14ac:dyDescent="0.25">
      <c r="A1798" t="s">
        <v>1360</v>
      </c>
      <c r="B1798">
        <v>9</v>
      </c>
      <c r="C1798">
        <v>2023</v>
      </c>
      <c r="D1798" t="s">
        <v>1375</v>
      </c>
      <c r="E1798">
        <v>2.9</v>
      </c>
      <c r="F1798">
        <v>584057</v>
      </c>
      <c r="G1798" s="1" t="str">
        <f t="shared" si="28"/>
        <v>Wyoming2023</v>
      </c>
      <c r="H1798">
        <f>+INDEX(Sheet1!C:C, MATCH(Hoja1!G1798, Sheet1!D:D, 0))</f>
        <v>51990.5</v>
      </c>
      <c r="I1798">
        <f>+INDEX(Sheet1!G:G, MATCH(Hoja1!G1798, Sheet1!I:I, 0))</f>
        <v>106886</v>
      </c>
      <c r="J1798" s="2">
        <f>+INDEX(Sheet1!H:H, MATCH(Hoja1!G1798, Sheet1!I:I, 0))</f>
        <v>6.3013426156141222E-2</v>
      </c>
      <c r="K1798" s="2">
        <f>+INDEX(Sheet1!L:L, MATCH(Hoja1!G1798,Sheet1!M:M, 0))</f>
        <v>9.4</v>
      </c>
    </row>
    <row r="1799" spans="1:11" ht="16" x14ac:dyDescent="0.25">
      <c r="A1799" t="s">
        <v>1360</v>
      </c>
      <c r="B1799">
        <v>10</v>
      </c>
      <c r="C1799">
        <v>2023</v>
      </c>
      <c r="D1799" t="s">
        <v>1371</v>
      </c>
      <c r="E1799">
        <v>2.9</v>
      </c>
      <c r="F1799">
        <v>584057</v>
      </c>
      <c r="G1799" s="1" t="str">
        <f t="shared" si="28"/>
        <v>Wyoming2023</v>
      </c>
      <c r="H1799">
        <f>+INDEX(Sheet1!C:C, MATCH(Hoja1!G1799, Sheet1!D:D, 0))</f>
        <v>51990.5</v>
      </c>
      <c r="I1799">
        <f>+INDEX(Sheet1!G:G, MATCH(Hoja1!G1799, Sheet1!I:I, 0))</f>
        <v>106886</v>
      </c>
      <c r="J1799" s="2">
        <f>+INDEX(Sheet1!H:H, MATCH(Hoja1!G1799, Sheet1!I:I, 0))</f>
        <v>6.3013426156141222E-2</v>
      </c>
      <c r="K1799" s="2">
        <f>+INDEX(Sheet1!L:L, MATCH(Hoja1!G1799,Sheet1!M:M, 0))</f>
        <v>9.4</v>
      </c>
    </row>
    <row r="1800" spans="1:11" ht="16" x14ac:dyDescent="0.25">
      <c r="A1800" t="s">
        <v>1360</v>
      </c>
      <c r="B1800">
        <v>11</v>
      </c>
      <c r="C1800">
        <v>2023</v>
      </c>
      <c r="D1800" t="s">
        <v>1374</v>
      </c>
      <c r="E1800">
        <v>2.9</v>
      </c>
      <c r="F1800">
        <v>584057</v>
      </c>
      <c r="G1800" s="1" t="str">
        <f t="shared" si="28"/>
        <v>Wyoming2023</v>
      </c>
      <c r="H1800">
        <f>+INDEX(Sheet1!C:C, MATCH(Hoja1!G1800, Sheet1!D:D, 0))</f>
        <v>51990.5</v>
      </c>
      <c r="I1800">
        <f>+INDEX(Sheet1!G:G, MATCH(Hoja1!G1800, Sheet1!I:I, 0))</f>
        <v>106886</v>
      </c>
      <c r="J1800" s="2">
        <f>+INDEX(Sheet1!H:H, MATCH(Hoja1!G1800, Sheet1!I:I, 0))</f>
        <v>6.3013426156141222E-2</v>
      </c>
      <c r="K1800" s="2">
        <f>+INDEX(Sheet1!L:L, MATCH(Hoja1!G1800,Sheet1!M:M, 0))</f>
        <v>9.4</v>
      </c>
    </row>
    <row r="1801" spans="1:11" ht="16" x14ac:dyDescent="0.25">
      <c r="A1801" t="s">
        <v>1360</v>
      </c>
      <c r="B1801">
        <v>12</v>
      </c>
      <c r="C1801">
        <v>2023</v>
      </c>
      <c r="D1801" t="s">
        <v>315</v>
      </c>
      <c r="E1801">
        <v>2.9</v>
      </c>
      <c r="F1801">
        <v>584057</v>
      </c>
      <c r="G1801" s="1" t="str">
        <f t="shared" si="28"/>
        <v>Wyoming2023</v>
      </c>
      <c r="H1801">
        <f>+INDEX(Sheet1!C:C, MATCH(Hoja1!G1801, Sheet1!D:D, 0))</f>
        <v>51990.5</v>
      </c>
      <c r="I1801">
        <f>+INDEX(Sheet1!G:G, MATCH(Hoja1!G1801, Sheet1!I:I, 0))</f>
        <v>106886</v>
      </c>
      <c r="J1801" s="2">
        <f>+INDEX(Sheet1!H:H, MATCH(Hoja1!G1801, Sheet1!I:I, 0))</f>
        <v>6.3013426156141222E-2</v>
      </c>
      <c r="K1801" s="2">
        <f>+INDEX(Sheet1!L:L, MATCH(Hoja1!G1801,Sheet1!M:M, 0))</f>
        <v>9.4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50A432-5CD8-C94A-8583-C0C7F06931BE}">
  <dimension ref="A1:M178"/>
  <sheetViews>
    <sheetView workbookViewId="0">
      <selection activeCell="L2" sqref="L2"/>
    </sheetView>
  </sheetViews>
  <sheetFormatPr baseColWidth="10" defaultRowHeight="15" x14ac:dyDescent="0.2"/>
  <sheetData>
    <row r="1" spans="1:13" x14ac:dyDescent="0.2">
      <c r="A1" t="s">
        <v>1378</v>
      </c>
      <c r="B1" t="s">
        <v>1379</v>
      </c>
      <c r="C1" t="s">
        <v>1380</v>
      </c>
      <c r="D1" t="s">
        <v>1390</v>
      </c>
      <c r="E1" t="s">
        <v>1378</v>
      </c>
      <c r="F1" t="s">
        <v>1379</v>
      </c>
      <c r="G1" t="s">
        <v>1392</v>
      </c>
      <c r="H1" t="s">
        <v>1393</v>
      </c>
      <c r="I1" t="s">
        <v>1395</v>
      </c>
      <c r="J1" t="s">
        <v>1396</v>
      </c>
      <c r="K1" t="s">
        <v>1379</v>
      </c>
      <c r="L1" t="s">
        <v>1397</v>
      </c>
      <c r="M1" t="s">
        <v>1398</v>
      </c>
    </row>
    <row r="2" spans="1:13" x14ac:dyDescent="0.2">
      <c r="A2" t="s">
        <v>4</v>
      </c>
      <c r="B2">
        <v>2023</v>
      </c>
      <c r="C2">
        <v>304935.59999999998</v>
      </c>
      <c r="D2" t="str">
        <f>+A2&amp;B2</f>
        <v>Alabama2023</v>
      </c>
      <c r="E2" t="s">
        <v>4</v>
      </c>
      <c r="F2">
        <v>2021</v>
      </c>
      <c r="G2">
        <v>107899</v>
      </c>
      <c r="H2">
        <v>5.1452460070747136E-2</v>
      </c>
      <c r="I2" t="str">
        <f>+E2&amp;F2</f>
        <v>Alabama2021</v>
      </c>
      <c r="J2" t="s">
        <v>4</v>
      </c>
      <c r="K2">
        <v>2021</v>
      </c>
      <c r="L2">
        <v>15.9</v>
      </c>
      <c r="M2" t="str">
        <f>+J2&amp;K2</f>
        <v>Alabama2021</v>
      </c>
    </row>
    <row r="3" spans="1:13" x14ac:dyDescent="0.2">
      <c r="A3" t="str">
        <f>+A2</f>
        <v>Alabama</v>
      </c>
      <c r="B3">
        <v>2022</v>
      </c>
      <c r="C3">
        <v>284949.09999999998</v>
      </c>
      <c r="D3" t="str">
        <f t="shared" ref="D3:D66" si="0">+A3&amp;B3</f>
        <v>Alabama2022</v>
      </c>
      <c r="E3" t="s">
        <v>4</v>
      </c>
      <c r="F3">
        <v>2022</v>
      </c>
      <c r="G3">
        <v>110129</v>
      </c>
      <c r="H3">
        <v>2.0667476065579848E-2</v>
      </c>
      <c r="I3" t="str">
        <f t="shared" ref="I3:I66" si="1">+E3&amp;F3</f>
        <v>Alabama2022</v>
      </c>
      <c r="J3" t="s">
        <v>4</v>
      </c>
      <c r="K3">
        <v>2022</v>
      </c>
      <c r="L3">
        <v>13.6</v>
      </c>
      <c r="M3" t="str">
        <f t="shared" ref="M3:M66" si="2">+J3&amp;K3</f>
        <v>Alabama2022</v>
      </c>
    </row>
    <row r="4" spans="1:13" x14ac:dyDescent="0.2">
      <c r="A4" t="str">
        <f>+A3</f>
        <v>Alabama</v>
      </c>
      <c r="B4">
        <v>2021</v>
      </c>
      <c r="C4">
        <v>260018.4</v>
      </c>
      <c r="D4" t="str">
        <f t="shared" si="0"/>
        <v>Alabama2021</v>
      </c>
      <c r="E4" t="s">
        <v>4</v>
      </c>
      <c r="F4">
        <v>2023</v>
      </c>
      <c r="G4">
        <v>113267</v>
      </c>
      <c r="H4">
        <v>2.8493857203824607E-2</v>
      </c>
      <c r="I4" t="str">
        <f t="shared" si="1"/>
        <v>Alabama2023</v>
      </c>
      <c r="J4" t="s">
        <v>4</v>
      </c>
      <c r="K4">
        <v>2023</v>
      </c>
      <c r="L4">
        <v>14.2</v>
      </c>
      <c r="M4" t="str">
        <f t="shared" si="2"/>
        <v>Alabama2023</v>
      </c>
    </row>
    <row r="5" spans="1:13" x14ac:dyDescent="0.2">
      <c r="A5" t="s">
        <v>40</v>
      </c>
      <c r="B5">
        <v>2023</v>
      </c>
      <c r="C5">
        <v>68056</v>
      </c>
      <c r="D5" t="str">
        <f t="shared" si="0"/>
        <v>Alaska2023</v>
      </c>
      <c r="E5" t="s">
        <v>40</v>
      </c>
      <c r="F5">
        <v>2021</v>
      </c>
      <c r="G5">
        <v>96085</v>
      </c>
      <c r="H5">
        <v>2.2278728814460958E-2</v>
      </c>
      <c r="I5" t="str">
        <f t="shared" si="1"/>
        <v>Alaska2021</v>
      </c>
      <c r="J5" t="s">
        <v>40</v>
      </c>
      <c r="K5">
        <v>2021</v>
      </c>
      <c r="L5">
        <v>11.4</v>
      </c>
      <c r="M5" t="str">
        <f t="shared" si="2"/>
        <v>Alaska2021</v>
      </c>
    </row>
    <row r="6" spans="1:13" x14ac:dyDescent="0.2">
      <c r="A6" t="str">
        <f>+A5</f>
        <v>Alaska</v>
      </c>
      <c r="B6">
        <v>2022</v>
      </c>
      <c r="C6">
        <v>66271.899999999994</v>
      </c>
      <c r="D6" t="str">
        <f t="shared" si="0"/>
        <v>Alaska2022</v>
      </c>
      <c r="E6" t="s">
        <v>40</v>
      </c>
      <c r="F6">
        <v>2022</v>
      </c>
      <c r="G6">
        <v>94802</v>
      </c>
      <c r="H6">
        <v>-1.3352760576572826E-2</v>
      </c>
      <c r="I6" t="str">
        <f t="shared" si="1"/>
        <v>Alaska2022</v>
      </c>
      <c r="J6" t="s">
        <v>40</v>
      </c>
      <c r="K6">
        <v>2022</v>
      </c>
      <c r="L6">
        <v>9.6</v>
      </c>
      <c r="M6" t="str">
        <f t="shared" si="2"/>
        <v>Alaska2022</v>
      </c>
    </row>
    <row r="7" spans="1:13" x14ac:dyDescent="0.2">
      <c r="A7" t="str">
        <f>+A6</f>
        <v>Alaska</v>
      </c>
      <c r="B7">
        <v>2021</v>
      </c>
      <c r="C7">
        <v>58943.5</v>
      </c>
      <c r="D7" t="str">
        <f t="shared" si="0"/>
        <v>Alaska2021</v>
      </c>
      <c r="E7" t="s">
        <v>40</v>
      </c>
      <c r="F7">
        <v>2023</v>
      </c>
      <c r="G7">
        <v>100950</v>
      </c>
      <c r="H7">
        <v>6.4850952511550389E-2</v>
      </c>
      <c r="I7" t="str">
        <f t="shared" si="1"/>
        <v>Alaska2023</v>
      </c>
      <c r="J7" t="s">
        <v>40</v>
      </c>
      <c r="K7">
        <v>2023</v>
      </c>
      <c r="L7">
        <v>10.1</v>
      </c>
      <c r="M7" t="str">
        <f t="shared" si="2"/>
        <v>Alaska2023</v>
      </c>
    </row>
    <row r="8" spans="1:13" x14ac:dyDescent="0.2">
      <c r="A8" t="s">
        <v>73</v>
      </c>
      <c r="B8">
        <v>2023</v>
      </c>
      <c r="C8">
        <v>522767.2</v>
      </c>
      <c r="D8" t="str">
        <f t="shared" si="0"/>
        <v>Arizona2023</v>
      </c>
      <c r="E8" t="s">
        <v>73</v>
      </c>
      <c r="F8">
        <v>2021</v>
      </c>
      <c r="G8">
        <v>118594</v>
      </c>
      <c r="H8">
        <v>8.2210156499520917E-2</v>
      </c>
      <c r="I8" t="str">
        <f t="shared" si="1"/>
        <v>Arizona2021</v>
      </c>
      <c r="J8" t="s">
        <v>73</v>
      </c>
      <c r="K8">
        <v>2021</v>
      </c>
      <c r="L8">
        <v>12.6</v>
      </c>
      <c r="M8" t="str">
        <f t="shared" si="2"/>
        <v>Arizona2021</v>
      </c>
    </row>
    <row r="9" spans="1:13" x14ac:dyDescent="0.2">
      <c r="A9" t="str">
        <f>+A8</f>
        <v>Arizona</v>
      </c>
      <c r="B9">
        <v>2022</v>
      </c>
      <c r="C9">
        <v>484052.2</v>
      </c>
      <c r="D9" t="str">
        <f t="shared" si="0"/>
        <v>Arizona2022</v>
      </c>
      <c r="E9" t="s">
        <v>73</v>
      </c>
      <c r="F9">
        <v>2022</v>
      </c>
      <c r="G9">
        <v>123155</v>
      </c>
      <c r="H9">
        <v>3.8458943960065432E-2</v>
      </c>
      <c r="I9" t="str">
        <f t="shared" si="1"/>
        <v>Arizona2022</v>
      </c>
      <c r="J9" t="s">
        <v>73</v>
      </c>
      <c r="K9">
        <v>2022</v>
      </c>
      <c r="L9">
        <v>12.7</v>
      </c>
      <c r="M9" t="str">
        <f t="shared" si="2"/>
        <v>Arizona2022</v>
      </c>
    </row>
    <row r="10" spans="1:13" x14ac:dyDescent="0.2">
      <c r="A10" t="str">
        <f>+A9</f>
        <v>Arizona</v>
      </c>
      <c r="B10">
        <v>2021</v>
      </c>
      <c r="C10">
        <v>436778.6</v>
      </c>
      <c r="D10" t="str">
        <f t="shared" si="0"/>
        <v>Arizona2021</v>
      </c>
      <c r="E10" t="s">
        <v>73</v>
      </c>
      <c r="F10">
        <v>2023</v>
      </c>
      <c r="G10">
        <v>126809</v>
      </c>
      <c r="H10">
        <v>2.966992813933661E-2</v>
      </c>
      <c r="I10" t="str">
        <f t="shared" si="1"/>
        <v>Arizona2023</v>
      </c>
      <c r="J10" t="s">
        <v>73</v>
      </c>
      <c r="K10">
        <v>2023</v>
      </c>
      <c r="L10">
        <v>11.9</v>
      </c>
      <c r="M10" t="str">
        <f t="shared" si="2"/>
        <v>Arizona2023</v>
      </c>
    </row>
    <row r="11" spans="1:13" x14ac:dyDescent="0.2">
      <c r="A11" t="s">
        <v>110</v>
      </c>
      <c r="B11">
        <v>2023</v>
      </c>
      <c r="C11">
        <v>178606.4</v>
      </c>
      <c r="D11" t="str">
        <f t="shared" si="0"/>
        <v>Arkansas2023</v>
      </c>
      <c r="E11" t="s">
        <v>110</v>
      </c>
      <c r="F11">
        <v>2021</v>
      </c>
      <c r="G11">
        <v>110963</v>
      </c>
      <c r="H11">
        <v>7.1081767198525075E-2</v>
      </c>
      <c r="I11" t="str">
        <f t="shared" si="1"/>
        <v>Arkansas2021</v>
      </c>
      <c r="J11" t="s">
        <v>110</v>
      </c>
      <c r="K11">
        <v>2021</v>
      </c>
      <c r="L11">
        <v>16.8</v>
      </c>
      <c r="M11" t="str">
        <f t="shared" si="2"/>
        <v>Arkansas2021</v>
      </c>
    </row>
    <row r="12" spans="1:13" x14ac:dyDescent="0.2">
      <c r="A12" t="str">
        <f>+A11</f>
        <v>Arkansas</v>
      </c>
      <c r="B12">
        <v>2022</v>
      </c>
      <c r="C12">
        <v>168605.8</v>
      </c>
      <c r="D12" t="str">
        <f t="shared" si="0"/>
        <v>Arkansas2022</v>
      </c>
      <c r="E12" t="s">
        <v>110</v>
      </c>
      <c r="F12">
        <v>2022</v>
      </c>
      <c r="G12">
        <v>112656</v>
      </c>
      <c r="H12">
        <v>1.5257338031596117E-2</v>
      </c>
      <c r="I12" t="str">
        <f t="shared" si="1"/>
        <v>Arkansas2022</v>
      </c>
      <c r="J12" t="s">
        <v>110</v>
      </c>
      <c r="K12">
        <v>2022</v>
      </c>
      <c r="L12">
        <v>16.600000000000001</v>
      </c>
      <c r="M12" t="str">
        <f t="shared" si="2"/>
        <v>Arkansas2022</v>
      </c>
    </row>
    <row r="13" spans="1:13" x14ac:dyDescent="0.2">
      <c r="A13" t="str">
        <f>+A12</f>
        <v>Arkansas</v>
      </c>
      <c r="B13">
        <v>2021</v>
      </c>
      <c r="C13">
        <v>154052.5</v>
      </c>
      <c r="D13" t="str">
        <f t="shared" si="0"/>
        <v>Arkansas2021</v>
      </c>
      <c r="E13" t="s">
        <v>110</v>
      </c>
      <c r="F13">
        <v>2023</v>
      </c>
      <c r="G13">
        <v>115319</v>
      </c>
      <c r="H13">
        <v>2.3638332623206932E-2</v>
      </c>
      <c r="I13" t="str">
        <f t="shared" si="1"/>
        <v>Arkansas2023</v>
      </c>
      <c r="J13" t="s">
        <v>110</v>
      </c>
      <c r="K13">
        <v>2023</v>
      </c>
      <c r="L13">
        <v>13.8</v>
      </c>
      <c r="M13" t="str">
        <f t="shared" si="2"/>
        <v>Arkansas2023</v>
      </c>
    </row>
    <row r="14" spans="1:13" x14ac:dyDescent="0.2">
      <c r="A14" t="s">
        <v>146</v>
      </c>
      <c r="B14">
        <v>2023</v>
      </c>
      <c r="C14">
        <v>3870378.9</v>
      </c>
      <c r="D14" t="str">
        <f t="shared" si="0"/>
        <v>California2023</v>
      </c>
      <c r="E14" t="s">
        <v>146</v>
      </c>
      <c r="F14">
        <v>2021</v>
      </c>
      <c r="G14">
        <v>115093</v>
      </c>
      <c r="H14">
        <v>7.5293831866509703E-2</v>
      </c>
      <c r="I14" t="str">
        <f t="shared" si="1"/>
        <v>California2021</v>
      </c>
      <c r="J14" t="s">
        <v>146</v>
      </c>
      <c r="K14">
        <v>2021</v>
      </c>
      <c r="L14">
        <v>11.9</v>
      </c>
      <c r="M14" t="str">
        <f t="shared" si="2"/>
        <v>California2021</v>
      </c>
    </row>
    <row r="15" spans="1:13" x14ac:dyDescent="0.2">
      <c r="A15" t="str">
        <f>+A14</f>
        <v>California</v>
      </c>
      <c r="B15">
        <v>2022</v>
      </c>
      <c r="C15">
        <v>3660415.7</v>
      </c>
      <c r="D15" t="str">
        <f t="shared" si="0"/>
        <v>California2022</v>
      </c>
      <c r="E15" t="s">
        <v>146</v>
      </c>
      <c r="F15">
        <v>2022</v>
      </c>
      <c r="G15">
        <v>116181</v>
      </c>
      <c r="H15">
        <v>9.4532247834360032E-3</v>
      </c>
      <c r="I15" t="str">
        <f t="shared" si="1"/>
        <v>California2022</v>
      </c>
      <c r="J15" t="s">
        <v>146</v>
      </c>
      <c r="K15">
        <v>2022</v>
      </c>
      <c r="L15">
        <v>11.2</v>
      </c>
      <c r="M15" t="str">
        <f t="shared" si="2"/>
        <v>California2022</v>
      </c>
    </row>
    <row r="16" spans="1:13" x14ac:dyDescent="0.2">
      <c r="A16" t="str">
        <f>+A15</f>
        <v>California</v>
      </c>
      <c r="B16">
        <v>2021</v>
      </c>
      <c r="C16">
        <v>3423958.3</v>
      </c>
      <c r="D16" t="str">
        <f t="shared" si="0"/>
        <v>California2021</v>
      </c>
      <c r="E16" t="s">
        <v>146</v>
      </c>
      <c r="F16">
        <v>2023</v>
      </c>
      <c r="G16">
        <v>118540</v>
      </c>
      <c r="H16">
        <v>2.0304524836246892E-2</v>
      </c>
      <c r="I16" t="str">
        <f t="shared" si="1"/>
        <v>California2023</v>
      </c>
      <c r="J16" t="s">
        <v>146</v>
      </c>
      <c r="K16">
        <v>2023</v>
      </c>
      <c r="L16">
        <v>11.9</v>
      </c>
      <c r="M16" t="str">
        <f t="shared" si="2"/>
        <v>California2023</v>
      </c>
    </row>
    <row r="17" spans="1:13" x14ac:dyDescent="0.2">
      <c r="A17" t="s">
        <v>181</v>
      </c>
      <c r="B17">
        <v>2023</v>
      </c>
      <c r="C17">
        <v>529626.5</v>
      </c>
      <c r="D17" t="str">
        <f t="shared" si="0"/>
        <v>Colorado2023</v>
      </c>
      <c r="E17" t="s">
        <v>181</v>
      </c>
      <c r="F17">
        <v>2021</v>
      </c>
      <c r="G17">
        <v>116060</v>
      </c>
      <c r="H17">
        <v>6.9076371809397477E-2</v>
      </c>
      <c r="I17" t="str">
        <f t="shared" si="1"/>
        <v>Colorado2021</v>
      </c>
      <c r="J17" t="s">
        <v>181</v>
      </c>
      <c r="K17">
        <v>2021</v>
      </c>
      <c r="L17">
        <v>7.9</v>
      </c>
      <c r="M17" t="str">
        <f t="shared" si="2"/>
        <v>Colorado2021</v>
      </c>
    </row>
    <row r="18" spans="1:13" x14ac:dyDescent="0.2">
      <c r="A18" t="str">
        <f>+A17</f>
        <v>Colorado</v>
      </c>
      <c r="B18">
        <v>2022</v>
      </c>
      <c r="C18">
        <v>494672.8</v>
      </c>
      <c r="D18" t="str">
        <f t="shared" si="0"/>
        <v>Colorado2022</v>
      </c>
      <c r="E18" t="s">
        <v>181</v>
      </c>
      <c r="F18">
        <v>2022</v>
      </c>
      <c r="G18">
        <v>119591</v>
      </c>
      <c r="H18">
        <v>3.0423918662760643E-2</v>
      </c>
      <c r="I18" t="str">
        <f t="shared" si="1"/>
        <v>Colorado2022</v>
      </c>
      <c r="J18" t="s">
        <v>181</v>
      </c>
      <c r="K18">
        <v>2022</v>
      </c>
      <c r="L18">
        <v>8.1</v>
      </c>
      <c r="M18" t="str">
        <f t="shared" si="2"/>
        <v>Colorado2022</v>
      </c>
    </row>
    <row r="19" spans="1:13" x14ac:dyDescent="0.2">
      <c r="A19" t="str">
        <f>+A18</f>
        <v>Colorado</v>
      </c>
      <c r="B19">
        <v>2021</v>
      </c>
      <c r="C19">
        <v>445835.7</v>
      </c>
      <c r="D19" t="str">
        <f t="shared" si="0"/>
        <v>Colorado2021</v>
      </c>
      <c r="E19" t="s">
        <v>181</v>
      </c>
      <c r="F19">
        <v>2023</v>
      </c>
      <c r="G19">
        <v>124799</v>
      </c>
      <c r="H19">
        <v>4.354842755725765E-2</v>
      </c>
      <c r="I19" t="str">
        <f t="shared" si="1"/>
        <v>Colorado2023</v>
      </c>
      <c r="J19" t="s">
        <v>181</v>
      </c>
      <c r="K19">
        <v>2023</v>
      </c>
      <c r="L19">
        <v>8.5</v>
      </c>
      <c r="M19" t="str">
        <f t="shared" si="2"/>
        <v>Colorado2023</v>
      </c>
    </row>
    <row r="20" spans="1:13" x14ac:dyDescent="0.2">
      <c r="A20" t="s">
        <v>215</v>
      </c>
      <c r="B20">
        <v>2023</v>
      </c>
      <c r="C20">
        <v>345911.9</v>
      </c>
      <c r="D20" t="str">
        <f t="shared" si="0"/>
        <v>Connecticut2023</v>
      </c>
      <c r="E20" t="s">
        <v>215</v>
      </c>
      <c r="F20">
        <v>2021</v>
      </c>
      <c r="G20">
        <v>98526</v>
      </c>
      <c r="H20">
        <v>3.4795668658691568E-2</v>
      </c>
      <c r="I20" t="str">
        <f t="shared" si="1"/>
        <v>Connecticut2021</v>
      </c>
      <c r="J20" t="s">
        <v>215</v>
      </c>
      <c r="K20">
        <v>2021</v>
      </c>
      <c r="L20">
        <v>8</v>
      </c>
      <c r="M20" t="str">
        <f t="shared" si="2"/>
        <v>Connecticut2021</v>
      </c>
    </row>
    <row r="21" spans="1:13" x14ac:dyDescent="0.2">
      <c r="A21" t="str">
        <f>+A20</f>
        <v>Connecticut</v>
      </c>
      <c r="B21">
        <v>2022</v>
      </c>
      <c r="C21">
        <v>321686.40000000002</v>
      </c>
      <c r="D21" t="str">
        <f t="shared" si="0"/>
        <v>Connecticut2022</v>
      </c>
      <c r="E21" t="s">
        <v>215</v>
      </c>
      <c r="F21">
        <v>2022</v>
      </c>
      <c r="G21">
        <v>101862</v>
      </c>
      <c r="H21">
        <v>3.3859082881675905E-2</v>
      </c>
      <c r="I21" t="str">
        <f t="shared" si="1"/>
        <v>Connecticut2022</v>
      </c>
      <c r="J21" t="s">
        <v>215</v>
      </c>
      <c r="K21">
        <v>2022</v>
      </c>
      <c r="L21">
        <v>10.199999999999999</v>
      </c>
      <c r="M21" t="str">
        <f t="shared" si="2"/>
        <v>Connecticut2022</v>
      </c>
    </row>
    <row r="22" spans="1:13" x14ac:dyDescent="0.2">
      <c r="A22" t="str">
        <f>+A21</f>
        <v>Connecticut</v>
      </c>
      <c r="B22">
        <v>2021</v>
      </c>
      <c r="C22">
        <v>296801.3</v>
      </c>
      <c r="D22" t="str">
        <f t="shared" si="0"/>
        <v>Connecticut2021</v>
      </c>
      <c r="E22" t="s">
        <v>215</v>
      </c>
      <c r="F22">
        <v>2023</v>
      </c>
      <c r="G22">
        <v>104657</v>
      </c>
      <c r="H22">
        <v>2.7439084251241877E-2</v>
      </c>
      <c r="I22" t="str">
        <f t="shared" si="1"/>
        <v>Connecticut2023</v>
      </c>
      <c r="J22" t="s">
        <v>215</v>
      </c>
      <c r="K22">
        <v>2023</v>
      </c>
      <c r="L22">
        <v>8.3000000000000007</v>
      </c>
      <c r="M22" t="str">
        <f t="shared" si="2"/>
        <v>Connecticut2023</v>
      </c>
    </row>
    <row r="23" spans="1:13" x14ac:dyDescent="0.2">
      <c r="A23" t="s">
        <v>247</v>
      </c>
      <c r="B23">
        <v>2023</v>
      </c>
      <c r="C23">
        <v>98068.7</v>
      </c>
      <c r="D23" t="str">
        <f t="shared" si="0"/>
        <v>Delaware2023</v>
      </c>
      <c r="E23" t="s">
        <v>247</v>
      </c>
      <c r="F23">
        <v>2021</v>
      </c>
      <c r="G23">
        <v>107334</v>
      </c>
      <c r="H23">
        <v>2.9651871108851435E-2</v>
      </c>
      <c r="I23" t="str">
        <f t="shared" si="1"/>
        <v>Delaware2021</v>
      </c>
      <c r="J23" t="s">
        <v>247</v>
      </c>
      <c r="K23">
        <v>2021</v>
      </c>
      <c r="L23">
        <v>11.7</v>
      </c>
      <c r="M23" t="str">
        <f t="shared" si="2"/>
        <v>Delaware2021</v>
      </c>
    </row>
    <row r="24" spans="1:13" x14ac:dyDescent="0.2">
      <c r="A24" t="str">
        <f>+A23</f>
        <v>Delaware</v>
      </c>
      <c r="B24">
        <v>2022</v>
      </c>
      <c r="C24">
        <v>92558.2</v>
      </c>
      <c r="D24" t="str">
        <f t="shared" si="0"/>
        <v>Delaware2022</v>
      </c>
      <c r="E24" t="s">
        <v>247</v>
      </c>
      <c r="F24">
        <v>2022</v>
      </c>
      <c r="G24">
        <v>110917</v>
      </c>
      <c r="H24">
        <v>3.338178023738983E-2</v>
      </c>
      <c r="I24" t="str">
        <f t="shared" si="1"/>
        <v>Delaware2022</v>
      </c>
      <c r="J24" t="s">
        <v>247</v>
      </c>
      <c r="K24">
        <v>2022</v>
      </c>
      <c r="L24">
        <v>9.3000000000000007</v>
      </c>
      <c r="M24" t="str">
        <f t="shared" si="2"/>
        <v>Delaware2022</v>
      </c>
    </row>
    <row r="25" spans="1:13" x14ac:dyDescent="0.2">
      <c r="A25" t="str">
        <f>+A24</f>
        <v>Delaware</v>
      </c>
      <c r="B25">
        <v>2021</v>
      </c>
      <c r="C25">
        <v>83069.8</v>
      </c>
      <c r="D25" t="str">
        <f t="shared" si="0"/>
        <v>Delaware2021</v>
      </c>
      <c r="E25" t="s">
        <v>247</v>
      </c>
      <c r="F25">
        <v>2023</v>
      </c>
      <c r="G25">
        <v>112161</v>
      </c>
      <c r="H25">
        <v>1.1215593642092736E-2</v>
      </c>
      <c r="I25" t="str">
        <f t="shared" si="1"/>
        <v>Delaware2023</v>
      </c>
      <c r="J25" t="s">
        <v>247</v>
      </c>
      <c r="K25">
        <v>2023</v>
      </c>
      <c r="L25">
        <v>7.8</v>
      </c>
      <c r="M25" t="str">
        <f t="shared" si="2"/>
        <v>Delaware2023</v>
      </c>
    </row>
    <row r="26" spans="1:13" x14ac:dyDescent="0.2">
      <c r="A26" t="s">
        <v>1381</v>
      </c>
      <c r="B26">
        <v>2023</v>
      </c>
      <c r="C26">
        <v>176501.7</v>
      </c>
      <c r="D26" t="str">
        <f t="shared" si="0"/>
        <v>District of Columbia2023</v>
      </c>
      <c r="E26" t="s">
        <v>1381</v>
      </c>
      <c r="F26">
        <v>2021</v>
      </c>
      <c r="G26">
        <v>106584</v>
      </c>
      <c r="H26">
        <v>3.9955507420308518E-2</v>
      </c>
      <c r="I26" t="str">
        <f t="shared" si="1"/>
        <v>District of Columbia2021</v>
      </c>
      <c r="J26" t="s">
        <v>1381</v>
      </c>
      <c r="K26">
        <v>2021</v>
      </c>
      <c r="L26">
        <v>14</v>
      </c>
      <c r="M26" t="str">
        <f t="shared" si="2"/>
        <v>District of Columbia2021</v>
      </c>
    </row>
    <row r="27" spans="1:13" x14ac:dyDescent="0.2">
      <c r="A27" t="str">
        <f>+A26</f>
        <v>District of Columbia</v>
      </c>
      <c r="B27">
        <v>2022</v>
      </c>
      <c r="C27">
        <v>165768.4</v>
      </c>
      <c r="D27" t="str">
        <f t="shared" si="0"/>
        <v>District of Columbia2022</v>
      </c>
      <c r="E27" t="s">
        <v>1381</v>
      </c>
      <c r="F27">
        <v>2022</v>
      </c>
      <c r="G27">
        <v>107637</v>
      </c>
      <c r="H27">
        <v>9.87953163701869E-3</v>
      </c>
      <c r="I27" t="str">
        <f t="shared" si="1"/>
        <v>District of Columbia2022</v>
      </c>
      <c r="J27" t="s">
        <v>1381</v>
      </c>
      <c r="K27">
        <v>2022</v>
      </c>
      <c r="L27">
        <v>13.4</v>
      </c>
      <c r="M27" t="str">
        <f t="shared" si="2"/>
        <v>District of Columbia2022</v>
      </c>
    </row>
    <row r="28" spans="1:13" x14ac:dyDescent="0.2">
      <c r="A28" t="str">
        <f>+A27</f>
        <v>District of Columbia</v>
      </c>
      <c r="B28">
        <v>2021</v>
      </c>
      <c r="C28">
        <v>156537.5</v>
      </c>
      <c r="D28" t="str">
        <f t="shared" si="0"/>
        <v>District of Columbia2021</v>
      </c>
      <c r="E28" t="s">
        <v>1381</v>
      </c>
      <c r="F28">
        <v>2023</v>
      </c>
      <c r="G28">
        <v>108731</v>
      </c>
      <c r="H28">
        <v>1.0163791261369232E-2</v>
      </c>
      <c r="I28" t="str">
        <f t="shared" si="1"/>
        <v>District of Columbia2023</v>
      </c>
      <c r="J28" t="s">
        <v>1381</v>
      </c>
      <c r="K28">
        <v>2023</v>
      </c>
      <c r="L28">
        <v>12.7</v>
      </c>
      <c r="M28" t="str">
        <f t="shared" si="2"/>
        <v>District of Columbia2023</v>
      </c>
    </row>
    <row r="29" spans="1:13" x14ac:dyDescent="0.2">
      <c r="A29" t="s">
        <v>1382</v>
      </c>
      <c r="B29">
        <v>2023</v>
      </c>
      <c r="C29">
        <v>5421427.9000000004</v>
      </c>
      <c r="D29" t="str">
        <f t="shared" si="0"/>
        <v>Far West2023</v>
      </c>
      <c r="E29" t="s">
        <v>1382</v>
      </c>
      <c r="F29">
        <v>2021</v>
      </c>
      <c r="G29">
        <v>114616</v>
      </c>
      <c r="H29">
        <v>7.3133280277140583E-2</v>
      </c>
      <c r="I29" t="str">
        <f t="shared" si="1"/>
        <v>Far West2021</v>
      </c>
      <c r="J29" t="s">
        <v>283</v>
      </c>
      <c r="K29">
        <v>2021</v>
      </c>
      <c r="L29">
        <v>12.6</v>
      </c>
      <c r="M29" t="str">
        <f t="shared" si="2"/>
        <v>Florida2021</v>
      </c>
    </row>
    <row r="30" spans="1:13" x14ac:dyDescent="0.2">
      <c r="A30" t="str">
        <f>+A29</f>
        <v>Far West</v>
      </c>
      <c r="B30">
        <v>2022</v>
      </c>
      <c r="C30">
        <v>5098918.7</v>
      </c>
      <c r="D30" t="str">
        <f t="shared" si="0"/>
        <v>Far West2022</v>
      </c>
      <c r="E30" t="s">
        <v>1382</v>
      </c>
      <c r="F30">
        <v>2022</v>
      </c>
      <c r="G30">
        <v>116182</v>
      </c>
      <c r="H30">
        <v>1.366301388985831E-2</v>
      </c>
      <c r="I30" t="str">
        <f t="shared" si="1"/>
        <v>Far West2022</v>
      </c>
      <c r="J30" t="s">
        <v>283</v>
      </c>
      <c r="K30">
        <v>2022</v>
      </c>
      <c r="L30">
        <v>13.5</v>
      </c>
      <c r="M30" t="str">
        <f t="shared" si="2"/>
        <v>Florida2022</v>
      </c>
    </row>
    <row r="31" spans="1:13" x14ac:dyDescent="0.2">
      <c r="A31" t="str">
        <f>+A30</f>
        <v>Far West</v>
      </c>
      <c r="B31">
        <v>2021</v>
      </c>
      <c r="C31">
        <v>4741363.3</v>
      </c>
      <c r="D31" t="str">
        <f t="shared" si="0"/>
        <v>Far West2021</v>
      </c>
      <c r="E31" t="s">
        <v>1382</v>
      </c>
      <c r="F31">
        <v>2023</v>
      </c>
      <c r="G31">
        <v>119181</v>
      </c>
      <c r="H31">
        <v>2.5812948649532631E-2</v>
      </c>
      <c r="I31" t="str">
        <f t="shared" si="1"/>
        <v>Far West2023</v>
      </c>
      <c r="J31" t="s">
        <v>283</v>
      </c>
      <c r="K31">
        <v>2023</v>
      </c>
      <c r="L31">
        <v>11.6</v>
      </c>
      <c r="M31" t="str">
        <f t="shared" si="2"/>
        <v>Florida2023</v>
      </c>
    </row>
    <row r="32" spans="1:13" x14ac:dyDescent="0.2">
      <c r="A32" t="s">
        <v>283</v>
      </c>
      <c r="B32">
        <v>2023</v>
      </c>
      <c r="C32">
        <v>1600810.6</v>
      </c>
      <c r="D32" t="str">
        <f t="shared" si="0"/>
        <v>Florida2023</v>
      </c>
      <c r="E32" t="s">
        <v>283</v>
      </c>
      <c r="F32">
        <v>2021</v>
      </c>
      <c r="G32">
        <v>115338</v>
      </c>
      <c r="H32">
        <v>9.4194992837423747E-2</v>
      </c>
      <c r="I32" t="str">
        <f t="shared" si="1"/>
        <v>Florida2021</v>
      </c>
      <c r="J32" t="s">
        <v>317</v>
      </c>
      <c r="K32">
        <v>2021</v>
      </c>
      <c r="L32">
        <v>14</v>
      </c>
      <c r="M32" t="str">
        <f t="shared" si="2"/>
        <v>Georgia2021</v>
      </c>
    </row>
    <row r="33" spans="1:13" x14ac:dyDescent="0.2">
      <c r="A33" t="str">
        <f>+A32</f>
        <v>Florida</v>
      </c>
      <c r="B33">
        <v>2022</v>
      </c>
      <c r="C33">
        <v>1465281.1</v>
      </c>
      <c r="D33" t="str">
        <f t="shared" si="0"/>
        <v>Florida2022</v>
      </c>
      <c r="E33" t="s">
        <v>283</v>
      </c>
      <c r="F33">
        <v>2022</v>
      </c>
      <c r="G33">
        <v>122172</v>
      </c>
      <c r="H33">
        <v>5.9251937782864278E-2</v>
      </c>
      <c r="I33" t="str">
        <f t="shared" si="1"/>
        <v>Florida2022</v>
      </c>
      <c r="J33" t="s">
        <v>317</v>
      </c>
      <c r="K33">
        <v>2022</v>
      </c>
      <c r="L33">
        <v>11.7</v>
      </c>
      <c r="M33" t="str">
        <f t="shared" si="2"/>
        <v>Georgia2022</v>
      </c>
    </row>
    <row r="34" spans="1:13" x14ac:dyDescent="0.2">
      <c r="A34" t="str">
        <f>+A33</f>
        <v>Florida</v>
      </c>
      <c r="B34">
        <v>2021</v>
      </c>
      <c r="C34">
        <v>1298631.2</v>
      </c>
      <c r="D34" t="str">
        <f t="shared" si="0"/>
        <v>Florida2021</v>
      </c>
      <c r="E34" t="s">
        <v>283</v>
      </c>
      <c r="F34">
        <v>2023</v>
      </c>
      <c r="G34">
        <v>127385</v>
      </c>
      <c r="H34">
        <v>4.2669351406214188E-2</v>
      </c>
      <c r="I34" t="str">
        <f t="shared" si="1"/>
        <v>Florida2023</v>
      </c>
      <c r="J34" t="s">
        <v>317</v>
      </c>
      <c r="K34">
        <v>2023</v>
      </c>
      <c r="L34">
        <v>12.9</v>
      </c>
      <c r="M34" t="str">
        <f t="shared" si="2"/>
        <v>Georgia2023</v>
      </c>
    </row>
    <row r="35" spans="1:13" x14ac:dyDescent="0.2">
      <c r="A35" t="s">
        <v>317</v>
      </c>
      <c r="B35">
        <v>2023</v>
      </c>
      <c r="C35">
        <v>831827.7</v>
      </c>
      <c r="D35" t="str">
        <f t="shared" si="0"/>
        <v>Georgia2023</v>
      </c>
      <c r="E35" t="s">
        <v>317</v>
      </c>
      <c r="F35">
        <v>2021</v>
      </c>
      <c r="G35">
        <v>110191</v>
      </c>
      <c r="H35">
        <v>6.3281001225478375E-2</v>
      </c>
      <c r="I35" t="str">
        <f t="shared" si="1"/>
        <v>Georgia2021</v>
      </c>
      <c r="J35" t="s">
        <v>349</v>
      </c>
      <c r="K35">
        <v>2021</v>
      </c>
      <c r="L35">
        <v>10.9</v>
      </c>
      <c r="M35" t="str">
        <f t="shared" si="2"/>
        <v>Hawaii2021</v>
      </c>
    </row>
    <row r="36" spans="1:13" x14ac:dyDescent="0.2">
      <c r="A36" t="str">
        <f>+A35</f>
        <v>Georgia</v>
      </c>
      <c r="B36">
        <v>2022</v>
      </c>
      <c r="C36">
        <v>779684</v>
      </c>
      <c r="D36" t="str">
        <f t="shared" si="0"/>
        <v>Georgia2022</v>
      </c>
      <c r="E36" t="s">
        <v>317</v>
      </c>
      <c r="F36">
        <v>2022</v>
      </c>
      <c r="G36">
        <v>114075</v>
      </c>
      <c r="H36">
        <v>3.5247887758528371E-2</v>
      </c>
      <c r="I36" t="str">
        <f t="shared" si="1"/>
        <v>Georgia2022</v>
      </c>
      <c r="J36" t="s">
        <v>349</v>
      </c>
      <c r="K36">
        <v>2022</v>
      </c>
      <c r="L36">
        <v>8.8000000000000007</v>
      </c>
      <c r="M36" t="str">
        <f t="shared" si="2"/>
        <v>Hawaii2022</v>
      </c>
    </row>
    <row r="37" spans="1:13" x14ac:dyDescent="0.2">
      <c r="A37" t="str">
        <f>+A36</f>
        <v>Georgia</v>
      </c>
      <c r="B37">
        <v>2021</v>
      </c>
      <c r="C37">
        <v>705546.7</v>
      </c>
      <c r="D37" t="str">
        <f t="shared" si="0"/>
        <v>Georgia2021</v>
      </c>
      <c r="E37" t="s">
        <v>317</v>
      </c>
      <c r="F37">
        <v>2023</v>
      </c>
      <c r="G37">
        <v>116221</v>
      </c>
      <c r="H37">
        <v>1.8812184966031119E-2</v>
      </c>
      <c r="I37" t="str">
        <f t="shared" si="1"/>
        <v>Georgia2023</v>
      </c>
      <c r="J37" t="s">
        <v>349</v>
      </c>
      <c r="K37">
        <v>2023</v>
      </c>
      <c r="L37">
        <v>8.1999999999999993</v>
      </c>
      <c r="M37" t="str">
        <f t="shared" si="2"/>
        <v>Hawaii2023</v>
      </c>
    </row>
    <row r="38" spans="1:13" x14ac:dyDescent="0.2">
      <c r="A38" t="s">
        <v>1383</v>
      </c>
      <c r="B38">
        <v>2023</v>
      </c>
      <c r="C38">
        <v>3584948.6</v>
      </c>
      <c r="D38" t="str">
        <f t="shared" si="0"/>
        <v>Great Lakes2023</v>
      </c>
      <c r="E38" t="s">
        <v>1383</v>
      </c>
      <c r="F38">
        <v>2021</v>
      </c>
      <c r="G38">
        <v>104823</v>
      </c>
      <c r="H38">
        <v>5.6140492287231364E-2</v>
      </c>
      <c r="I38" t="str">
        <f t="shared" si="1"/>
        <v>Great Lakes2021</v>
      </c>
      <c r="J38" t="s">
        <v>377</v>
      </c>
      <c r="K38">
        <v>2021</v>
      </c>
      <c r="L38">
        <v>9.3000000000000007</v>
      </c>
      <c r="M38" t="str">
        <f t="shared" si="2"/>
        <v>Idaho2021</v>
      </c>
    </row>
    <row r="39" spans="1:13" x14ac:dyDescent="0.2">
      <c r="A39" t="str">
        <f>+A38</f>
        <v>Great Lakes</v>
      </c>
      <c r="B39">
        <v>2022</v>
      </c>
      <c r="C39">
        <v>3374137.4</v>
      </c>
      <c r="D39" t="str">
        <f t="shared" si="0"/>
        <v>Great Lakes2022</v>
      </c>
      <c r="E39" t="s">
        <v>1383</v>
      </c>
      <c r="F39">
        <v>2022</v>
      </c>
      <c r="G39">
        <v>106922</v>
      </c>
      <c r="H39">
        <v>2.002423132327829E-2</v>
      </c>
      <c r="I39" t="str">
        <f t="shared" si="1"/>
        <v>Great Lakes2022</v>
      </c>
      <c r="J39" t="s">
        <v>377</v>
      </c>
      <c r="K39">
        <v>2022</v>
      </c>
      <c r="L39">
        <v>8.1999999999999993</v>
      </c>
      <c r="M39" t="str">
        <f t="shared" si="2"/>
        <v>Idaho2022</v>
      </c>
    </row>
    <row r="40" spans="1:13" x14ac:dyDescent="0.2">
      <c r="A40" t="str">
        <f>+A39</f>
        <v>Great Lakes</v>
      </c>
      <c r="B40">
        <v>2021</v>
      </c>
      <c r="C40">
        <v>3080232.8</v>
      </c>
      <c r="D40" t="str">
        <f t="shared" si="0"/>
        <v>Great Lakes2021</v>
      </c>
      <c r="E40" t="s">
        <v>1383</v>
      </c>
      <c r="F40">
        <v>2023</v>
      </c>
      <c r="G40">
        <v>108571</v>
      </c>
      <c r="H40">
        <v>1.5422457492377622E-2</v>
      </c>
      <c r="I40" t="str">
        <f t="shared" si="1"/>
        <v>Great Lakes2023</v>
      </c>
      <c r="J40" t="s">
        <v>377</v>
      </c>
      <c r="K40">
        <v>2023</v>
      </c>
      <c r="L40">
        <v>9.1</v>
      </c>
      <c r="M40" t="str">
        <f t="shared" si="2"/>
        <v>Idaho2023</v>
      </c>
    </row>
    <row r="41" spans="1:13" x14ac:dyDescent="0.2">
      <c r="A41" t="s">
        <v>349</v>
      </c>
      <c r="B41">
        <v>2023</v>
      </c>
      <c r="C41">
        <v>110265.4</v>
      </c>
      <c r="D41" t="str">
        <f t="shared" si="0"/>
        <v>Hawaii2023</v>
      </c>
      <c r="E41" t="s">
        <v>349</v>
      </c>
      <c r="F41">
        <v>2021</v>
      </c>
      <c r="G41">
        <v>96537</v>
      </c>
      <c r="H41">
        <v>5.7221394778342385E-2</v>
      </c>
      <c r="I41" t="str">
        <f t="shared" si="1"/>
        <v>Hawaii2021</v>
      </c>
      <c r="J41" t="s">
        <v>408</v>
      </c>
      <c r="K41">
        <v>2021</v>
      </c>
      <c r="L41">
        <v>10.7</v>
      </c>
      <c r="M41" t="str">
        <f t="shared" si="2"/>
        <v>Illinois2021</v>
      </c>
    </row>
    <row r="42" spans="1:13" x14ac:dyDescent="0.2">
      <c r="A42" t="str">
        <f>+A41</f>
        <v>Hawaii</v>
      </c>
      <c r="B42">
        <v>2022</v>
      </c>
      <c r="C42">
        <v>103153.1</v>
      </c>
      <c r="D42" t="str">
        <f t="shared" si="0"/>
        <v>Hawaii2022</v>
      </c>
      <c r="E42" t="s">
        <v>349</v>
      </c>
      <c r="F42">
        <v>2022</v>
      </c>
      <c r="G42">
        <v>99373</v>
      </c>
      <c r="H42">
        <v>2.9377337186778128E-2</v>
      </c>
      <c r="I42" t="str">
        <f t="shared" si="1"/>
        <v>Hawaii2022</v>
      </c>
      <c r="J42" t="s">
        <v>408</v>
      </c>
      <c r="K42">
        <v>2022</v>
      </c>
      <c r="L42">
        <v>9.5</v>
      </c>
      <c r="M42" t="str">
        <f t="shared" si="2"/>
        <v>Illinois2022</v>
      </c>
    </row>
    <row r="43" spans="1:13" x14ac:dyDescent="0.2">
      <c r="A43" t="str">
        <f>+A42</f>
        <v>Hawaii</v>
      </c>
      <c r="B43">
        <v>2021</v>
      </c>
      <c r="C43">
        <v>93400.4</v>
      </c>
      <c r="D43" t="str">
        <f t="shared" si="0"/>
        <v>Hawaii2021</v>
      </c>
      <c r="E43" t="s">
        <v>349</v>
      </c>
      <c r="F43">
        <v>2023</v>
      </c>
      <c r="G43">
        <v>101347</v>
      </c>
      <c r="H43">
        <v>1.9864550733096516E-2</v>
      </c>
      <c r="I43" t="str">
        <f t="shared" si="1"/>
        <v>Hawaii2023</v>
      </c>
      <c r="J43" t="s">
        <v>408</v>
      </c>
      <c r="K43">
        <v>2023</v>
      </c>
      <c r="L43">
        <v>9.8000000000000007</v>
      </c>
      <c r="M43" t="str">
        <f t="shared" si="2"/>
        <v>Illinois2023</v>
      </c>
    </row>
    <row r="44" spans="1:13" x14ac:dyDescent="0.2">
      <c r="A44" t="s">
        <v>377</v>
      </c>
      <c r="B44">
        <v>2023</v>
      </c>
      <c r="C44">
        <v>120958.3</v>
      </c>
      <c r="D44" t="str">
        <f t="shared" si="0"/>
        <v>Idaho2023</v>
      </c>
      <c r="E44" t="s">
        <v>377</v>
      </c>
      <c r="F44">
        <v>2021</v>
      </c>
      <c r="G44">
        <v>121985</v>
      </c>
      <c r="H44">
        <v>7.5591648150107577E-2</v>
      </c>
      <c r="I44" t="str">
        <f t="shared" si="1"/>
        <v>Idaho2021</v>
      </c>
      <c r="J44" t="s">
        <v>435</v>
      </c>
      <c r="K44">
        <v>2021</v>
      </c>
      <c r="L44">
        <v>10.4</v>
      </c>
      <c r="M44" t="str">
        <f t="shared" si="2"/>
        <v>Indiana2021</v>
      </c>
    </row>
    <row r="45" spans="1:13" x14ac:dyDescent="0.2">
      <c r="A45" t="str">
        <f>+A44</f>
        <v>Idaho</v>
      </c>
      <c r="B45">
        <v>2022</v>
      </c>
      <c r="C45">
        <v>112290.1</v>
      </c>
      <c r="D45" t="str">
        <f t="shared" si="0"/>
        <v>Idaho2022</v>
      </c>
      <c r="E45" t="s">
        <v>377</v>
      </c>
      <c r="F45">
        <v>2022</v>
      </c>
      <c r="G45">
        <v>127379</v>
      </c>
      <c r="H45">
        <v>4.4218551461245238E-2</v>
      </c>
      <c r="I45" t="str">
        <f t="shared" si="1"/>
        <v>Idaho2022</v>
      </c>
      <c r="J45" t="s">
        <v>435</v>
      </c>
      <c r="K45">
        <v>2022</v>
      </c>
      <c r="L45">
        <v>10.4</v>
      </c>
      <c r="M45" t="str">
        <f t="shared" si="2"/>
        <v>Indiana2022</v>
      </c>
    </row>
    <row r="46" spans="1:13" x14ac:dyDescent="0.2">
      <c r="A46" t="str">
        <f>+A45</f>
        <v>Idaho</v>
      </c>
      <c r="B46">
        <v>2021</v>
      </c>
      <c r="C46">
        <v>99839.1</v>
      </c>
      <c r="D46" t="str">
        <f t="shared" si="0"/>
        <v>Idaho2021</v>
      </c>
      <c r="E46" t="s">
        <v>377</v>
      </c>
      <c r="F46">
        <v>2023</v>
      </c>
      <c r="G46">
        <v>131484</v>
      </c>
      <c r="H46">
        <v>3.2226662165663097E-2</v>
      </c>
      <c r="I46" t="str">
        <f t="shared" si="1"/>
        <v>Idaho2023</v>
      </c>
      <c r="J46" t="s">
        <v>435</v>
      </c>
      <c r="K46">
        <v>2023</v>
      </c>
      <c r="L46">
        <v>8.3000000000000007</v>
      </c>
      <c r="M46" t="str">
        <f t="shared" si="2"/>
        <v>Indiana2023</v>
      </c>
    </row>
    <row r="47" spans="1:13" x14ac:dyDescent="0.2">
      <c r="A47" t="s">
        <v>408</v>
      </c>
      <c r="B47">
        <v>2023</v>
      </c>
      <c r="C47">
        <v>1098346.1000000001</v>
      </c>
      <c r="D47" t="str">
        <f t="shared" si="0"/>
        <v>Illinois2023</v>
      </c>
      <c r="E47" t="s">
        <v>408</v>
      </c>
      <c r="F47">
        <v>2021</v>
      </c>
      <c r="G47">
        <v>102769</v>
      </c>
      <c r="H47">
        <v>5.6392175405774903E-2</v>
      </c>
      <c r="I47" t="str">
        <f t="shared" si="1"/>
        <v>Illinois2021</v>
      </c>
      <c r="J47" t="s">
        <v>462</v>
      </c>
      <c r="K47">
        <v>2021</v>
      </c>
      <c r="L47">
        <v>9.6999999999999993</v>
      </c>
      <c r="M47" t="str">
        <f t="shared" si="2"/>
        <v>Iowa2021</v>
      </c>
    </row>
    <row r="48" spans="1:13" x14ac:dyDescent="0.2">
      <c r="A48" t="str">
        <f>+A47</f>
        <v>Illinois</v>
      </c>
      <c r="B48">
        <v>2022</v>
      </c>
      <c r="C48">
        <v>1040353.3</v>
      </c>
      <c r="D48" t="str">
        <f t="shared" si="0"/>
        <v>Illinois2022</v>
      </c>
      <c r="E48" t="s">
        <v>408</v>
      </c>
      <c r="F48">
        <v>2022</v>
      </c>
      <c r="G48">
        <v>105248</v>
      </c>
      <c r="H48">
        <v>2.4122060154326695E-2</v>
      </c>
      <c r="I48" t="str">
        <f t="shared" si="1"/>
        <v>Illinois2022</v>
      </c>
      <c r="J48" t="s">
        <v>462</v>
      </c>
      <c r="K48">
        <v>2022</v>
      </c>
      <c r="L48">
        <v>9.4</v>
      </c>
      <c r="M48" t="str">
        <f t="shared" si="2"/>
        <v>Iowa2022</v>
      </c>
    </row>
    <row r="49" spans="1:13" x14ac:dyDescent="0.2">
      <c r="A49" t="str">
        <f>+A48</f>
        <v>Illinois</v>
      </c>
      <c r="B49">
        <v>2021</v>
      </c>
      <c r="C49">
        <v>946776.2</v>
      </c>
      <c r="D49" t="str">
        <f t="shared" si="0"/>
        <v>Illinois2021</v>
      </c>
      <c r="E49" t="s">
        <v>408</v>
      </c>
      <c r="F49">
        <v>2023</v>
      </c>
      <c r="G49">
        <v>106343</v>
      </c>
      <c r="H49">
        <v>1.0403998175737306E-2</v>
      </c>
      <c r="I49" t="str">
        <f t="shared" si="1"/>
        <v>Illinois2023</v>
      </c>
      <c r="J49" t="s">
        <v>462</v>
      </c>
      <c r="K49">
        <v>2023</v>
      </c>
      <c r="L49">
        <v>8</v>
      </c>
      <c r="M49" t="str">
        <f t="shared" si="2"/>
        <v>Iowa2023</v>
      </c>
    </row>
    <row r="50" spans="1:13" x14ac:dyDescent="0.2">
      <c r="A50" t="s">
        <v>435</v>
      </c>
      <c r="B50">
        <v>2023</v>
      </c>
      <c r="C50">
        <v>499503.1</v>
      </c>
      <c r="D50" t="str">
        <f t="shared" si="0"/>
        <v>Indiana2023</v>
      </c>
      <c r="E50" t="s">
        <v>435</v>
      </c>
      <c r="F50">
        <v>2021</v>
      </c>
      <c r="G50">
        <v>108275</v>
      </c>
      <c r="H50">
        <v>7.5971380304084263E-2</v>
      </c>
      <c r="I50" t="str">
        <f t="shared" si="1"/>
        <v>Indiana2021</v>
      </c>
      <c r="J50" t="s">
        <v>490</v>
      </c>
      <c r="K50">
        <v>2021</v>
      </c>
      <c r="L50">
        <v>7.1</v>
      </c>
      <c r="M50" t="str">
        <f t="shared" si="2"/>
        <v>Kansas2021</v>
      </c>
    </row>
    <row r="51" spans="1:13" x14ac:dyDescent="0.2">
      <c r="A51" t="str">
        <f>+A50</f>
        <v>Indiana</v>
      </c>
      <c r="B51">
        <v>2022</v>
      </c>
      <c r="C51">
        <v>473492.9</v>
      </c>
      <c r="D51" t="str">
        <f t="shared" si="0"/>
        <v>Indiana2022</v>
      </c>
      <c r="E51" t="s">
        <v>435</v>
      </c>
      <c r="F51">
        <v>2022</v>
      </c>
      <c r="G51">
        <v>111676</v>
      </c>
      <c r="H51">
        <v>3.1410759639806052E-2</v>
      </c>
      <c r="I51" t="str">
        <f t="shared" si="1"/>
        <v>Indiana2022</v>
      </c>
      <c r="J51" t="s">
        <v>490</v>
      </c>
      <c r="K51">
        <v>2022</v>
      </c>
      <c r="L51">
        <v>10.5</v>
      </c>
      <c r="M51" t="str">
        <f t="shared" si="2"/>
        <v>Kansas2022</v>
      </c>
    </row>
    <row r="52" spans="1:13" x14ac:dyDescent="0.2">
      <c r="A52" t="str">
        <f>+A51</f>
        <v>Indiana</v>
      </c>
      <c r="B52">
        <v>2021</v>
      </c>
      <c r="C52">
        <v>425863.8</v>
      </c>
      <c r="D52" t="str">
        <f t="shared" si="0"/>
        <v>Indiana2021</v>
      </c>
      <c r="E52" t="s">
        <v>435</v>
      </c>
      <c r="F52">
        <v>2023</v>
      </c>
      <c r="G52">
        <v>113077</v>
      </c>
      <c r="H52">
        <v>1.2545220101006484E-2</v>
      </c>
      <c r="I52" t="str">
        <f t="shared" si="1"/>
        <v>Indiana2023</v>
      </c>
      <c r="J52" t="s">
        <v>490</v>
      </c>
      <c r="K52">
        <v>2023</v>
      </c>
      <c r="L52">
        <v>8.8000000000000007</v>
      </c>
      <c r="M52" t="str">
        <f t="shared" si="2"/>
        <v>Kansas2023</v>
      </c>
    </row>
    <row r="53" spans="1:13" x14ac:dyDescent="0.2">
      <c r="A53" t="s">
        <v>462</v>
      </c>
      <c r="B53">
        <v>2023</v>
      </c>
      <c r="C53">
        <v>254032</v>
      </c>
      <c r="D53" t="str">
        <f t="shared" si="0"/>
        <v>Iowa2023</v>
      </c>
      <c r="E53" t="s">
        <v>462</v>
      </c>
      <c r="F53">
        <v>2021</v>
      </c>
      <c r="G53">
        <v>107493</v>
      </c>
      <c r="H53">
        <v>7.9528792656717612E-2</v>
      </c>
      <c r="I53" t="str">
        <f t="shared" si="1"/>
        <v>Iowa2021</v>
      </c>
      <c r="J53" t="s">
        <v>522</v>
      </c>
      <c r="K53">
        <v>2021</v>
      </c>
      <c r="L53">
        <v>16.2</v>
      </c>
      <c r="M53" t="str">
        <f t="shared" si="2"/>
        <v>Kentucky2021</v>
      </c>
    </row>
    <row r="54" spans="1:13" x14ac:dyDescent="0.2">
      <c r="A54" t="str">
        <f>+A53</f>
        <v>Iowa</v>
      </c>
      <c r="B54">
        <v>2022</v>
      </c>
      <c r="C54">
        <v>242752.9</v>
      </c>
      <c r="D54" t="str">
        <f t="shared" si="0"/>
        <v>Iowa2022</v>
      </c>
      <c r="E54" t="s">
        <v>462</v>
      </c>
      <c r="F54">
        <v>2022</v>
      </c>
      <c r="G54">
        <v>107725</v>
      </c>
      <c r="H54">
        <v>2.1582800740513335E-3</v>
      </c>
      <c r="I54" t="str">
        <f t="shared" si="1"/>
        <v>Iowa2022</v>
      </c>
      <c r="J54" t="s">
        <v>522</v>
      </c>
      <c r="K54">
        <v>2022</v>
      </c>
      <c r="L54">
        <v>17.100000000000001</v>
      </c>
      <c r="M54" t="str">
        <f t="shared" si="2"/>
        <v>Kentucky2022</v>
      </c>
    </row>
    <row r="55" spans="1:13" x14ac:dyDescent="0.2">
      <c r="A55" t="str">
        <f>+A54</f>
        <v>Iowa</v>
      </c>
      <c r="B55">
        <v>2021</v>
      </c>
      <c r="C55">
        <v>223870.9</v>
      </c>
      <c r="D55" t="str">
        <f t="shared" si="0"/>
        <v>Iowa2021</v>
      </c>
      <c r="E55" t="s">
        <v>462</v>
      </c>
      <c r="F55">
        <v>2023</v>
      </c>
      <c r="G55">
        <v>107977</v>
      </c>
      <c r="H55">
        <v>2.339289858435832E-3</v>
      </c>
      <c r="I55" t="str">
        <f t="shared" si="1"/>
        <v>Iowa2023</v>
      </c>
      <c r="J55" t="s">
        <v>522</v>
      </c>
      <c r="K55">
        <v>2023</v>
      </c>
      <c r="L55">
        <v>13.6</v>
      </c>
      <c r="M55" t="str">
        <f t="shared" si="2"/>
        <v>Kentucky2023</v>
      </c>
    </row>
    <row r="56" spans="1:13" x14ac:dyDescent="0.2">
      <c r="A56" t="s">
        <v>490</v>
      </c>
      <c r="B56">
        <v>2023</v>
      </c>
      <c r="C56">
        <v>228232.4</v>
      </c>
      <c r="D56" t="str">
        <f t="shared" si="0"/>
        <v>Kansas2023</v>
      </c>
      <c r="E56" t="s">
        <v>490</v>
      </c>
      <c r="F56">
        <v>2021</v>
      </c>
      <c r="G56">
        <v>103915</v>
      </c>
      <c r="H56">
        <v>2.8128462877948394E-2</v>
      </c>
      <c r="I56" t="str">
        <f t="shared" si="1"/>
        <v>Kansas2021</v>
      </c>
      <c r="J56" t="s">
        <v>551</v>
      </c>
      <c r="K56">
        <v>2021</v>
      </c>
      <c r="L56">
        <v>18.399999999999999</v>
      </c>
      <c r="M56" t="str">
        <f t="shared" si="2"/>
        <v>Louisiana2021</v>
      </c>
    </row>
    <row r="57" spans="1:13" x14ac:dyDescent="0.2">
      <c r="A57" t="str">
        <f>+A56</f>
        <v>Kansas</v>
      </c>
      <c r="B57">
        <v>2022</v>
      </c>
      <c r="C57">
        <v>212611.6</v>
      </c>
      <c r="D57" t="str">
        <f t="shared" si="0"/>
        <v>Kansas2022</v>
      </c>
      <c r="E57" t="s">
        <v>490</v>
      </c>
      <c r="F57">
        <v>2022</v>
      </c>
      <c r="G57">
        <v>106734</v>
      </c>
      <c r="H57">
        <v>2.7127941105711397E-2</v>
      </c>
      <c r="I57" t="str">
        <f t="shared" si="1"/>
        <v>Kansas2022</v>
      </c>
      <c r="J57" t="s">
        <v>551</v>
      </c>
      <c r="K57">
        <v>2022</v>
      </c>
      <c r="L57">
        <v>16.899999999999999</v>
      </c>
      <c r="M57" t="str">
        <f t="shared" si="2"/>
        <v>Louisiana2022</v>
      </c>
    </row>
    <row r="58" spans="1:13" x14ac:dyDescent="0.2">
      <c r="A58" t="str">
        <f>+A57</f>
        <v>Kansas</v>
      </c>
      <c r="B58">
        <v>2021</v>
      </c>
      <c r="C58">
        <v>191738.1</v>
      </c>
      <c r="D58" t="str">
        <f t="shared" si="0"/>
        <v>Kansas2021</v>
      </c>
      <c r="E58" t="s">
        <v>490</v>
      </c>
      <c r="F58">
        <v>2023</v>
      </c>
      <c r="G58">
        <v>110538</v>
      </c>
      <c r="H58">
        <v>3.5640002248580584E-2</v>
      </c>
      <c r="I58" t="str">
        <f t="shared" si="1"/>
        <v>Kansas2023</v>
      </c>
      <c r="J58" t="s">
        <v>551</v>
      </c>
      <c r="K58">
        <v>2023</v>
      </c>
      <c r="L58">
        <v>21.5</v>
      </c>
      <c r="M58" t="str">
        <f t="shared" si="2"/>
        <v>Louisiana2023</v>
      </c>
    </row>
    <row r="59" spans="1:13" x14ac:dyDescent="0.2">
      <c r="A59" t="s">
        <v>522</v>
      </c>
      <c r="B59">
        <v>2023</v>
      </c>
      <c r="C59">
        <v>279707.5</v>
      </c>
      <c r="D59" t="str">
        <f t="shared" si="0"/>
        <v>Kentucky2023</v>
      </c>
      <c r="E59" t="s">
        <v>522</v>
      </c>
      <c r="F59">
        <v>2021</v>
      </c>
      <c r="G59">
        <v>105683</v>
      </c>
      <c r="H59">
        <v>4.4081761689767934E-2</v>
      </c>
      <c r="I59" t="str">
        <f t="shared" si="1"/>
        <v>Kentucky2021</v>
      </c>
      <c r="J59" t="s">
        <v>578</v>
      </c>
      <c r="K59">
        <v>2021</v>
      </c>
      <c r="L59">
        <v>9.1</v>
      </c>
      <c r="M59" t="str">
        <f t="shared" si="2"/>
        <v>Maine2021</v>
      </c>
    </row>
    <row r="60" spans="1:13" x14ac:dyDescent="0.2">
      <c r="A60" t="str">
        <f>+A59</f>
        <v>Kentucky</v>
      </c>
      <c r="B60">
        <v>2022</v>
      </c>
      <c r="C60">
        <v>261540.7</v>
      </c>
      <c r="D60" t="str">
        <f t="shared" si="0"/>
        <v>Kentucky2022</v>
      </c>
      <c r="E60" t="s">
        <v>522</v>
      </c>
      <c r="F60">
        <v>2022</v>
      </c>
      <c r="G60">
        <v>107954</v>
      </c>
      <c r="H60">
        <v>2.1488791953294287E-2</v>
      </c>
      <c r="I60" t="str">
        <f t="shared" si="1"/>
        <v>Kentucky2022</v>
      </c>
      <c r="J60" t="s">
        <v>578</v>
      </c>
      <c r="K60">
        <v>2022</v>
      </c>
      <c r="L60">
        <v>9.6</v>
      </c>
      <c r="M60" t="str">
        <f t="shared" si="2"/>
        <v>Maine2022</v>
      </c>
    </row>
    <row r="61" spans="1:13" x14ac:dyDescent="0.2">
      <c r="A61" t="str">
        <f>+A60</f>
        <v>Kentucky</v>
      </c>
      <c r="B61">
        <v>2021</v>
      </c>
      <c r="C61">
        <v>238428.9</v>
      </c>
      <c r="D61" t="str">
        <f t="shared" si="0"/>
        <v>Kentucky2021</v>
      </c>
      <c r="E61" t="s">
        <v>522</v>
      </c>
      <c r="F61">
        <v>2023</v>
      </c>
      <c r="G61">
        <v>110244</v>
      </c>
      <c r="H61">
        <v>2.12127387591011E-2</v>
      </c>
      <c r="I61" t="str">
        <f t="shared" si="1"/>
        <v>Kentucky2023</v>
      </c>
      <c r="J61" t="s">
        <v>578</v>
      </c>
      <c r="K61">
        <v>2023</v>
      </c>
      <c r="L61">
        <v>7.4</v>
      </c>
      <c r="M61" t="str">
        <f t="shared" si="2"/>
        <v>Maine2023</v>
      </c>
    </row>
    <row r="62" spans="1:13" x14ac:dyDescent="0.2">
      <c r="A62" t="s">
        <v>551</v>
      </c>
      <c r="B62">
        <v>2023</v>
      </c>
      <c r="C62">
        <v>314988.59999999998</v>
      </c>
      <c r="D62" t="str">
        <f t="shared" si="0"/>
        <v>Louisiana2023</v>
      </c>
      <c r="E62" t="s">
        <v>551</v>
      </c>
      <c r="F62">
        <v>2021</v>
      </c>
      <c r="G62">
        <v>99170</v>
      </c>
      <c r="H62">
        <v>3.8820916785385066E-2</v>
      </c>
      <c r="I62" t="str">
        <f t="shared" si="1"/>
        <v>Louisiana2021</v>
      </c>
      <c r="J62" t="s">
        <v>599</v>
      </c>
      <c r="K62">
        <v>2021</v>
      </c>
      <c r="L62">
        <v>7.7</v>
      </c>
      <c r="M62" t="str">
        <f t="shared" si="2"/>
        <v>Maryland2021</v>
      </c>
    </row>
    <row r="63" spans="1:13" x14ac:dyDescent="0.2">
      <c r="A63" t="str">
        <f>+A62</f>
        <v>Louisiana</v>
      </c>
      <c r="B63">
        <v>2022</v>
      </c>
      <c r="C63">
        <v>298424.5</v>
      </c>
      <c r="D63" t="str">
        <f t="shared" si="0"/>
        <v>Louisiana2022</v>
      </c>
      <c r="E63" t="s">
        <v>551</v>
      </c>
      <c r="F63">
        <v>2022</v>
      </c>
      <c r="G63">
        <v>98759</v>
      </c>
      <c r="H63">
        <v>-4.1443985076131899E-3</v>
      </c>
      <c r="I63" t="str">
        <f t="shared" si="1"/>
        <v>Louisiana2022</v>
      </c>
      <c r="J63" t="s">
        <v>599</v>
      </c>
      <c r="K63">
        <v>2022</v>
      </c>
      <c r="L63">
        <v>8.6</v>
      </c>
      <c r="M63" t="str">
        <f t="shared" si="2"/>
        <v>Maryland2022</v>
      </c>
    </row>
    <row r="64" spans="1:13" x14ac:dyDescent="0.2">
      <c r="A64" t="str">
        <f>+A63</f>
        <v>Louisiana</v>
      </c>
      <c r="B64">
        <v>2021</v>
      </c>
      <c r="C64">
        <v>267263.59999999998</v>
      </c>
      <c r="D64" t="str">
        <f t="shared" si="0"/>
        <v>Louisiana2021</v>
      </c>
      <c r="E64" t="s">
        <v>551</v>
      </c>
      <c r="F64">
        <v>2023</v>
      </c>
      <c r="G64">
        <v>103663</v>
      </c>
      <c r="H64">
        <v>4.9656233862230274E-2</v>
      </c>
      <c r="I64" t="str">
        <f t="shared" si="1"/>
        <v>Louisiana2023</v>
      </c>
      <c r="J64" t="s">
        <v>599</v>
      </c>
      <c r="K64">
        <v>2023</v>
      </c>
      <c r="L64">
        <v>8.9</v>
      </c>
      <c r="M64" t="str">
        <f t="shared" si="2"/>
        <v>Maryland2023</v>
      </c>
    </row>
    <row r="65" spans="1:13" x14ac:dyDescent="0.2">
      <c r="A65" t="s">
        <v>578</v>
      </c>
      <c r="B65">
        <v>2023</v>
      </c>
      <c r="C65">
        <v>93270</v>
      </c>
      <c r="D65" t="str">
        <f t="shared" si="0"/>
        <v>Maine2023</v>
      </c>
      <c r="E65" t="s">
        <v>578</v>
      </c>
      <c r="F65">
        <v>2021</v>
      </c>
      <c r="G65">
        <v>112923</v>
      </c>
      <c r="H65">
        <v>5.535514018691589E-2</v>
      </c>
      <c r="I65" t="str">
        <f t="shared" si="1"/>
        <v>Maine2021</v>
      </c>
      <c r="J65" t="s">
        <v>628</v>
      </c>
      <c r="K65">
        <v>2021</v>
      </c>
      <c r="L65">
        <v>7.6</v>
      </c>
      <c r="M65" t="str">
        <f t="shared" si="2"/>
        <v>Massachusetts2021</v>
      </c>
    </row>
    <row r="66" spans="1:13" x14ac:dyDescent="0.2">
      <c r="A66" t="str">
        <f>+A65</f>
        <v>Maine</v>
      </c>
      <c r="B66">
        <v>2022</v>
      </c>
      <c r="C66">
        <v>86493.3</v>
      </c>
      <c r="D66" t="str">
        <f t="shared" si="0"/>
        <v>Maine2022</v>
      </c>
      <c r="E66" t="s">
        <v>578</v>
      </c>
      <c r="F66">
        <v>2022</v>
      </c>
      <c r="G66">
        <v>115929</v>
      </c>
      <c r="H66">
        <v>2.6619909141627481E-2</v>
      </c>
      <c r="I66" t="str">
        <f t="shared" si="1"/>
        <v>Maine2022</v>
      </c>
      <c r="J66" t="s">
        <v>628</v>
      </c>
      <c r="K66">
        <v>2022</v>
      </c>
      <c r="L66">
        <v>9.6</v>
      </c>
      <c r="M66" t="str">
        <f t="shared" si="2"/>
        <v>Massachusetts2022</v>
      </c>
    </row>
    <row r="67" spans="1:13" x14ac:dyDescent="0.2">
      <c r="A67" t="str">
        <f>+A66</f>
        <v>Maine</v>
      </c>
      <c r="B67">
        <v>2021</v>
      </c>
      <c r="C67">
        <v>79193.899999999994</v>
      </c>
      <c r="D67" t="str">
        <f t="shared" ref="D67:D130" si="3">+A67&amp;B67</f>
        <v>Maine2021</v>
      </c>
      <c r="E67" t="s">
        <v>578</v>
      </c>
      <c r="F67">
        <v>2023</v>
      </c>
      <c r="G67">
        <v>119357</v>
      </c>
      <c r="H67">
        <v>2.956982290884938E-2</v>
      </c>
      <c r="I67" t="str">
        <f t="shared" ref="I67:I130" si="4">+E67&amp;F67</f>
        <v>Maine2023</v>
      </c>
      <c r="J67" t="s">
        <v>628</v>
      </c>
      <c r="K67">
        <v>2023</v>
      </c>
      <c r="L67">
        <v>9.1</v>
      </c>
      <c r="M67" t="str">
        <f t="shared" ref="M67:M130" si="5">+J67&amp;K67</f>
        <v>Massachusetts2023</v>
      </c>
    </row>
    <row r="68" spans="1:13" x14ac:dyDescent="0.2">
      <c r="A68" t="s">
        <v>599</v>
      </c>
      <c r="B68">
        <v>2023</v>
      </c>
      <c r="C68">
        <v>515607.3</v>
      </c>
      <c r="D68" t="str">
        <f t="shared" si="3"/>
        <v>Maryland2023</v>
      </c>
      <c r="E68" t="s">
        <v>599</v>
      </c>
      <c r="F68">
        <v>2021</v>
      </c>
      <c r="G68">
        <v>101811</v>
      </c>
      <c r="H68">
        <v>4.6738292294247676E-2</v>
      </c>
      <c r="I68" t="str">
        <f t="shared" si="4"/>
        <v>Maryland2021</v>
      </c>
      <c r="J68" t="s">
        <v>658</v>
      </c>
      <c r="K68">
        <v>2021</v>
      </c>
      <c r="L68">
        <v>11.7</v>
      </c>
      <c r="M68" t="str">
        <f t="shared" si="5"/>
        <v>Michigan2021</v>
      </c>
    </row>
    <row r="69" spans="1:13" x14ac:dyDescent="0.2">
      <c r="A69" t="str">
        <f>+A68</f>
        <v>Maryland</v>
      </c>
      <c r="B69">
        <v>2022</v>
      </c>
      <c r="C69">
        <v>484907.6</v>
      </c>
      <c r="D69" t="str">
        <f t="shared" si="3"/>
        <v>Maryland2022</v>
      </c>
      <c r="E69" t="s">
        <v>599</v>
      </c>
      <c r="F69">
        <v>2022</v>
      </c>
      <c r="G69">
        <v>104176</v>
      </c>
      <c r="H69">
        <v>2.3229317067900324E-2</v>
      </c>
      <c r="I69" t="str">
        <f t="shared" si="4"/>
        <v>Maryland2022</v>
      </c>
      <c r="J69" t="s">
        <v>658</v>
      </c>
      <c r="K69">
        <v>2022</v>
      </c>
      <c r="L69">
        <v>12.1</v>
      </c>
      <c r="M69" t="str">
        <f t="shared" si="5"/>
        <v>Michigan2022</v>
      </c>
    </row>
    <row r="70" spans="1:13" x14ac:dyDescent="0.2">
      <c r="A70" t="str">
        <f>+A69</f>
        <v>Maryland</v>
      </c>
      <c r="B70">
        <v>2021</v>
      </c>
      <c r="C70">
        <v>447753.6</v>
      </c>
      <c r="D70" t="str">
        <f t="shared" si="3"/>
        <v>Maryland2021</v>
      </c>
      <c r="E70" t="s">
        <v>599</v>
      </c>
      <c r="F70">
        <v>2023</v>
      </c>
      <c r="G70">
        <v>105792</v>
      </c>
      <c r="H70">
        <v>1.5512210105974505E-2</v>
      </c>
      <c r="I70" t="str">
        <f t="shared" si="4"/>
        <v>Maryland2023</v>
      </c>
      <c r="J70" t="s">
        <v>658</v>
      </c>
      <c r="K70">
        <v>2023</v>
      </c>
      <c r="L70">
        <v>12.1</v>
      </c>
      <c r="M70" t="str">
        <f t="shared" si="5"/>
        <v>Michigan2023</v>
      </c>
    </row>
    <row r="71" spans="1:13" x14ac:dyDescent="0.2">
      <c r="A71" t="s">
        <v>628</v>
      </c>
      <c r="B71">
        <v>2023</v>
      </c>
      <c r="C71">
        <v>736296.3</v>
      </c>
      <c r="D71" t="str">
        <f t="shared" si="3"/>
        <v>Massachusetts2023</v>
      </c>
      <c r="E71" t="s">
        <v>628</v>
      </c>
      <c r="F71">
        <v>2021</v>
      </c>
      <c r="G71">
        <v>112409</v>
      </c>
      <c r="H71">
        <v>6.4579979164693629E-2</v>
      </c>
      <c r="I71" t="str">
        <f t="shared" si="4"/>
        <v>Massachusetts2021</v>
      </c>
      <c r="J71" t="s">
        <v>677</v>
      </c>
      <c r="K71">
        <v>2021</v>
      </c>
      <c r="L71">
        <v>6.9</v>
      </c>
      <c r="M71" t="str">
        <f t="shared" si="5"/>
        <v>Minnesota2021</v>
      </c>
    </row>
    <row r="72" spans="1:13" x14ac:dyDescent="0.2">
      <c r="A72" t="str">
        <f>+A71</f>
        <v>Massachusetts</v>
      </c>
      <c r="B72">
        <v>2022</v>
      </c>
      <c r="C72">
        <v>695612.1</v>
      </c>
      <c r="D72" t="str">
        <f t="shared" si="3"/>
        <v>Massachusetts2022</v>
      </c>
      <c r="E72" t="s">
        <v>628</v>
      </c>
      <c r="F72">
        <v>2022</v>
      </c>
      <c r="G72">
        <v>114699</v>
      </c>
      <c r="H72">
        <v>2.0372034267718778E-2</v>
      </c>
      <c r="I72" t="str">
        <f t="shared" si="4"/>
        <v>Massachusetts2022</v>
      </c>
      <c r="J72" t="s">
        <v>677</v>
      </c>
      <c r="K72">
        <v>2022</v>
      </c>
      <c r="L72">
        <v>7.6</v>
      </c>
      <c r="M72" t="str">
        <f t="shared" si="5"/>
        <v>Minnesota2022</v>
      </c>
    </row>
    <row r="73" spans="1:13" x14ac:dyDescent="0.2">
      <c r="A73" t="str">
        <f>+A72</f>
        <v>Massachusetts</v>
      </c>
      <c r="B73">
        <v>2021</v>
      </c>
      <c r="C73">
        <v>649511.4</v>
      </c>
      <c r="D73" t="str">
        <f t="shared" si="3"/>
        <v>Massachusetts2021</v>
      </c>
      <c r="E73" t="s">
        <v>628</v>
      </c>
      <c r="F73">
        <v>2023</v>
      </c>
      <c r="G73">
        <v>116105</v>
      </c>
      <c r="H73">
        <v>1.2258171387719161E-2</v>
      </c>
      <c r="I73" t="str">
        <f t="shared" si="4"/>
        <v>Massachusetts2023</v>
      </c>
      <c r="J73" t="s">
        <v>677</v>
      </c>
      <c r="K73">
        <v>2023</v>
      </c>
      <c r="L73">
        <v>7.2</v>
      </c>
      <c r="M73" t="str">
        <f t="shared" si="5"/>
        <v>Minnesota2023</v>
      </c>
    </row>
    <row r="74" spans="1:13" x14ac:dyDescent="0.2">
      <c r="A74" t="s">
        <v>658</v>
      </c>
      <c r="B74">
        <v>2023</v>
      </c>
      <c r="C74">
        <v>673818.1</v>
      </c>
      <c r="D74" t="str">
        <f t="shared" si="3"/>
        <v>Michigan2023</v>
      </c>
      <c r="E74" t="s">
        <v>658</v>
      </c>
      <c r="F74">
        <v>2021</v>
      </c>
      <c r="G74">
        <v>105005</v>
      </c>
      <c r="H74">
        <v>5.6760428722387159E-2</v>
      </c>
      <c r="I74" t="str">
        <f t="shared" si="4"/>
        <v>Michigan2021</v>
      </c>
      <c r="J74" t="s">
        <v>706</v>
      </c>
      <c r="K74">
        <v>2021</v>
      </c>
      <c r="L74">
        <v>17.399999999999999</v>
      </c>
      <c r="M74" t="str">
        <f t="shared" si="5"/>
        <v>Mississippi2021</v>
      </c>
    </row>
    <row r="75" spans="1:13" x14ac:dyDescent="0.2">
      <c r="A75" t="str">
        <f>+A74</f>
        <v>Michigan</v>
      </c>
      <c r="B75">
        <v>2022</v>
      </c>
      <c r="C75">
        <v>627009.1</v>
      </c>
      <c r="D75" t="str">
        <f t="shared" si="3"/>
        <v>Michigan2022</v>
      </c>
      <c r="E75" t="s">
        <v>658</v>
      </c>
      <c r="F75">
        <v>2022</v>
      </c>
      <c r="G75">
        <v>107646</v>
      </c>
      <c r="H75">
        <v>2.5151183276986809E-2</v>
      </c>
      <c r="I75" t="str">
        <f t="shared" si="4"/>
        <v>Michigan2022</v>
      </c>
      <c r="J75" t="s">
        <v>706</v>
      </c>
      <c r="K75">
        <v>2022</v>
      </c>
      <c r="L75">
        <v>18.399999999999999</v>
      </c>
      <c r="M75" t="str">
        <f t="shared" si="5"/>
        <v>Mississippi2022</v>
      </c>
    </row>
    <row r="76" spans="1:13" x14ac:dyDescent="0.2">
      <c r="A76" t="str">
        <f>+A75</f>
        <v>Michigan</v>
      </c>
      <c r="B76">
        <v>2021</v>
      </c>
      <c r="C76">
        <v>575116.4</v>
      </c>
      <c r="D76" t="str">
        <f t="shared" si="3"/>
        <v>Michigan2021</v>
      </c>
      <c r="E76" t="s">
        <v>658</v>
      </c>
      <c r="F76">
        <v>2023</v>
      </c>
      <c r="G76">
        <v>109732</v>
      </c>
      <c r="H76">
        <v>1.9378332683053712E-2</v>
      </c>
      <c r="I76" t="str">
        <f t="shared" si="4"/>
        <v>Michigan2023</v>
      </c>
      <c r="J76" t="s">
        <v>706</v>
      </c>
      <c r="K76">
        <v>2023</v>
      </c>
      <c r="L76">
        <v>16</v>
      </c>
      <c r="M76" t="str">
        <f t="shared" si="5"/>
        <v>Mississippi2023</v>
      </c>
    </row>
    <row r="77" spans="1:13" x14ac:dyDescent="0.2">
      <c r="A77" t="s">
        <v>1384</v>
      </c>
      <c r="B77">
        <v>2023</v>
      </c>
      <c r="C77">
        <v>4745213.4000000004</v>
      </c>
      <c r="D77" t="str">
        <f t="shared" si="3"/>
        <v>Mideast2023</v>
      </c>
      <c r="E77" t="s">
        <v>1384</v>
      </c>
      <c r="F77">
        <v>2021</v>
      </c>
      <c r="G77">
        <v>105217</v>
      </c>
      <c r="H77">
        <v>4.725835829957499E-2</v>
      </c>
      <c r="I77" t="str">
        <f t="shared" si="4"/>
        <v>Mideast2021</v>
      </c>
      <c r="J77" t="s">
        <v>731</v>
      </c>
      <c r="K77">
        <v>2021</v>
      </c>
      <c r="L77">
        <v>12.3</v>
      </c>
      <c r="M77" t="str">
        <f t="shared" si="5"/>
        <v>Missouri2021</v>
      </c>
    </row>
    <row r="78" spans="1:13" x14ac:dyDescent="0.2">
      <c r="A78" t="str">
        <f>+A77</f>
        <v>Mideast</v>
      </c>
      <c r="B78">
        <v>2022</v>
      </c>
      <c r="C78">
        <v>4474022.8</v>
      </c>
      <c r="D78" t="str">
        <f t="shared" si="3"/>
        <v>Mideast2022</v>
      </c>
      <c r="E78" t="s">
        <v>1384</v>
      </c>
      <c r="F78">
        <v>2022</v>
      </c>
      <c r="G78">
        <v>107285</v>
      </c>
      <c r="H78">
        <v>1.9654618550234277E-2</v>
      </c>
      <c r="I78" t="str">
        <f t="shared" si="4"/>
        <v>Mideast2022</v>
      </c>
      <c r="J78" t="s">
        <v>731</v>
      </c>
      <c r="K78">
        <v>2022</v>
      </c>
      <c r="L78">
        <v>11.4</v>
      </c>
      <c r="M78" t="str">
        <f t="shared" si="5"/>
        <v>Missouri2022</v>
      </c>
    </row>
    <row r="79" spans="1:13" x14ac:dyDescent="0.2">
      <c r="A79" t="str">
        <f>+A78</f>
        <v>Mideast</v>
      </c>
      <c r="B79">
        <v>2021</v>
      </c>
      <c r="C79">
        <v>4150649.2</v>
      </c>
      <c r="D79" t="str">
        <f t="shared" si="3"/>
        <v>Mideast2021</v>
      </c>
      <c r="E79" t="s">
        <v>1384</v>
      </c>
      <c r="F79">
        <v>2023</v>
      </c>
      <c r="G79">
        <v>109203</v>
      </c>
      <c r="H79">
        <v>1.7877615696509298E-2</v>
      </c>
      <c r="I79" t="str">
        <f t="shared" si="4"/>
        <v>Mideast2023</v>
      </c>
      <c r="J79" t="s">
        <v>731</v>
      </c>
      <c r="K79">
        <v>2023</v>
      </c>
      <c r="L79">
        <v>9.6999999999999993</v>
      </c>
      <c r="M79" t="str">
        <f t="shared" si="5"/>
        <v>Missouri2023</v>
      </c>
    </row>
    <row r="80" spans="1:13" x14ac:dyDescent="0.2">
      <c r="A80" t="s">
        <v>677</v>
      </c>
      <c r="B80">
        <v>2023</v>
      </c>
      <c r="C80">
        <v>483162.1</v>
      </c>
      <c r="D80" t="str">
        <f t="shared" si="3"/>
        <v>Minnesota2023</v>
      </c>
      <c r="E80" t="s">
        <v>677</v>
      </c>
      <c r="F80">
        <v>2021</v>
      </c>
      <c r="G80">
        <v>106547</v>
      </c>
      <c r="H80">
        <v>5.7265618798126541E-2</v>
      </c>
      <c r="I80" t="str">
        <f t="shared" si="4"/>
        <v>Minnesota2021</v>
      </c>
      <c r="J80" t="s">
        <v>758</v>
      </c>
      <c r="K80">
        <v>2021</v>
      </c>
      <c r="L80">
        <v>10.7</v>
      </c>
      <c r="M80" t="str">
        <f t="shared" si="5"/>
        <v>Montana2021</v>
      </c>
    </row>
    <row r="81" spans="1:13" x14ac:dyDescent="0.2">
      <c r="A81" t="str">
        <f>+A80</f>
        <v>Minnesota</v>
      </c>
      <c r="B81">
        <v>2022</v>
      </c>
      <c r="C81">
        <v>454992.8</v>
      </c>
      <c r="D81" t="str">
        <f t="shared" si="3"/>
        <v>Minnesota2022</v>
      </c>
      <c r="E81" t="s">
        <v>677</v>
      </c>
      <c r="F81">
        <v>2022</v>
      </c>
      <c r="G81">
        <v>108459</v>
      </c>
      <c r="H81">
        <v>1.7945132195181471E-2</v>
      </c>
      <c r="I81" t="str">
        <f t="shared" si="4"/>
        <v>Minnesota2022</v>
      </c>
      <c r="J81" t="s">
        <v>758</v>
      </c>
      <c r="K81">
        <v>2022</v>
      </c>
      <c r="L81">
        <v>10.4</v>
      </c>
      <c r="M81" t="str">
        <f t="shared" si="5"/>
        <v>Montana2022</v>
      </c>
    </row>
    <row r="82" spans="1:13" x14ac:dyDescent="0.2">
      <c r="A82" t="str">
        <f>+A81</f>
        <v>Minnesota</v>
      </c>
      <c r="B82">
        <v>2021</v>
      </c>
      <c r="C82">
        <v>416538.7</v>
      </c>
      <c r="D82" t="str">
        <f t="shared" si="3"/>
        <v>Minnesota2021</v>
      </c>
      <c r="E82" t="s">
        <v>677</v>
      </c>
      <c r="F82">
        <v>2023</v>
      </c>
      <c r="G82">
        <v>110201</v>
      </c>
      <c r="H82">
        <v>1.6061368812177873E-2</v>
      </c>
      <c r="I82" t="str">
        <f t="shared" si="4"/>
        <v>Minnesota2023</v>
      </c>
      <c r="J82" t="s">
        <v>758</v>
      </c>
      <c r="K82">
        <v>2023</v>
      </c>
      <c r="L82">
        <v>8.1</v>
      </c>
      <c r="M82" t="str">
        <f t="shared" si="5"/>
        <v>Montana2023</v>
      </c>
    </row>
    <row r="83" spans="1:13" x14ac:dyDescent="0.2">
      <c r="A83" t="s">
        <v>706</v>
      </c>
      <c r="B83">
        <v>2023</v>
      </c>
      <c r="C83">
        <v>151146.70000000001</v>
      </c>
      <c r="D83" t="str">
        <f t="shared" si="3"/>
        <v>Mississippi2023</v>
      </c>
      <c r="E83" t="s">
        <v>706</v>
      </c>
      <c r="F83">
        <v>2021</v>
      </c>
      <c r="G83">
        <v>104891</v>
      </c>
      <c r="H83">
        <v>4.851156560507007E-2</v>
      </c>
      <c r="I83" t="str">
        <f t="shared" si="4"/>
        <v>Mississippi2021</v>
      </c>
      <c r="J83" t="s">
        <v>787</v>
      </c>
      <c r="K83">
        <v>2021</v>
      </c>
      <c r="L83">
        <v>8.1</v>
      </c>
      <c r="M83" t="str">
        <f t="shared" si="5"/>
        <v>Nebraska2021</v>
      </c>
    </row>
    <row r="84" spans="1:13" x14ac:dyDescent="0.2">
      <c r="A84" t="str">
        <f>+A83</f>
        <v>Mississippi</v>
      </c>
      <c r="B84">
        <v>2022</v>
      </c>
      <c r="C84">
        <v>142762.29999999999</v>
      </c>
      <c r="D84" t="str">
        <f t="shared" si="3"/>
        <v>Mississippi2022</v>
      </c>
      <c r="E84" t="s">
        <v>706</v>
      </c>
      <c r="F84">
        <v>2022</v>
      </c>
      <c r="G84">
        <v>105691</v>
      </c>
      <c r="H84">
        <v>7.626965135235626E-3</v>
      </c>
      <c r="I84" t="str">
        <f t="shared" si="4"/>
        <v>Mississippi2022</v>
      </c>
      <c r="J84" t="s">
        <v>787</v>
      </c>
      <c r="K84">
        <v>2022</v>
      </c>
      <c r="L84">
        <v>7.9</v>
      </c>
      <c r="M84" t="str">
        <f t="shared" si="5"/>
        <v>Nebraska2022</v>
      </c>
    </row>
    <row r="85" spans="1:13" x14ac:dyDescent="0.2">
      <c r="A85" t="str">
        <f>+A84</f>
        <v>Mississippi</v>
      </c>
      <c r="B85">
        <v>2021</v>
      </c>
      <c r="C85">
        <v>129944.7</v>
      </c>
      <c r="D85" t="str">
        <f t="shared" si="3"/>
        <v>Mississippi2021</v>
      </c>
      <c r="E85" t="s">
        <v>706</v>
      </c>
      <c r="F85">
        <v>2023</v>
      </c>
      <c r="G85">
        <v>108403</v>
      </c>
      <c r="H85">
        <v>2.5659706124457143E-2</v>
      </c>
      <c r="I85" t="str">
        <f t="shared" si="4"/>
        <v>Mississippi2023</v>
      </c>
      <c r="J85" t="s">
        <v>787</v>
      </c>
      <c r="K85">
        <v>2023</v>
      </c>
      <c r="L85">
        <v>9.1999999999999993</v>
      </c>
      <c r="M85" t="str">
        <f t="shared" si="5"/>
        <v>Nebraska2023</v>
      </c>
    </row>
    <row r="86" spans="1:13" x14ac:dyDescent="0.2">
      <c r="A86" t="s">
        <v>731</v>
      </c>
      <c r="B86">
        <v>2023</v>
      </c>
      <c r="C86">
        <v>430114.4</v>
      </c>
      <c r="D86" t="str">
        <f t="shared" si="3"/>
        <v>Missouri2023</v>
      </c>
      <c r="E86" t="s">
        <v>731</v>
      </c>
      <c r="F86">
        <v>2021</v>
      </c>
      <c r="G86">
        <v>106524</v>
      </c>
      <c r="H86">
        <v>5.1528073916133621E-2</v>
      </c>
      <c r="I86" t="str">
        <f t="shared" si="4"/>
        <v>Missouri2021</v>
      </c>
      <c r="J86" t="s">
        <v>816</v>
      </c>
      <c r="K86">
        <v>2021</v>
      </c>
      <c r="L86">
        <v>12.8</v>
      </c>
      <c r="M86" t="str">
        <f t="shared" si="5"/>
        <v>Nevada2021</v>
      </c>
    </row>
    <row r="87" spans="1:13" x14ac:dyDescent="0.2">
      <c r="A87" t="str">
        <f>+A86</f>
        <v>Missouri</v>
      </c>
      <c r="B87">
        <v>2022</v>
      </c>
      <c r="C87">
        <v>400265.1</v>
      </c>
      <c r="D87" t="str">
        <f t="shared" si="3"/>
        <v>Missouri2022</v>
      </c>
      <c r="E87" t="s">
        <v>731</v>
      </c>
      <c r="F87">
        <v>2022</v>
      </c>
      <c r="G87">
        <v>109117</v>
      </c>
      <c r="H87">
        <v>2.4341932334497392E-2</v>
      </c>
      <c r="I87" t="str">
        <f t="shared" si="4"/>
        <v>Missouri2022</v>
      </c>
      <c r="J87" t="s">
        <v>816</v>
      </c>
      <c r="K87">
        <v>2022</v>
      </c>
      <c r="L87">
        <v>12</v>
      </c>
      <c r="M87" t="str">
        <f t="shared" si="5"/>
        <v>Nevada2022</v>
      </c>
    </row>
    <row r="88" spans="1:13" x14ac:dyDescent="0.2">
      <c r="A88" t="str">
        <f>+A87</f>
        <v>Missouri</v>
      </c>
      <c r="B88">
        <v>2021</v>
      </c>
      <c r="C88">
        <v>366441.5</v>
      </c>
      <c r="D88" t="str">
        <f t="shared" si="3"/>
        <v>Missouri2021</v>
      </c>
      <c r="E88" t="s">
        <v>731</v>
      </c>
      <c r="F88">
        <v>2023</v>
      </c>
      <c r="G88">
        <v>111955</v>
      </c>
      <c r="H88">
        <v>2.6008779566886919E-2</v>
      </c>
      <c r="I88" t="str">
        <f t="shared" si="4"/>
        <v>Missouri2023</v>
      </c>
      <c r="J88" t="s">
        <v>816</v>
      </c>
      <c r="K88">
        <v>2023</v>
      </c>
      <c r="L88">
        <v>13.9</v>
      </c>
      <c r="M88" t="str">
        <f t="shared" si="5"/>
        <v>Nevada2023</v>
      </c>
    </row>
    <row r="89" spans="1:13" x14ac:dyDescent="0.2">
      <c r="A89" t="s">
        <v>758</v>
      </c>
      <c r="B89">
        <v>2023</v>
      </c>
      <c r="C89">
        <v>73254.5</v>
      </c>
      <c r="D89" t="str">
        <f t="shared" si="3"/>
        <v>Montana2023</v>
      </c>
      <c r="E89" t="s">
        <v>758</v>
      </c>
      <c r="F89">
        <v>2021</v>
      </c>
      <c r="G89">
        <v>109971</v>
      </c>
      <c r="H89">
        <v>6.6468186622962264E-2</v>
      </c>
      <c r="I89" t="str">
        <f t="shared" si="4"/>
        <v>Montana2021</v>
      </c>
      <c r="J89" t="s">
        <v>841</v>
      </c>
      <c r="K89">
        <v>2021</v>
      </c>
      <c r="L89">
        <v>6.9</v>
      </c>
      <c r="M89" t="str">
        <f t="shared" si="5"/>
        <v>New Hampshire2021</v>
      </c>
    </row>
    <row r="90" spans="1:13" x14ac:dyDescent="0.2">
      <c r="A90" t="str">
        <f>+A89</f>
        <v>Montana</v>
      </c>
      <c r="B90">
        <v>2022</v>
      </c>
      <c r="C90">
        <v>68702</v>
      </c>
      <c r="D90" t="str">
        <f t="shared" si="3"/>
        <v>Montana2022</v>
      </c>
      <c r="E90" t="s">
        <v>758</v>
      </c>
      <c r="F90">
        <v>2022</v>
      </c>
      <c r="G90">
        <v>113871</v>
      </c>
      <c r="H90">
        <v>3.5463895026870723E-2</v>
      </c>
      <c r="I90" t="str">
        <f t="shared" si="4"/>
        <v>Montana2022</v>
      </c>
      <c r="J90" t="s">
        <v>841</v>
      </c>
      <c r="K90">
        <v>2022</v>
      </c>
      <c r="L90">
        <v>8.3000000000000007</v>
      </c>
      <c r="M90" t="str">
        <f t="shared" si="5"/>
        <v>New Hampshire2022</v>
      </c>
    </row>
    <row r="91" spans="1:13" x14ac:dyDescent="0.2">
      <c r="A91" t="str">
        <f>+A90</f>
        <v>Montana</v>
      </c>
      <c r="B91">
        <v>2021</v>
      </c>
      <c r="C91">
        <v>60399.7</v>
      </c>
      <c r="D91" t="str">
        <f t="shared" si="3"/>
        <v>Montana2021</v>
      </c>
      <c r="E91" t="s">
        <v>758</v>
      </c>
      <c r="F91">
        <v>2023</v>
      </c>
      <c r="G91">
        <v>118367</v>
      </c>
      <c r="H91">
        <v>3.948327493391645E-2</v>
      </c>
      <c r="I91" t="str">
        <f t="shared" si="4"/>
        <v>Montana2023</v>
      </c>
      <c r="J91" t="s">
        <v>841</v>
      </c>
      <c r="K91">
        <v>2023</v>
      </c>
      <c r="L91">
        <v>6.1</v>
      </c>
      <c r="M91" t="str">
        <f t="shared" si="5"/>
        <v>New Hampshire2023</v>
      </c>
    </row>
    <row r="92" spans="1:13" x14ac:dyDescent="0.2">
      <c r="A92" t="s">
        <v>787</v>
      </c>
      <c r="B92">
        <v>2023</v>
      </c>
      <c r="C92">
        <v>181285</v>
      </c>
      <c r="D92" t="str">
        <f t="shared" si="3"/>
        <v>Nebraska2023</v>
      </c>
      <c r="E92" t="s">
        <v>787</v>
      </c>
      <c r="F92">
        <v>2021</v>
      </c>
      <c r="G92">
        <v>109511</v>
      </c>
      <c r="H92">
        <v>6.4733162863504223E-2</v>
      </c>
      <c r="I92" t="str">
        <f t="shared" si="4"/>
        <v>Nebraska2021</v>
      </c>
      <c r="J92" t="s">
        <v>858</v>
      </c>
      <c r="K92">
        <v>2021</v>
      </c>
      <c r="L92">
        <v>7.6</v>
      </c>
      <c r="M92" t="str">
        <f t="shared" si="5"/>
        <v>New Jersey2021</v>
      </c>
    </row>
    <row r="93" spans="1:13" x14ac:dyDescent="0.2">
      <c r="A93" t="str">
        <f>+A92</f>
        <v>Nebraska</v>
      </c>
      <c r="B93">
        <v>2022</v>
      </c>
      <c r="C93">
        <v>167480.20000000001</v>
      </c>
      <c r="D93" t="str">
        <f t="shared" si="3"/>
        <v>Nebraska2022</v>
      </c>
      <c r="E93" t="s">
        <v>787</v>
      </c>
      <c r="F93">
        <v>2022</v>
      </c>
      <c r="G93">
        <v>113164</v>
      </c>
      <c r="H93">
        <v>3.3357379623964713E-2</v>
      </c>
      <c r="I93" t="str">
        <f t="shared" si="4"/>
        <v>Nebraska2022</v>
      </c>
      <c r="J93" t="s">
        <v>858</v>
      </c>
      <c r="K93">
        <v>2022</v>
      </c>
      <c r="L93">
        <v>8.6999999999999993</v>
      </c>
      <c r="M93" t="str">
        <f t="shared" si="5"/>
        <v>New Jersey2022</v>
      </c>
    </row>
    <row r="94" spans="1:13" x14ac:dyDescent="0.2">
      <c r="A94" t="str">
        <f>+A93</f>
        <v>Nebraska</v>
      </c>
      <c r="B94">
        <v>2021</v>
      </c>
      <c r="C94">
        <v>150836.1</v>
      </c>
      <c r="D94" t="str">
        <f t="shared" si="3"/>
        <v>Nebraska2021</v>
      </c>
      <c r="E94" t="s">
        <v>787</v>
      </c>
      <c r="F94">
        <v>2023</v>
      </c>
      <c r="G94">
        <v>117692</v>
      </c>
      <c r="H94">
        <v>4.001272489484288E-2</v>
      </c>
      <c r="I94" t="str">
        <f t="shared" si="4"/>
        <v>Nebraska2023</v>
      </c>
      <c r="J94" t="s">
        <v>858</v>
      </c>
      <c r="K94">
        <v>2023</v>
      </c>
      <c r="L94">
        <v>9</v>
      </c>
      <c r="M94" t="str">
        <f t="shared" si="5"/>
        <v>New Jersey2023</v>
      </c>
    </row>
    <row r="95" spans="1:13" x14ac:dyDescent="0.2">
      <c r="A95" t="s">
        <v>816</v>
      </c>
      <c r="B95">
        <v>2023</v>
      </c>
      <c r="C95">
        <v>245978.8</v>
      </c>
      <c r="D95" t="str">
        <f t="shared" si="3"/>
        <v>Nevada2023</v>
      </c>
      <c r="E95" t="s">
        <v>816</v>
      </c>
      <c r="F95">
        <v>2021</v>
      </c>
      <c r="G95">
        <v>111811</v>
      </c>
      <c r="H95">
        <v>9.8739227420575254E-2</v>
      </c>
      <c r="I95" t="str">
        <f t="shared" si="4"/>
        <v>Nevada2021</v>
      </c>
      <c r="J95" t="s">
        <v>889</v>
      </c>
      <c r="K95">
        <v>2021</v>
      </c>
      <c r="L95">
        <v>18</v>
      </c>
      <c r="M95" t="str">
        <f t="shared" si="5"/>
        <v>New Mexico2021</v>
      </c>
    </row>
    <row r="96" spans="1:13" x14ac:dyDescent="0.2">
      <c r="A96" t="str">
        <f>+A95</f>
        <v>Nevada</v>
      </c>
      <c r="B96">
        <v>2022</v>
      </c>
      <c r="C96">
        <v>227320.6</v>
      </c>
      <c r="D96" t="str">
        <f t="shared" si="3"/>
        <v>Nevada2022</v>
      </c>
      <c r="E96" t="s">
        <v>816</v>
      </c>
      <c r="F96">
        <v>2022</v>
      </c>
      <c r="G96">
        <v>116706</v>
      </c>
      <c r="H96">
        <v>4.3779234601246747E-2</v>
      </c>
      <c r="I96" t="str">
        <f t="shared" si="4"/>
        <v>Nevada2022</v>
      </c>
      <c r="J96" t="s">
        <v>889</v>
      </c>
      <c r="K96">
        <v>2022</v>
      </c>
      <c r="L96">
        <v>20.2</v>
      </c>
      <c r="M96" t="str">
        <f t="shared" si="5"/>
        <v>New Mexico2022</v>
      </c>
    </row>
    <row r="97" spans="1:13" x14ac:dyDescent="0.2">
      <c r="A97" t="str">
        <f>+A96</f>
        <v>Nevada</v>
      </c>
      <c r="B97">
        <v>2021</v>
      </c>
      <c r="C97">
        <v>201705.7</v>
      </c>
      <c r="D97" t="str">
        <f t="shared" si="3"/>
        <v>Nevada2021</v>
      </c>
      <c r="E97" t="s">
        <v>816</v>
      </c>
      <c r="F97">
        <v>2023</v>
      </c>
      <c r="G97">
        <v>119735</v>
      </c>
      <c r="H97">
        <v>2.5954106901101913E-2</v>
      </c>
      <c r="I97" t="str">
        <f t="shared" si="4"/>
        <v>Nevada2023</v>
      </c>
      <c r="J97" t="s">
        <v>889</v>
      </c>
      <c r="K97">
        <v>2023</v>
      </c>
      <c r="L97">
        <v>17.3</v>
      </c>
      <c r="M97" t="str">
        <f t="shared" si="5"/>
        <v>New Mexico2023</v>
      </c>
    </row>
    <row r="98" spans="1:13" x14ac:dyDescent="0.2">
      <c r="A98" t="s">
        <v>1385</v>
      </c>
      <c r="B98">
        <v>2023</v>
      </c>
      <c r="C98">
        <v>1410686.8</v>
      </c>
      <c r="D98" t="str">
        <f t="shared" si="3"/>
        <v>New England2023</v>
      </c>
      <c r="E98" t="s">
        <v>1385</v>
      </c>
      <c r="F98">
        <v>2021</v>
      </c>
      <c r="G98">
        <v>107862</v>
      </c>
      <c r="H98">
        <v>5.6279684669245461E-2</v>
      </c>
      <c r="I98" t="str">
        <f t="shared" si="4"/>
        <v>New England2021</v>
      </c>
      <c r="J98" t="s">
        <v>924</v>
      </c>
      <c r="K98">
        <v>2021</v>
      </c>
      <c r="L98">
        <v>12.5</v>
      </c>
      <c r="M98" t="str">
        <f t="shared" si="5"/>
        <v>New York2021</v>
      </c>
    </row>
    <row r="99" spans="1:13" x14ac:dyDescent="0.2">
      <c r="A99" t="str">
        <f>+A98</f>
        <v>New England</v>
      </c>
      <c r="B99">
        <v>2022</v>
      </c>
      <c r="C99">
        <v>1324160.7</v>
      </c>
      <c r="D99" t="str">
        <f t="shared" si="3"/>
        <v>New England2022</v>
      </c>
      <c r="E99" t="s">
        <v>1385</v>
      </c>
      <c r="F99">
        <v>2022</v>
      </c>
      <c r="G99">
        <v>110475</v>
      </c>
      <c r="H99">
        <v>2.4225399121099181E-2</v>
      </c>
      <c r="I99" t="str">
        <f t="shared" si="4"/>
        <v>New England2022</v>
      </c>
      <c r="J99" t="s">
        <v>924</v>
      </c>
      <c r="K99">
        <v>2022</v>
      </c>
      <c r="L99">
        <v>12.7</v>
      </c>
      <c r="M99" t="str">
        <f t="shared" si="5"/>
        <v>New York2022</v>
      </c>
    </row>
    <row r="100" spans="1:13" x14ac:dyDescent="0.2">
      <c r="A100" t="str">
        <f>+A99</f>
        <v>New England</v>
      </c>
      <c r="B100">
        <v>2021</v>
      </c>
      <c r="C100">
        <v>1229266.3999999999</v>
      </c>
      <c r="D100" t="str">
        <f t="shared" si="3"/>
        <v>New England2021</v>
      </c>
      <c r="E100" t="s">
        <v>1385</v>
      </c>
      <c r="F100">
        <v>2023</v>
      </c>
      <c r="G100">
        <v>112481</v>
      </c>
      <c r="H100">
        <v>1.8157954288300519E-2</v>
      </c>
      <c r="I100" t="str">
        <f t="shared" si="4"/>
        <v>New England2023</v>
      </c>
      <c r="J100" t="s">
        <v>924</v>
      </c>
      <c r="K100">
        <v>2023</v>
      </c>
      <c r="L100">
        <v>11</v>
      </c>
      <c r="M100" t="str">
        <f t="shared" si="5"/>
        <v>New York2023</v>
      </c>
    </row>
    <row r="101" spans="1:13" x14ac:dyDescent="0.2">
      <c r="A101" t="s">
        <v>841</v>
      </c>
      <c r="B101">
        <v>2023</v>
      </c>
      <c r="C101">
        <v>114100.8</v>
      </c>
      <c r="D101" t="str">
        <f t="shared" si="3"/>
        <v>New Hampshire2023</v>
      </c>
      <c r="E101" t="s">
        <v>841</v>
      </c>
      <c r="F101">
        <v>2021</v>
      </c>
      <c r="G101">
        <v>110803</v>
      </c>
      <c r="H101">
        <v>8.1743629795958214E-2</v>
      </c>
      <c r="I101" t="str">
        <f t="shared" si="4"/>
        <v>New Hampshire2021</v>
      </c>
      <c r="J101" t="s">
        <v>957</v>
      </c>
      <c r="K101">
        <v>2021</v>
      </c>
      <c r="L101">
        <v>11.8</v>
      </c>
      <c r="M101" t="str">
        <f t="shared" si="5"/>
        <v>North Carolina2021</v>
      </c>
    </row>
    <row r="102" spans="1:13" x14ac:dyDescent="0.2">
      <c r="A102" t="str">
        <f>+A101</f>
        <v>New Hampshire</v>
      </c>
      <c r="B102">
        <v>2022</v>
      </c>
      <c r="C102">
        <v>106488</v>
      </c>
      <c r="D102" t="str">
        <f t="shared" si="3"/>
        <v>New Hampshire2022</v>
      </c>
      <c r="E102" t="s">
        <v>841</v>
      </c>
      <c r="F102">
        <v>2022</v>
      </c>
      <c r="G102">
        <v>112610</v>
      </c>
      <c r="H102">
        <v>1.6308222701551401E-2</v>
      </c>
      <c r="I102" t="str">
        <f t="shared" si="4"/>
        <v>New Hampshire2022</v>
      </c>
      <c r="J102" t="s">
        <v>957</v>
      </c>
      <c r="K102">
        <v>2022</v>
      </c>
      <c r="L102">
        <v>14.2</v>
      </c>
      <c r="M102" t="str">
        <f t="shared" si="5"/>
        <v>North Carolina2022</v>
      </c>
    </row>
    <row r="103" spans="1:13" x14ac:dyDescent="0.2">
      <c r="A103" t="str">
        <f>+A102</f>
        <v>New Hampshire</v>
      </c>
      <c r="B103">
        <v>2021</v>
      </c>
      <c r="C103">
        <v>99092.6</v>
      </c>
      <c r="D103" t="str">
        <f t="shared" si="3"/>
        <v>New Hampshire2021</v>
      </c>
      <c r="E103" t="s">
        <v>841</v>
      </c>
      <c r="F103">
        <v>2023</v>
      </c>
      <c r="G103">
        <v>115136</v>
      </c>
      <c r="H103">
        <v>2.2431400408489476E-2</v>
      </c>
      <c r="I103" t="str">
        <f t="shared" si="4"/>
        <v>New Hampshire2023</v>
      </c>
      <c r="J103" t="s">
        <v>957</v>
      </c>
      <c r="K103">
        <v>2023</v>
      </c>
      <c r="L103">
        <v>13.6</v>
      </c>
      <c r="M103" t="str">
        <f t="shared" si="5"/>
        <v>North Carolina2023</v>
      </c>
    </row>
    <row r="104" spans="1:13" x14ac:dyDescent="0.2">
      <c r="A104" t="s">
        <v>858</v>
      </c>
      <c r="B104">
        <v>2023</v>
      </c>
      <c r="C104">
        <v>806665.2</v>
      </c>
      <c r="D104" t="str">
        <f t="shared" si="3"/>
        <v>New Jersey2023</v>
      </c>
      <c r="E104" t="s">
        <v>858</v>
      </c>
      <c r="F104">
        <v>2021</v>
      </c>
      <c r="G104">
        <v>107181</v>
      </c>
      <c r="H104">
        <v>5.9006610084083429E-2</v>
      </c>
      <c r="I104" t="str">
        <f t="shared" si="4"/>
        <v>New Jersey2021</v>
      </c>
      <c r="J104" t="s">
        <v>981</v>
      </c>
      <c r="K104">
        <v>2021</v>
      </c>
      <c r="L104">
        <v>8.5</v>
      </c>
      <c r="M104" t="str">
        <f t="shared" si="5"/>
        <v>North Dakota2021</v>
      </c>
    </row>
    <row r="105" spans="1:13" x14ac:dyDescent="0.2">
      <c r="A105" t="str">
        <f>+A104</f>
        <v>New Jersey</v>
      </c>
      <c r="B105">
        <v>2022</v>
      </c>
      <c r="C105">
        <v>758288.7</v>
      </c>
      <c r="D105" t="str">
        <f t="shared" si="3"/>
        <v>New Jersey2022</v>
      </c>
      <c r="E105" t="s">
        <v>858</v>
      </c>
      <c r="F105">
        <v>2022</v>
      </c>
      <c r="G105">
        <v>110193</v>
      </c>
      <c r="H105">
        <v>2.8101995689534524E-2</v>
      </c>
      <c r="I105" t="str">
        <f t="shared" si="4"/>
        <v>New Jersey2022</v>
      </c>
      <c r="J105" t="s">
        <v>981</v>
      </c>
      <c r="K105">
        <v>2022</v>
      </c>
      <c r="L105">
        <v>9.6999999999999993</v>
      </c>
      <c r="M105" t="str">
        <f t="shared" si="5"/>
        <v>North Dakota2022</v>
      </c>
    </row>
    <row r="106" spans="1:13" x14ac:dyDescent="0.2">
      <c r="A106" t="str">
        <f>+A105</f>
        <v>New Jersey</v>
      </c>
      <c r="B106">
        <v>2021</v>
      </c>
      <c r="C106">
        <v>695443.2</v>
      </c>
      <c r="D106" t="str">
        <f t="shared" si="3"/>
        <v>New Jersey2021</v>
      </c>
      <c r="E106" t="s">
        <v>858</v>
      </c>
      <c r="F106">
        <v>2023</v>
      </c>
      <c r="G106">
        <v>112507</v>
      </c>
      <c r="H106">
        <v>2.0999519025709436E-2</v>
      </c>
      <c r="I106" t="str">
        <f t="shared" si="4"/>
        <v>New Jersey2023</v>
      </c>
      <c r="J106" t="s">
        <v>981</v>
      </c>
      <c r="K106">
        <v>2023</v>
      </c>
      <c r="L106">
        <v>9.9</v>
      </c>
      <c r="M106" t="str">
        <f t="shared" si="5"/>
        <v>North Dakota2023</v>
      </c>
    </row>
    <row r="107" spans="1:13" x14ac:dyDescent="0.2">
      <c r="A107" t="s">
        <v>889</v>
      </c>
      <c r="B107">
        <v>2023</v>
      </c>
      <c r="C107">
        <v>135009.60000000001</v>
      </c>
      <c r="D107" t="str">
        <f t="shared" si="3"/>
        <v>New Mexico2023</v>
      </c>
      <c r="E107" t="s">
        <v>889</v>
      </c>
      <c r="F107">
        <v>2021</v>
      </c>
      <c r="G107">
        <v>108269</v>
      </c>
      <c r="H107">
        <v>3.375217216949606E-2</v>
      </c>
      <c r="I107" t="str">
        <f t="shared" si="4"/>
        <v>New Mexico2021</v>
      </c>
      <c r="J107" t="s">
        <v>999</v>
      </c>
      <c r="K107">
        <v>2021</v>
      </c>
      <c r="L107">
        <v>11.6</v>
      </c>
      <c r="M107" t="str">
        <f t="shared" si="5"/>
        <v>Ohio2021</v>
      </c>
    </row>
    <row r="108" spans="1:13" x14ac:dyDescent="0.2">
      <c r="A108" t="str">
        <f>+A107</f>
        <v>New Mexico</v>
      </c>
      <c r="B108">
        <v>2022</v>
      </c>
      <c r="C108">
        <v>128138.8</v>
      </c>
      <c r="D108" t="str">
        <f t="shared" si="3"/>
        <v>New Mexico2022</v>
      </c>
      <c r="E108" t="s">
        <v>889</v>
      </c>
      <c r="F108">
        <v>2022</v>
      </c>
      <c r="G108">
        <v>110827</v>
      </c>
      <c r="H108">
        <v>2.3626338102319223E-2</v>
      </c>
      <c r="I108" t="str">
        <f t="shared" si="4"/>
        <v>New Mexico2022</v>
      </c>
      <c r="J108" t="s">
        <v>999</v>
      </c>
      <c r="K108">
        <v>2022</v>
      </c>
      <c r="L108">
        <v>9.9</v>
      </c>
      <c r="M108" t="str">
        <f t="shared" si="5"/>
        <v>Ohio2022</v>
      </c>
    </row>
    <row r="109" spans="1:13" x14ac:dyDescent="0.2">
      <c r="A109" t="str">
        <f>+A108</f>
        <v>New Mexico</v>
      </c>
      <c r="B109">
        <v>2021</v>
      </c>
      <c r="C109">
        <v>112978.5</v>
      </c>
      <c r="D109" t="str">
        <f t="shared" si="3"/>
        <v>New Mexico2021</v>
      </c>
      <c r="E109" t="s">
        <v>889</v>
      </c>
      <c r="F109">
        <v>2023</v>
      </c>
      <c r="G109">
        <v>118360</v>
      </c>
      <c r="H109">
        <v>6.797080133902389E-2</v>
      </c>
      <c r="I109" t="str">
        <f t="shared" si="4"/>
        <v>New Mexico2023</v>
      </c>
      <c r="J109" t="s">
        <v>999</v>
      </c>
      <c r="K109">
        <v>2023</v>
      </c>
      <c r="L109">
        <v>11.1</v>
      </c>
      <c r="M109" t="str">
        <f t="shared" si="5"/>
        <v>Ohio2023</v>
      </c>
    </row>
    <row r="110" spans="1:13" x14ac:dyDescent="0.2">
      <c r="A110" t="s">
        <v>924</v>
      </c>
      <c r="B110">
        <v>2023</v>
      </c>
      <c r="C110">
        <v>2172009.6</v>
      </c>
      <c r="D110" t="str">
        <f t="shared" si="3"/>
        <v>New York2023</v>
      </c>
      <c r="E110" t="s">
        <v>924</v>
      </c>
      <c r="F110">
        <v>2021</v>
      </c>
      <c r="G110">
        <v>106858</v>
      </c>
      <c r="H110">
        <v>4.7956221559705005E-2</v>
      </c>
      <c r="I110" t="str">
        <f t="shared" si="4"/>
        <v>New York2021</v>
      </c>
      <c r="J110" t="s">
        <v>1014</v>
      </c>
      <c r="K110">
        <v>2021</v>
      </c>
      <c r="L110">
        <v>15.1</v>
      </c>
      <c r="M110" t="str">
        <f t="shared" si="5"/>
        <v>Oklahoma2021</v>
      </c>
    </row>
    <row r="111" spans="1:13" x14ac:dyDescent="0.2">
      <c r="A111" t="str">
        <f>+A110</f>
        <v>New York</v>
      </c>
      <c r="B111">
        <v>2022</v>
      </c>
      <c r="C111">
        <v>2052758.8</v>
      </c>
      <c r="D111" t="str">
        <f t="shared" si="3"/>
        <v>New York2022</v>
      </c>
      <c r="E111" t="s">
        <v>924</v>
      </c>
      <c r="F111">
        <v>2022</v>
      </c>
      <c r="G111">
        <v>108635</v>
      </c>
      <c r="H111">
        <v>1.6629545752306799E-2</v>
      </c>
      <c r="I111" t="str">
        <f t="shared" si="4"/>
        <v>New York2022</v>
      </c>
      <c r="J111" t="s">
        <v>1014</v>
      </c>
      <c r="K111">
        <v>2022</v>
      </c>
      <c r="L111">
        <v>16.899999999999999</v>
      </c>
      <c r="M111" t="str">
        <f t="shared" si="5"/>
        <v>Oklahoma2022</v>
      </c>
    </row>
    <row r="112" spans="1:13" x14ac:dyDescent="0.2">
      <c r="A112" t="str">
        <f>+A111</f>
        <v>New York</v>
      </c>
      <c r="B112">
        <v>2021</v>
      </c>
      <c r="C112">
        <v>1923413.3</v>
      </c>
      <c r="D112" t="str">
        <f t="shared" si="3"/>
        <v>New York2021</v>
      </c>
      <c r="E112" t="s">
        <v>924</v>
      </c>
      <c r="F112">
        <v>2023</v>
      </c>
      <c r="G112">
        <v>110242</v>
      </c>
      <c r="H112">
        <v>1.4792654301100014E-2</v>
      </c>
      <c r="I112" t="str">
        <f t="shared" si="4"/>
        <v>New York2023</v>
      </c>
      <c r="J112" t="s">
        <v>1014</v>
      </c>
      <c r="K112">
        <v>2023</v>
      </c>
      <c r="L112">
        <v>12.9</v>
      </c>
      <c r="M112" t="str">
        <f t="shared" si="5"/>
        <v>Oklahoma2023</v>
      </c>
    </row>
    <row r="113" spans="1:13" x14ac:dyDescent="0.2">
      <c r="A113" t="s">
        <v>957</v>
      </c>
      <c r="B113">
        <v>2023</v>
      </c>
      <c r="C113">
        <v>788103.2</v>
      </c>
      <c r="D113" t="str">
        <f t="shared" si="3"/>
        <v>North Carolina2023</v>
      </c>
      <c r="E113" t="s">
        <v>957</v>
      </c>
      <c r="F113">
        <v>2021</v>
      </c>
      <c r="G113">
        <v>109767</v>
      </c>
      <c r="H113">
        <v>6.3262815296989419E-2</v>
      </c>
      <c r="I113" t="str">
        <f t="shared" si="4"/>
        <v>North Carolina2021</v>
      </c>
      <c r="J113" t="s">
        <v>1040</v>
      </c>
      <c r="K113">
        <v>2021</v>
      </c>
      <c r="L113">
        <v>9.1999999999999993</v>
      </c>
      <c r="M113" t="str">
        <f t="shared" si="5"/>
        <v>Oregon2021</v>
      </c>
    </row>
    <row r="114" spans="1:13" x14ac:dyDescent="0.2">
      <c r="A114" t="str">
        <f>+A113</f>
        <v>North Carolina</v>
      </c>
      <c r="B114">
        <v>2022</v>
      </c>
      <c r="C114">
        <v>728498.7</v>
      </c>
      <c r="D114" t="str">
        <f t="shared" si="3"/>
        <v>North Carolina2022</v>
      </c>
      <c r="E114" t="s">
        <v>957</v>
      </c>
      <c r="F114">
        <v>2022</v>
      </c>
      <c r="G114">
        <v>113300</v>
      </c>
      <c r="H114">
        <v>3.2186358377290079E-2</v>
      </c>
      <c r="I114" t="str">
        <f t="shared" si="4"/>
        <v>North Carolina2022</v>
      </c>
      <c r="J114" t="s">
        <v>1040</v>
      </c>
      <c r="K114">
        <v>2022</v>
      </c>
      <c r="L114">
        <v>9.9</v>
      </c>
      <c r="M114" t="str">
        <f t="shared" si="5"/>
        <v>Oregon2022</v>
      </c>
    </row>
    <row r="115" spans="1:13" x14ac:dyDescent="0.2">
      <c r="A115" t="str">
        <f>+A114</f>
        <v>North Carolina</v>
      </c>
      <c r="B115">
        <v>2021</v>
      </c>
      <c r="C115">
        <v>662147.1</v>
      </c>
      <c r="D115" t="str">
        <f t="shared" si="3"/>
        <v>North Carolina2021</v>
      </c>
      <c r="E115" t="s">
        <v>957</v>
      </c>
      <c r="F115">
        <v>2023</v>
      </c>
      <c r="G115">
        <v>116689</v>
      </c>
      <c r="H115">
        <v>2.9911738746690203E-2</v>
      </c>
      <c r="I115" t="str">
        <f t="shared" si="4"/>
        <v>North Carolina2023</v>
      </c>
      <c r="J115" t="s">
        <v>1040</v>
      </c>
      <c r="K115">
        <v>2023</v>
      </c>
      <c r="L115">
        <v>10.3</v>
      </c>
      <c r="M115" t="str">
        <f t="shared" si="5"/>
        <v>Oregon2023</v>
      </c>
    </row>
    <row r="116" spans="1:13" x14ac:dyDescent="0.2">
      <c r="A116" t="s">
        <v>981</v>
      </c>
      <c r="B116">
        <v>2023</v>
      </c>
      <c r="C116">
        <v>76043.3</v>
      </c>
      <c r="D116" t="str">
        <f t="shared" si="3"/>
        <v>North Dakota2023</v>
      </c>
      <c r="E116" t="s">
        <v>981</v>
      </c>
      <c r="F116">
        <v>2021</v>
      </c>
      <c r="G116">
        <v>99804</v>
      </c>
      <c r="H116">
        <v>1.0182392356120569E-2</v>
      </c>
      <c r="I116" t="str">
        <f t="shared" si="4"/>
        <v>North Dakota2021</v>
      </c>
      <c r="J116" t="s">
        <v>1071</v>
      </c>
      <c r="K116">
        <v>2021</v>
      </c>
      <c r="L116">
        <v>10.8</v>
      </c>
      <c r="M116" t="str">
        <f t="shared" si="5"/>
        <v>Pennsylvania2021</v>
      </c>
    </row>
    <row r="117" spans="1:13" x14ac:dyDescent="0.2">
      <c r="A117" t="str">
        <f>+A116</f>
        <v>North Dakota</v>
      </c>
      <c r="B117">
        <v>2022</v>
      </c>
      <c r="C117">
        <v>73780</v>
      </c>
      <c r="D117" t="str">
        <f t="shared" si="3"/>
        <v>North Dakota2022</v>
      </c>
      <c r="E117" t="s">
        <v>981</v>
      </c>
      <c r="F117">
        <v>2022</v>
      </c>
      <c r="G117">
        <v>99041</v>
      </c>
      <c r="H117">
        <v>-7.6449841689711839E-3</v>
      </c>
      <c r="I117" t="str">
        <f t="shared" si="4"/>
        <v>North Dakota2022</v>
      </c>
      <c r="J117" t="s">
        <v>1071</v>
      </c>
      <c r="K117">
        <v>2022</v>
      </c>
      <c r="L117">
        <v>10.9</v>
      </c>
      <c r="M117" t="str">
        <f t="shared" si="5"/>
        <v>Pennsylvania2022</v>
      </c>
    </row>
    <row r="118" spans="1:13" x14ac:dyDescent="0.2">
      <c r="A118" t="str">
        <f>+A117</f>
        <v>North Dakota</v>
      </c>
      <c r="B118">
        <v>2021</v>
      </c>
      <c r="C118">
        <v>63838.5</v>
      </c>
      <c r="D118" t="str">
        <f t="shared" si="3"/>
        <v>North Dakota2021</v>
      </c>
      <c r="E118" t="s">
        <v>981</v>
      </c>
      <c r="F118">
        <v>2023</v>
      </c>
      <c r="G118">
        <v>106755</v>
      </c>
      <c r="H118">
        <v>7.7886935713492395E-2</v>
      </c>
      <c r="I118" t="str">
        <f t="shared" si="4"/>
        <v>North Dakota2023</v>
      </c>
      <c r="J118" t="s">
        <v>1071</v>
      </c>
      <c r="K118">
        <v>2023</v>
      </c>
      <c r="L118">
        <v>10.3</v>
      </c>
      <c r="M118" t="str">
        <f t="shared" si="5"/>
        <v>Pennsylvania2023</v>
      </c>
    </row>
    <row r="119" spans="1:13" x14ac:dyDescent="0.2">
      <c r="A119" t="s">
        <v>999</v>
      </c>
      <c r="B119">
        <v>2023</v>
      </c>
      <c r="C119">
        <v>884834.2</v>
      </c>
      <c r="D119" t="str">
        <f t="shared" si="3"/>
        <v>Ohio2023</v>
      </c>
      <c r="E119" t="s">
        <v>999</v>
      </c>
      <c r="F119">
        <v>2021</v>
      </c>
      <c r="G119">
        <v>105871</v>
      </c>
      <c r="H119">
        <v>5.3767828882540884E-2</v>
      </c>
      <c r="I119" t="str">
        <f t="shared" si="4"/>
        <v>Ohio2021</v>
      </c>
      <c r="J119" t="s">
        <v>1099</v>
      </c>
      <c r="K119">
        <v>2021</v>
      </c>
      <c r="L119">
        <v>9.4</v>
      </c>
      <c r="M119" t="str">
        <f t="shared" si="5"/>
        <v>Rhode Island2021</v>
      </c>
    </row>
    <row r="120" spans="1:13" x14ac:dyDescent="0.2">
      <c r="A120" t="str">
        <f>+A119</f>
        <v>Ohio</v>
      </c>
      <c r="B120">
        <v>2022</v>
      </c>
      <c r="C120">
        <v>832660.7</v>
      </c>
      <c r="D120" t="str">
        <f t="shared" si="3"/>
        <v>Ohio2022</v>
      </c>
      <c r="E120" t="s">
        <v>999</v>
      </c>
      <c r="F120">
        <v>2022</v>
      </c>
      <c r="G120">
        <v>106604</v>
      </c>
      <c r="H120">
        <v>6.9235201329920374E-3</v>
      </c>
      <c r="I120" t="str">
        <f t="shared" si="4"/>
        <v>Ohio2022</v>
      </c>
      <c r="J120" t="s">
        <v>1099</v>
      </c>
      <c r="K120">
        <v>2022</v>
      </c>
      <c r="L120">
        <v>8.4</v>
      </c>
      <c r="M120" t="str">
        <f t="shared" si="5"/>
        <v>Rhode Island2022</v>
      </c>
    </row>
    <row r="121" spans="1:13" x14ac:dyDescent="0.2">
      <c r="A121" t="str">
        <f>+A120</f>
        <v>Ohio</v>
      </c>
      <c r="B121">
        <v>2021</v>
      </c>
      <c r="C121">
        <v>763595.8</v>
      </c>
      <c r="D121" t="str">
        <f t="shared" si="3"/>
        <v>Ohio2021</v>
      </c>
      <c r="E121" t="s">
        <v>999</v>
      </c>
      <c r="F121">
        <v>2023</v>
      </c>
      <c r="G121">
        <v>108836</v>
      </c>
      <c r="H121">
        <v>2.0937300664140183E-2</v>
      </c>
      <c r="I121" t="str">
        <f t="shared" si="4"/>
        <v>Ohio2023</v>
      </c>
      <c r="J121" t="s">
        <v>1099</v>
      </c>
      <c r="K121">
        <v>2023</v>
      </c>
      <c r="L121">
        <v>8.9</v>
      </c>
      <c r="M121" t="str">
        <f t="shared" si="5"/>
        <v>Rhode Island2023</v>
      </c>
    </row>
    <row r="122" spans="1:13" x14ac:dyDescent="0.2">
      <c r="A122" t="s">
        <v>1014</v>
      </c>
      <c r="B122">
        <v>2023</v>
      </c>
      <c r="C122">
        <v>256689.4</v>
      </c>
      <c r="D122" t="str">
        <f t="shared" si="3"/>
        <v>Oklahoma2023</v>
      </c>
      <c r="E122" t="s">
        <v>1014</v>
      </c>
      <c r="F122">
        <v>2021</v>
      </c>
      <c r="G122">
        <v>100828</v>
      </c>
      <c r="H122">
        <v>1.3428215333896192E-2</v>
      </c>
      <c r="I122" t="str">
        <f t="shared" si="4"/>
        <v>Oklahoma2021</v>
      </c>
      <c r="J122" t="s">
        <v>1126</v>
      </c>
      <c r="K122">
        <v>2021</v>
      </c>
      <c r="L122">
        <v>13.7</v>
      </c>
      <c r="M122" t="str">
        <f t="shared" si="5"/>
        <v>South Carolina2021</v>
      </c>
    </row>
    <row r="123" spans="1:13" x14ac:dyDescent="0.2">
      <c r="A123" t="str">
        <f>+A122</f>
        <v>Oklahoma</v>
      </c>
      <c r="B123">
        <v>2022</v>
      </c>
      <c r="C123">
        <v>245976.2</v>
      </c>
      <c r="D123" t="str">
        <f t="shared" si="3"/>
        <v>Oklahoma2022</v>
      </c>
      <c r="E123" t="s">
        <v>1014</v>
      </c>
      <c r="F123">
        <v>2022</v>
      </c>
      <c r="G123">
        <v>100728</v>
      </c>
      <c r="H123">
        <v>-9.9178799539810362E-4</v>
      </c>
      <c r="I123" t="str">
        <f t="shared" si="4"/>
        <v>Oklahoma2022</v>
      </c>
      <c r="J123" t="s">
        <v>1126</v>
      </c>
      <c r="K123">
        <v>2022</v>
      </c>
      <c r="L123">
        <v>12.9</v>
      </c>
      <c r="M123" t="str">
        <f t="shared" si="5"/>
        <v>South Carolina2022</v>
      </c>
    </row>
    <row r="124" spans="1:13" x14ac:dyDescent="0.2">
      <c r="A124" t="str">
        <f>+A123</f>
        <v>Oklahoma</v>
      </c>
      <c r="B124">
        <v>2021</v>
      </c>
      <c r="C124">
        <v>217786.5</v>
      </c>
      <c r="D124" t="str">
        <f t="shared" si="3"/>
        <v>Oklahoma2021</v>
      </c>
      <c r="E124" t="s">
        <v>1014</v>
      </c>
      <c r="F124">
        <v>2023</v>
      </c>
      <c r="G124">
        <v>107990</v>
      </c>
      <c r="H124">
        <v>7.2095147327456116E-2</v>
      </c>
      <c r="I124" t="str">
        <f t="shared" si="4"/>
        <v>Oklahoma2023</v>
      </c>
      <c r="J124" t="s">
        <v>1126</v>
      </c>
      <c r="K124">
        <v>2023</v>
      </c>
      <c r="L124">
        <v>11.7</v>
      </c>
      <c r="M124" t="str">
        <f t="shared" si="5"/>
        <v>South Carolina2023</v>
      </c>
    </row>
    <row r="125" spans="1:13" x14ac:dyDescent="0.2">
      <c r="A125" t="s">
        <v>1040</v>
      </c>
      <c r="B125">
        <v>2023</v>
      </c>
      <c r="C125">
        <v>318884.09999999998</v>
      </c>
      <c r="D125" t="str">
        <f t="shared" si="3"/>
        <v>Oregon2023</v>
      </c>
      <c r="E125" t="s">
        <v>1040</v>
      </c>
      <c r="F125">
        <v>2021</v>
      </c>
      <c r="G125">
        <v>110992</v>
      </c>
      <c r="H125">
        <v>5.4335435823390836E-2</v>
      </c>
      <c r="I125" t="str">
        <f t="shared" si="4"/>
        <v>Oregon2021</v>
      </c>
      <c r="J125" t="s">
        <v>1151</v>
      </c>
      <c r="K125">
        <v>2021</v>
      </c>
      <c r="L125">
        <v>8.4</v>
      </c>
      <c r="M125" t="str">
        <f t="shared" si="5"/>
        <v>South Dakota2021</v>
      </c>
    </row>
    <row r="126" spans="1:13" x14ac:dyDescent="0.2">
      <c r="A126" t="str">
        <f>+A125</f>
        <v>Oregon</v>
      </c>
      <c r="B126">
        <v>2022</v>
      </c>
      <c r="C126">
        <v>298848</v>
      </c>
      <c r="D126" t="str">
        <f t="shared" si="3"/>
        <v>Oregon2022</v>
      </c>
      <c r="E126" t="s">
        <v>1040</v>
      </c>
      <c r="F126">
        <v>2022</v>
      </c>
      <c r="G126">
        <v>113536</v>
      </c>
      <c r="H126">
        <v>2.2920570851953294E-2</v>
      </c>
      <c r="I126" t="str">
        <f t="shared" si="4"/>
        <v>Oregon2022</v>
      </c>
      <c r="J126" t="s">
        <v>1151</v>
      </c>
      <c r="K126">
        <v>2022</v>
      </c>
      <c r="L126">
        <v>9.1</v>
      </c>
      <c r="M126" t="str">
        <f t="shared" si="5"/>
        <v>South Dakota2022</v>
      </c>
    </row>
    <row r="127" spans="1:13" x14ac:dyDescent="0.2">
      <c r="A127" t="str">
        <f>+A126</f>
        <v>Oregon</v>
      </c>
      <c r="B127">
        <v>2021</v>
      </c>
      <c r="C127">
        <v>275653.09999999998</v>
      </c>
      <c r="D127" t="str">
        <f t="shared" si="3"/>
        <v>Oregon2021</v>
      </c>
      <c r="E127" t="s">
        <v>1040</v>
      </c>
      <c r="F127">
        <v>2023</v>
      </c>
      <c r="G127">
        <v>116147</v>
      </c>
      <c r="H127">
        <v>2.2997111048478017E-2</v>
      </c>
      <c r="I127" t="str">
        <f t="shared" si="4"/>
        <v>Oregon2023</v>
      </c>
      <c r="J127" t="s">
        <v>1151</v>
      </c>
      <c r="K127">
        <v>2023</v>
      </c>
      <c r="L127">
        <v>7.5</v>
      </c>
      <c r="M127" t="str">
        <f t="shared" si="5"/>
        <v>South Dakota2023</v>
      </c>
    </row>
    <row r="128" spans="1:13" x14ac:dyDescent="0.2">
      <c r="A128" t="s">
        <v>1071</v>
      </c>
      <c r="B128">
        <v>2023</v>
      </c>
      <c r="C128">
        <v>976360.8</v>
      </c>
      <c r="D128" t="str">
        <f t="shared" si="3"/>
        <v>Pennsylvania2023</v>
      </c>
      <c r="E128" t="s">
        <v>1071</v>
      </c>
      <c r="F128">
        <v>2021</v>
      </c>
      <c r="G128">
        <v>101484</v>
      </c>
      <c r="H128">
        <v>3.9560754747905186E-2</v>
      </c>
      <c r="I128" t="str">
        <f t="shared" si="4"/>
        <v>Pennsylvania2021</v>
      </c>
      <c r="J128" t="s">
        <v>1172</v>
      </c>
      <c r="K128">
        <v>2021</v>
      </c>
      <c r="L128">
        <v>10.6</v>
      </c>
      <c r="M128" t="str">
        <f t="shared" si="5"/>
        <v>Tennessee2021</v>
      </c>
    </row>
    <row r="129" spans="1:13" x14ac:dyDescent="0.2">
      <c r="A129" t="str">
        <f>+A128</f>
        <v>Pennsylvania</v>
      </c>
      <c r="B129">
        <v>2022</v>
      </c>
      <c r="C129">
        <v>919741.1</v>
      </c>
      <c r="D129" t="str">
        <f t="shared" si="3"/>
        <v>Pennsylvania2022</v>
      </c>
      <c r="E129" t="s">
        <v>1071</v>
      </c>
      <c r="F129">
        <v>2022</v>
      </c>
      <c r="G129">
        <v>103320</v>
      </c>
      <c r="H129">
        <v>1.8091521816246896E-2</v>
      </c>
      <c r="I129" t="str">
        <f t="shared" si="4"/>
        <v>Pennsylvania2022</v>
      </c>
      <c r="J129" t="s">
        <v>1172</v>
      </c>
      <c r="K129">
        <v>2022</v>
      </c>
      <c r="L129">
        <v>10.5</v>
      </c>
      <c r="M129" t="str">
        <f t="shared" si="5"/>
        <v>Tennessee2022</v>
      </c>
    </row>
    <row r="130" spans="1:13" x14ac:dyDescent="0.2">
      <c r="A130" t="str">
        <f>+A129</f>
        <v>Pennsylvania</v>
      </c>
      <c r="B130">
        <v>2021</v>
      </c>
      <c r="C130">
        <v>844431.8</v>
      </c>
      <c r="D130" t="str">
        <f t="shared" si="3"/>
        <v>Pennsylvania2021</v>
      </c>
      <c r="E130" t="s">
        <v>1071</v>
      </c>
      <c r="F130">
        <v>2023</v>
      </c>
      <c r="G130">
        <v>105954</v>
      </c>
      <c r="H130">
        <v>2.5493612078977934E-2</v>
      </c>
      <c r="I130" t="str">
        <f t="shared" si="4"/>
        <v>Pennsylvania2023</v>
      </c>
      <c r="J130" t="s">
        <v>1172</v>
      </c>
      <c r="K130">
        <v>2023</v>
      </c>
      <c r="L130">
        <v>10.7</v>
      </c>
      <c r="M130" t="str">
        <f t="shared" si="5"/>
        <v>Tennessee2023</v>
      </c>
    </row>
    <row r="131" spans="1:13" x14ac:dyDescent="0.2">
      <c r="A131" t="s">
        <v>1386</v>
      </c>
      <c r="B131">
        <v>2023</v>
      </c>
      <c r="C131">
        <v>1726903.2</v>
      </c>
      <c r="D131" t="str">
        <f t="shared" ref="D131:D178" si="6">+A131&amp;B131</f>
        <v>Plains2023</v>
      </c>
      <c r="E131" t="s">
        <v>1386</v>
      </c>
      <c r="F131">
        <v>2021</v>
      </c>
      <c r="G131">
        <v>106376</v>
      </c>
      <c r="H131">
        <v>5.372850463586655E-2</v>
      </c>
      <c r="I131" t="str">
        <f t="shared" ref="I131:I178" si="7">+E131&amp;F131</f>
        <v>Plains2021</v>
      </c>
      <c r="J131" t="s">
        <v>1200</v>
      </c>
      <c r="K131">
        <v>2021</v>
      </c>
      <c r="L131">
        <v>13.5</v>
      </c>
      <c r="M131" t="str">
        <f t="shared" ref="M131:M178" si="8">+J131&amp;K131</f>
        <v>Texas2021</v>
      </c>
    </row>
    <row r="132" spans="1:13" x14ac:dyDescent="0.2">
      <c r="A132" t="str">
        <f>+A131</f>
        <v>Plains</v>
      </c>
      <c r="B132">
        <v>2022</v>
      </c>
      <c r="C132">
        <v>1620951.9</v>
      </c>
      <c r="D132" t="str">
        <f t="shared" si="6"/>
        <v>Plains2022</v>
      </c>
      <c r="E132" t="s">
        <v>1386</v>
      </c>
      <c r="F132">
        <v>2022</v>
      </c>
      <c r="G132">
        <v>108265</v>
      </c>
      <c r="H132">
        <v>1.7757764909378054E-2</v>
      </c>
      <c r="I132" t="str">
        <f t="shared" si="7"/>
        <v>Plains2022</v>
      </c>
      <c r="J132" t="s">
        <v>1200</v>
      </c>
      <c r="K132">
        <v>2022</v>
      </c>
      <c r="L132">
        <v>13.5</v>
      </c>
      <c r="M132" t="str">
        <f t="shared" si="8"/>
        <v>Texas2022</v>
      </c>
    </row>
    <row r="133" spans="1:13" x14ac:dyDescent="0.2">
      <c r="A133" t="str">
        <f>+A132</f>
        <v>Plains</v>
      </c>
      <c r="B133">
        <v>2021</v>
      </c>
      <c r="C133">
        <v>1476248.6</v>
      </c>
      <c r="D133" t="str">
        <f t="shared" si="6"/>
        <v>Plains2021</v>
      </c>
      <c r="E133" t="s">
        <v>1386</v>
      </c>
      <c r="F133">
        <v>2023</v>
      </c>
      <c r="G133">
        <v>110985</v>
      </c>
      <c r="H133">
        <v>2.5123539463353807E-2</v>
      </c>
      <c r="I133" t="str">
        <f t="shared" si="7"/>
        <v>Plains2023</v>
      </c>
      <c r="J133" t="s">
        <v>1200</v>
      </c>
      <c r="K133">
        <v>2023</v>
      </c>
      <c r="L133">
        <v>12.3</v>
      </c>
      <c r="M133" t="str">
        <f t="shared" si="8"/>
        <v>Texas2023</v>
      </c>
    </row>
    <row r="134" spans="1:13" x14ac:dyDescent="0.2">
      <c r="A134" t="s">
        <v>1099</v>
      </c>
      <c r="B134">
        <v>2023</v>
      </c>
      <c r="C134">
        <v>77573.899999999994</v>
      </c>
      <c r="D134" t="str">
        <f t="shared" si="6"/>
        <v>Rhode Island2023</v>
      </c>
      <c r="E134" t="s">
        <v>1099</v>
      </c>
      <c r="F134">
        <v>2021</v>
      </c>
      <c r="G134">
        <v>103457</v>
      </c>
      <c r="H134">
        <v>4.4165884478356093E-2</v>
      </c>
      <c r="I134" t="str">
        <f t="shared" si="7"/>
        <v>Rhode Island2021</v>
      </c>
      <c r="J134" t="s">
        <v>1394</v>
      </c>
      <c r="K134">
        <v>2021</v>
      </c>
      <c r="L134">
        <v>11.6</v>
      </c>
      <c r="M134" t="str">
        <f t="shared" si="8"/>
        <v>United States2021</v>
      </c>
    </row>
    <row r="135" spans="1:13" x14ac:dyDescent="0.2">
      <c r="A135" t="str">
        <f>+A134</f>
        <v>Rhode Island</v>
      </c>
      <c r="B135">
        <v>2022</v>
      </c>
      <c r="C135">
        <v>72869.2</v>
      </c>
      <c r="D135" t="str">
        <f t="shared" si="6"/>
        <v>Rhode Island2022</v>
      </c>
      <c r="E135" t="s">
        <v>1099</v>
      </c>
      <c r="F135">
        <v>2022</v>
      </c>
      <c r="G135">
        <v>105969</v>
      </c>
      <c r="H135">
        <v>2.4280619001130904E-2</v>
      </c>
      <c r="I135" t="str">
        <f t="shared" si="7"/>
        <v>Rhode Island2022</v>
      </c>
      <c r="J135" t="s">
        <v>1394</v>
      </c>
      <c r="K135">
        <v>2022</v>
      </c>
      <c r="L135">
        <v>11.5</v>
      </c>
      <c r="M135" t="str">
        <f t="shared" si="8"/>
        <v>United States2022</v>
      </c>
    </row>
    <row r="136" spans="1:13" x14ac:dyDescent="0.2">
      <c r="A136" t="str">
        <f>+A135</f>
        <v>Rhode Island</v>
      </c>
      <c r="B136">
        <v>2021</v>
      </c>
      <c r="C136">
        <v>67228.3</v>
      </c>
      <c r="D136" t="str">
        <f t="shared" si="6"/>
        <v>Rhode Island2021</v>
      </c>
      <c r="E136" t="s">
        <v>1099</v>
      </c>
      <c r="F136">
        <v>2023</v>
      </c>
      <c r="G136">
        <v>107666</v>
      </c>
      <c r="H136">
        <v>1.6014117336202095E-2</v>
      </c>
      <c r="I136" t="str">
        <f t="shared" si="7"/>
        <v>Rhode Island2023</v>
      </c>
      <c r="J136" t="s">
        <v>1394</v>
      </c>
      <c r="K136">
        <v>2023</v>
      </c>
      <c r="L136">
        <v>11.1</v>
      </c>
      <c r="M136" t="str">
        <f t="shared" si="8"/>
        <v>United States2023</v>
      </c>
    </row>
    <row r="137" spans="1:13" x14ac:dyDescent="0.2">
      <c r="A137" t="s">
        <v>1387</v>
      </c>
      <c r="B137">
        <v>2023</v>
      </c>
      <c r="C137">
        <v>1057159</v>
      </c>
      <c r="D137" t="str">
        <f t="shared" si="6"/>
        <v>Rocky Mountain2023</v>
      </c>
      <c r="E137" t="s">
        <v>1387</v>
      </c>
      <c r="F137">
        <v>2021</v>
      </c>
      <c r="G137">
        <v>116884</v>
      </c>
      <c r="H137">
        <v>7.0542763459178259E-2</v>
      </c>
      <c r="I137" t="str">
        <f t="shared" si="7"/>
        <v>Rocky Mountain2021</v>
      </c>
      <c r="J137" t="s">
        <v>1226</v>
      </c>
      <c r="K137">
        <v>2021</v>
      </c>
      <c r="L137">
        <v>7.9</v>
      </c>
      <c r="M137" t="str">
        <f t="shared" si="8"/>
        <v>Utah2021</v>
      </c>
    </row>
    <row r="138" spans="1:13" x14ac:dyDescent="0.2">
      <c r="A138" t="str">
        <f>+A137</f>
        <v>Rocky Mountain</v>
      </c>
      <c r="B138">
        <v>2022</v>
      </c>
      <c r="C138">
        <v>986528.2</v>
      </c>
      <c r="D138" t="str">
        <f t="shared" si="6"/>
        <v>Rocky Mountain2022</v>
      </c>
      <c r="E138" t="s">
        <v>1387</v>
      </c>
      <c r="F138">
        <v>2022</v>
      </c>
      <c r="G138">
        <v>120681</v>
      </c>
      <c r="H138">
        <v>3.2485199000718661E-2</v>
      </c>
      <c r="I138" t="str">
        <f t="shared" si="7"/>
        <v>Rocky Mountain2022</v>
      </c>
      <c r="J138" t="s">
        <v>1226</v>
      </c>
      <c r="K138">
        <v>2022</v>
      </c>
      <c r="L138">
        <v>6</v>
      </c>
      <c r="M138" t="str">
        <f t="shared" si="8"/>
        <v>Utah2022</v>
      </c>
    </row>
    <row r="139" spans="1:13" x14ac:dyDescent="0.2">
      <c r="A139" t="str">
        <f>+A138</f>
        <v>Rocky Mountain</v>
      </c>
      <c r="B139">
        <v>2021</v>
      </c>
      <c r="C139">
        <v>880955.5</v>
      </c>
      <c r="D139" t="str">
        <f t="shared" si="6"/>
        <v>Rocky Mountain2021</v>
      </c>
      <c r="E139" t="s">
        <v>1387</v>
      </c>
      <c r="F139">
        <v>2023</v>
      </c>
      <c r="G139">
        <v>125650</v>
      </c>
      <c r="H139">
        <v>4.1174667097554712E-2</v>
      </c>
      <c r="I139" t="str">
        <f t="shared" si="7"/>
        <v>Rocky Mountain2023</v>
      </c>
      <c r="J139" t="s">
        <v>1226</v>
      </c>
      <c r="K139">
        <v>2023</v>
      </c>
      <c r="L139">
        <v>6.3</v>
      </c>
      <c r="M139" t="str">
        <f t="shared" si="8"/>
        <v>Utah2023</v>
      </c>
    </row>
    <row r="140" spans="1:13" x14ac:dyDescent="0.2">
      <c r="A140" t="s">
        <v>1126</v>
      </c>
      <c r="B140">
        <v>2023</v>
      </c>
      <c r="C140">
        <v>327420.09999999998</v>
      </c>
      <c r="D140" t="str">
        <f t="shared" si="6"/>
        <v>South Carolina2023</v>
      </c>
      <c r="E140" t="s">
        <v>1126</v>
      </c>
      <c r="F140">
        <v>2021</v>
      </c>
      <c r="G140">
        <v>109253</v>
      </c>
      <c r="H140">
        <v>5.1794017694684856E-2</v>
      </c>
      <c r="I140" t="str">
        <f t="shared" si="7"/>
        <v>South Carolina2021</v>
      </c>
      <c r="J140" t="s">
        <v>1250</v>
      </c>
      <c r="K140">
        <v>2021</v>
      </c>
      <c r="L140">
        <v>7.5</v>
      </c>
      <c r="M140" t="str">
        <f t="shared" si="8"/>
        <v>Vermont2021</v>
      </c>
    </row>
    <row r="141" spans="1:13" x14ac:dyDescent="0.2">
      <c r="A141" t="str">
        <f>+A140</f>
        <v>South Carolina</v>
      </c>
      <c r="B141">
        <v>2022</v>
      </c>
      <c r="C141">
        <v>301945.09999999998</v>
      </c>
      <c r="D141" t="str">
        <f t="shared" si="6"/>
        <v>South Carolina2022</v>
      </c>
      <c r="E141" t="s">
        <v>1126</v>
      </c>
      <c r="F141">
        <v>2022</v>
      </c>
      <c r="G141">
        <v>113144</v>
      </c>
      <c r="H141">
        <v>3.5614582665922219E-2</v>
      </c>
      <c r="I141" t="str">
        <f t="shared" si="7"/>
        <v>South Carolina2022</v>
      </c>
      <c r="J141" t="s">
        <v>1250</v>
      </c>
      <c r="K141">
        <v>2022</v>
      </c>
      <c r="L141">
        <v>9</v>
      </c>
      <c r="M141" t="str">
        <f t="shared" si="8"/>
        <v>Vermont2022</v>
      </c>
    </row>
    <row r="142" spans="1:13" x14ac:dyDescent="0.2">
      <c r="A142" t="str">
        <f>+A141</f>
        <v>South Carolina</v>
      </c>
      <c r="B142">
        <v>2021</v>
      </c>
      <c r="C142">
        <v>272384.7</v>
      </c>
      <c r="D142" t="str">
        <f t="shared" si="6"/>
        <v>South Carolina2021</v>
      </c>
      <c r="E142" t="s">
        <v>1126</v>
      </c>
      <c r="F142">
        <v>2023</v>
      </c>
      <c r="G142">
        <v>116609</v>
      </c>
      <c r="H142">
        <v>3.0624690659690305E-2</v>
      </c>
      <c r="I142" t="str">
        <f t="shared" si="7"/>
        <v>South Carolina2023</v>
      </c>
      <c r="J142" t="s">
        <v>1250</v>
      </c>
      <c r="K142">
        <v>2023</v>
      </c>
      <c r="L142">
        <v>6.7</v>
      </c>
      <c r="M142" t="str">
        <f t="shared" si="8"/>
        <v>Vermont2023</v>
      </c>
    </row>
    <row r="143" spans="1:13" x14ac:dyDescent="0.2">
      <c r="A143" t="s">
        <v>1151</v>
      </c>
      <c r="B143">
        <v>2023</v>
      </c>
      <c r="C143">
        <v>74033.899999999994</v>
      </c>
      <c r="D143" t="str">
        <f t="shared" si="6"/>
        <v>South Dakota2023</v>
      </c>
      <c r="E143" t="s">
        <v>1151</v>
      </c>
      <c r="F143">
        <v>2021</v>
      </c>
      <c r="G143">
        <v>107558</v>
      </c>
      <c r="H143">
        <v>5.2025156740578449E-2</v>
      </c>
      <c r="I143" t="str">
        <f t="shared" si="7"/>
        <v>South Dakota2021</v>
      </c>
      <c r="J143" t="s">
        <v>1276</v>
      </c>
      <c r="K143">
        <v>2021</v>
      </c>
      <c r="L143">
        <v>9.8000000000000007</v>
      </c>
      <c r="M143" t="str">
        <f t="shared" si="8"/>
        <v>Virginia2021</v>
      </c>
    </row>
    <row r="144" spans="1:13" x14ac:dyDescent="0.2">
      <c r="A144" t="str">
        <f>+A143</f>
        <v>South Dakota</v>
      </c>
      <c r="B144">
        <v>2022</v>
      </c>
      <c r="C144">
        <v>69069.3</v>
      </c>
      <c r="D144" t="str">
        <f t="shared" si="6"/>
        <v>South Dakota2022</v>
      </c>
      <c r="E144" t="s">
        <v>1151</v>
      </c>
      <c r="F144">
        <v>2022</v>
      </c>
      <c r="G144">
        <v>107061</v>
      </c>
      <c r="H144">
        <v>-4.6207627512597858E-3</v>
      </c>
      <c r="I144" t="str">
        <f t="shared" si="7"/>
        <v>South Dakota2022</v>
      </c>
      <c r="J144" t="s">
        <v>1276</v>
      </c>
      <c r="K144">
        <v>2022</v>
      </c>
      <c r="L144">
        <v>8.3000000000000007</v>
      </c>
      <c r="M144" t="str">
        <f t="shared" si="8"/>
        <v>Virginia2022</v>
      </c>
    </row>
    <row r="145" spans="1:13" x14ac:dyDescent="0.2">
      <c r="A145" t="str">
        <f>+A144</f>
        <v>South Dakota</v>
      </c>
      <c r="B145">
        <v>2021</v>
      </c>
      <c r="C145">
        <v>62984.800000000003</v>
      </c>
      <c r="D145" t="str">
        <f t="shared" si="6"/>
        <v>South Dakota2021</v>
      </c>
      <c r="E145" t="s">
        <v>1151</v>
      </c>
      <c r="F145">
        <v>2023</v>
      </c>
      <c r="G145">
        <v>110966</v>
      </c>
      <c r="H145">
        <v>3.6474533210039135E-2</v>
      </c>
      <c r="I145" t="str">
        <f t="shared" si="7"/>
        <v>South Dakota2023</v>
      </c>
      <c r="J145" t="s">
        <v>1276</v>
      </c>
      <c r="K145">
        <v>2023</v>
      </c>
      <c r="L145">
        <v>9.4</v>
      </c>
      <c r="M145" t="str">
        <f t="shared" si="8"/>
        <v>Virginia2023</v>
      </c>
    </row>
    <row r="146" spans="1:13" x14ac:dyDescent="0.2">
      <c r="A146" t="s">
        <v>1388</v>
      </c>
      <c r="B146">
        <v>2023</v>
      </c>
      <c r="C146">
        <v>6122626.7000000002</v>
      </c>
      <c r="D146" t="str">
        <f t="shared" si="6"/>
        <v>Southeast2023</v>
      </c>
      <c r="E146" t="s">
        <v>1388</v>
      </c>
      <c r="F146">
        <v>2021</v>
      </c>
      <c r="G146">
        <v>110238</v>
      </c>
      <c r="H146">
        <v>6.7980352835178892E-2</v>
      </c>
      <c r="I146" t="str">
        <f t="shared" si="7"/>
        <v>Southeast2021</v>
      </c>
      <c r="J146" t="s">
        <v>1303</v>
      </c>
      <c r="K146">
        <v>2021</v>
      </c>
      <c r="L146">
        <v>7.7</v>
      </c>
      <c r="M146" t="str">
        <f t="shared" si="8"/>
        <v>Washington2021</v>
      </c>
    </row>
    <row r="147" spans="1:13" x14ac:dyDescent="0.2">
      <c r="A147" t="str">
        <f>+A146</f>
        <v>Southeast</v>
      </c>
      <c r="B147">
        <v>2022</v>
      </c>
      <c r="C147">
        <v>5685333.0999999996</v>
      </c>
      <c r="D147" t="str">
        <f t="shared" si="6"/>
        <v>Southeast2022</v>
      </c>
      <c r="E147" t="s">
        <v>1388</v>
      </c>
      <c r="F147">
        <v>2022</v>
      </c>
      <c r="G147">
        <v>114078</v>
      </c>
      <c r="H147">
        <v>3.483372339846514E-2</v>
      </c>
      <c r="I147" t="str">
        <f t="shared" si="7"/>
        <v>Southeast2022</v>
      </c>
      <c r="J147" t="s">
        <v>1303</v>
      </c>
      <c r="K147">
        <v>2022</v>
      </c>
      <c r="L147">
        <v>9</v>
      </c>
      <c r="M147" t="str">
        <f t="shared" si="8"/>
        <v>Washington2022</v>
      </c>
    </row>
    <row r="148" spans="1:13" x14ac:dyDescent="0.2">
      <c r="A148" t="str">
        <f>+A147</f>
        <v>Southeast</v>
      </c>
      <c r="B148">
        <v>2021</v>
      </c>
      <c r="C148">
        <v>5132905.4000000004</v>
      </c>
      <c r="D148" t="str">
        <f t="shared" si="6"/>
        <v>Southeast2021</v>
      </c>
      <c r="E148" t="s">
        <v>1388</v>
      </c>
      <c r="F148">
        <v>2023</v>
      </c>
      <c r="G148">
        <v>117640</v>
      </c>
      <c r="H148">
        <v>3.1224250074510424E-2</v>
      </c>
      <c r="I148" t="str">
        <f t="shared" si="7"/>
        <v>Southeast2023</v>
      </c>
      <c r="J148" t="s">
        <v>1303</v>
      </c>
      <c r="K148">
        <v>2023</v>
      </c>
      <c r="L148">
        <v>8.6999999999999993</v>
      </c>
      <c r="M148" t="str">
        <f t="shared" si="8"/>
        <v>Washington2023</v>
      </c>
    </row>
    <row r="149" spans="1:13" x14ac:dyDescent="0.2">
      <c r="A149" t="s">
        <v>1389</v>
      </c>
      <c r="B149">
        <v>2023</v>
      </c>
      <c r="C149">
        <v>3498332.5</v>
      </c>
      <c r="D149" t="str">
        <f t="shared" si="6"/>
        <v>Southwest2023</v>
      </c>
      <c r="E149" t="s">
        <v>1389</v>
      </c>
      <c r="F149">
        <v>2021</v>
      </c>
      <c r="G149">
        <v>112398</v>
      </c>
      <c r="H149">
        <v>5.822207995179543E-2</v>
      </c>
      <c r="I149" t="str">
        <f t="shared" si="7"/>
        <v>Southwest2021</v>
      </c>
      <c r="J149" t="s">
        <v>1323</v>
      </c>
      <c r="K149">
        <v>2021</v>
      </c>
      <c r="L149">
        <v>16.899999999999999</v>
      </c>
      <c r="M149" t="str">
        <f t="shared" si="8"/>
        <v>West Virginia2021</v>
      </c>
    </row>
    <row r="150" spans="1:13" x14ac:dyDescent="0.2">
      <c r="A150" t="str">
        <f>+A149</f>
        <v>Southwest</v>
      </c>
      <c r="B150">
        <v>2022</v>
      </c>
      <c r="C150">
        <v>3295092.2</v>
      </c>
      <c r="D150" t="str">
        <f t="shared" si="6"/>
        <v>Southwest2022</v>
      </c>
      <c r="E150" t="s">
        <v>1389</v>
      </c>
      <c r="F150">
        <v>2022</v>
      </c>
      <c r="G150">
        <v>116371</v>
      </c>
      <c r="H150">
        <v>3.5347604049894128E-2</v>
      </c>
      <c r="I150" t="str">
        <f t="shared" si="7"/>
        <v>Southwest2022</v>
      </c>
      <c r="J150" t="s">
        <v>1323</v>
      </c>
      <c r="K150">
        <v>2022</v>
      </c>
      <c r="L150">
        <v>15.5</v>
      </c>
      <c r="M150" t="str">
        <f t="shared" si="8"/>
        <v>West Virginia2022</v>
      </c>
    </row>
    <row r="151" spans="1:13" x14ac:dyDescent="0.2">
      <c r="A151" t="str">
        <f>+A150</f>
        <v>Southwest</v>
      </c>
      <c r="B151">
        <v>2021</v>
      </c>
      <c r="C151">
        <v>2856515.9</v>
      </c>
      <c r="D151" t="str">
        <f t="shared" si="6"/>
        <v>Southwest2021</v>
      </c>
      <c r="E151" t="s">
        <v>1389</v>
      </c>
      <c r="F151">
        <v>2023</v>
      </c>
      <c r="G151">
        <v>124164</v>
      </c>
      <c r="H151">
        <v>6.6966856003643521E-2</v>
      </c>
      <c r="I151" t="str">
        <f t="shared" si="7"/>
        <v>Southwest2023</v>
      </c>
      <c r="J151" t="s">
        <v>1323</v>
      </c>
      <c r="K151">
        <v>2023</v>
      </c>
      <c r="L151">
        <v>13.3</v>
      </c>
      <c r="M151" t="str">
        <f t="shared" si="8"/>
        <v>West Virginia2023</v>
      </c>
    </row>
    <row r="152" spans="1:13" x14ac:dyDescent="0.2">
      <c r="A152" t="s">
        <v>1172</v>
      </c>
      <c r="B152">
        <v>2023</v>
      </c>
      <c r="C152">
        <v>523031.6</v>
      </c>
      <c r="D152" t="str">
        <f t="shared" si="6"/>
        <v>Tennessee2023</v>
      </c>
      <c r="E152" t="s">
        <v>1172</v>
      </c>
      <c r="F152">
        <v>2021</v>
      </c>
      <c r="G152">
        <v>112612</v>
      </c>
      <c r="H152">
        <v>8.8017622847867669E-2</v>
      </c>
      <c r="I152" t="str">
        <f t="shared" si="7"/>
        <v>Tennessee2021</v>
      </c>
      <c r="J152" t="s">
        <v>1343</v>
      </c>
      <c r="K152">
        <v>2021</v>
      </c>
      <c r="L152">
        <v>9.3000000000000007</v>
      </c>
      <c r="M152" t="str">
        <f t="shared" si="8"/>
        <v>Wisconsin2021</v>
      </c>
    </row>
    <row r="153" spans="1:13" x14ac:dyDescent="0.2">
      <c r="A153" t="str">
        <f>+A152</f>
        <v>Tennessee</v>
      </c>
      <c r="B153">
        <v>2022</v>
      </c>
      <c r="C153">
        <v>488670.1</v>
      </c>
      <c r="D153" t="str">
        <f t="shared" si="6"/>
        <v>Tennessee2022</v>
      </c>
      <c r="E153" t="s">
        <v>1172</v>
      </c>
      <c r="F153">
        <v>2022</v>
      </c>
      <c r="G153">
        <v>116615</v>
      </c>
      <c r="H153">
        <v>3.5546833374773559E-2</v>
      </c>
      <c r="I153" t="str">
        <f t="shared" si="7"/>
        <v>Tennessee2022</v>
      </c>
      <c r="J153" t="s">
        <v>1343</v>
      </c>
      <c r="K153">
        <v>2022</v>
      </c>
      <c r="L153">
        <v>6.6</v>
      </c>
      <c r="M153" t="str">
        <f t="shared" si="8"/>
        <v>Wisconsin2022</v>
      </c>
    </row>
    <row r="154" spans="1:13" x14ac:dyDescent="0.2">
      <c r="A154" t="str">
        <f>+A153</f>
        <v>Tennessee</v>
      </c>
      <c r="B154">
        <v>2021</v>
      </c>
      <c r="C154">
        <v>441952.5</v>
      </c>
      <c r="D154" t="str">
        <f t="shared" si="6"/>
        <v>Tennessee2021</v>
      </c>
      <c r="E154" t="s">
        <v>1172</v>
      </c>
      <c r="F154">
        <v>2023</v>
      </c>
      <c r="G154">
        <v>118758</v>
      </c>
      <c r="H154">
        <v>1.837670968571796E-2</v>
      </c>
      <c r="I154" t="str">
        <f t="shared" si="7"/>
        <v>Tennessee2023</v>
      </c>
      <c r="J154" t="s">
        <v>1343</v>
      </c>
      <c r="K154">
        <v>2023</v>
      </c>
      <c r="L154">
        <v>9.3000000000000007</v>
      </c>
      <c r="M154" t="str">
        <f t="shared" si="8"/>
        <v>Wisconsin2023</v>
      </c>
    </row>
    <row r="155" spans="1:13" x14ac:dyDescent="0.2">
      <c r="A155" t="s">
        <v>1200</v>
      </c>
      <c r="B155">
        <v>2023</v>
      </c>
      <c r="C155">
        <v>2583866.2000000002</v>
      </c>
      <c r="D155" t="str">
        <f t="shared" si="6"/>
        <v>Texas2023</v>
      </c>
      <c r="E155" t="s">
        <v>1200</v>
      </c>
      <c r="F155">
        <v>2021</v>
      </c>
      <c r="G155">
        <v>112702</v>
      </c>
      <c r="H155">
        <v>5.9448382184286226E-2</v>
      </c>
      <c r="I155" t="str">
        <f t="shared" si="7"/>
        <v>Texas2021</v>
      </c>
      <c r="J155" t="s">
        <v>1360</v>
      </c>
      <c r="K155">
        <v>2021</v>
      </c>
      <c r="L155">
        <v>9.4</v>
      </c>
      <c r="M155" t="str">
        <f t="shared" si="8"/>
        <v>Wyoming2021</v>
      </c>
    </row>
    <row r="156" spans="1:13" x14ac:dyDescent="0.2">
      <c r="A156" t="str">
        <f>+A155</f>
        <v>Texas</v>
      </c>
      <c r="B156">
        <v>2022</v>
      </c>
      <c r="C156">
        <v>2436925</v>
      </c>
      <c r="D156" t="str">
        <f t="shared" si="6"/>
        <v>Texas2022</v>
      </c>
      <c r="E156" t="s">
        <v>1200</v>
      </c>
      <c r="F156">
        <v>2022</v>
      </c>
      <c r="G156">
        <v>117117</v>
      </c>
      <c r="H156">
        <v>3.9174105162286386E-2</v>
      </c>
      <c r="I156" t="str">
        <f t="shared" si="7"/>
        <v>Texas2022</v>
      </c>
      <c r="J156" t="s">
        <v>1360</v>
      </c>
      <c r="K156">
        <v>2022</v>
      </c>
      <c r="L156">
        <v>7.1</v>
      </c>
      <c r="M156" t="str">
        <f t="shared" si="8"/>
        <v>Wyoming2022</v>
      </c>
    </row>
    <row r="157" spans="1:13" x14ac:dyDescent="0.2">
      <c r="A157" t="str">
        <f>+A156</f>
        <v>Texas</v>
      </c>
      <c r="B157">
        <v>2021</v>
      </c>
      <c r="C157">
        <v>2088972.3</v>
      </c>
      <c r="D157" t="str">
        <f t="shared" si="6"/>
        <v>Texas2021</v>
      </c>
      <c r="E157" t="s">
        <v>1200</v>
      </c>
      <c r="F157">
        <v>2023</v>
      </c>
      <c r="G157">
        <v>125777</v>
      </c>
      <c r="H157">
        <v>7.3943150866227783E-2</v>
      </c>
      <c r="I157" t="str">
        <f t="shared" si="7"/>
        <v>Texas2023</v>
      </c>
      <c r="J157" t="s">
        <v>1360</v>
      </c>
      <c r="K157">
        <v>2023</v>
      </c>
      <c r="L157">
        <v>9.4</v>
      </c>
      <c r="M157" t="str">
        <f t="shared" si="8"/>
        <v>Wyoming2023</v>
      </c>
    </row>
    <row r="158" spans="1:13" x14ac:dyDescent="0.2">
      <c r="A158" t="s">
        <v>1226</v>
      </c>
      <c r="B158">
        <v>2023</v>
      </c>
      <c r="C158">
        <v>281329.09999999998</v>
      </c>
      <c r="D158" t="str">
        <f t="shared" si="6"/>
        <v>Utah2023</v>
      </c>
      <c r="E158" t="s">
        <v>1226</v>
      </c>
      <c r="F158">
        <v>2021</v>
      </c>
      <c r="G158">
        <v>122299</v>
      </c>
      <c r="H158">
        <v>8.0589867288695688E-2</v>
      </c>
      <c r="I158" t="str">
        <f t="shared" si="7"/>
        <v>Utah2021</v>
      </c>
      <c r="M158" t="str">
        <f t="shared" si="8"/>
        <v/>
      </c>
    </row>
    <row r="159" spans="1:13" x14ac:dyDescent="0.2">
      <c r="A159" t="str">
        <f>+A158</f>
        <v>Utah</v>
      </c>
      <c r="B159">
        <v>2022</v>
      </c>
      <c r="C159">
        <v>261080.8</v>
      </c>
      <c r="D159" t="str">
        <f t="shared" si="6"/>
        <v>Utah2022</v>
      </c>
      <c r="E159" t="s">
        <v>1226</v>
      </c>
      <c r="F159">
        <v>2022</v>
      </c>
      <c r="G159">
        <v>126365</v>
      </c>
      <c r="H159">
        <v>3.3246387950841789E-2</v>
      </c>
      <c r="I159" t="str">
        <f t="shared" si="7"/>
        <v>Utah2022</v>
      </c>
      <c r="M159" t="str">
        <f t="shared" si="8"/>
        <v/>
      </c>
    </row>
    <row r="160" spans="1:13" x14ac:dyDescent="0.2">
      <c r="A160" t="str">
        <f>+A159</f>
        <v>Utah</v>
      </c>
      <c r="B160">
        <v>2021</v>
      </c>
      <c r="C160">
        <v>232561.9</v>
      </c>
      <c r="D160" t="str">
        <f t="shared" si="6"/>
        <v>Utah2021</v>
      </c>
      <c r="E160" t="s">
        <v>1226</v>
      </c>
      <c r="F160">
        <v>2023</v>
      </c>
      <c r="G160">
        <v>131024</v>
      </c>
      <c r="H160">
        <v>3.6869386301586676E-2</v>
      </c>
      <c r="I160" t="str">
        <f t="shared" si="7"/>
        <v>Utah2023</v>
      </c>
      <c r="M160" t="str">
        <f t="shared" si="8"/>
        <v/>
      </c>
    </row>
    <row r="161" spans="1:13" x14ac:dyDescent="0.2">
      <c r="A161" t="s">
        <v>1250</v>
      </c>
      <c r="B161">
        <v>2023</v>
      </c>
      <c r="C161">
        <v>43533.8</v>
      </c>
      <c r="D161" t="str">
        <f t="shared" si="6"/>
        <v>Vermont2023</v>
      </c>
      <c r="E161" t="s">
        <v>1250</v>
      </c>
      <c r="F161">
        <v>2021</v>
      </c>
      <c r="G161">
        <v>103476</v>
      </c>
      <c r="H161">
        <v>4.5560641425929853E-2</v>
      </c>
      <c r="I161" t="str">
        <f t="shared" si="7"/>
        <v>Vermont2021</v>
      </c>
      <c r="M161" t="str">
        <f t="shared" si="8"/>
        <v/>
      </c>
    </row>
    <row r="162" spans="1:13" x14ac:dyDescent="0.2">
      <c r="A162" t="str">
        <f>+A161</f>
        <v>Vermont</v>
      </c>
      <c r="B162">
        <v>2022</v>
      </c>
      <c r="C162">
        <v>41011.599999999999</v>
      </c>
      <c r="D162" t="str">
        <f t="shared" si="6"/>
        <v>Vermont2022</v>
      </c>
      <c r="E162" t="s">
        <v>1250</v>
      </c>
      <c r="F162">
        <v>2022</v>
      </c>
      <c r="G162">
        <v>106638</v>
      </c>
      <c r="H162">
        <v>3.0557810506784182E-2</v>
      </c>
      <c r="I162" t="str">
        <f t="shared" si="7"/>
        <v>Vermont2022</v>
      </c>
      <c r="M162" t="str">
        <f t="shared" si="8"/>
        <v/>
      </c>
    </row>
    <row r="163" spans="1:13" x14ac:dyDescent="0.2">
      <c r="A163" t="str">
        <f>+A162</f>
        <v>Vermont</v>
      </c>
      <c r="B163">
        <v>2021</v>
      </c>
      <c r="C163">
        <v>37438.800000000003</v>
      </c>
      <c r="D163" t="str">
        <f t="shared" si="6"/>
        <v>Vermont2021</v>
      </c>
      <c r="E163" t="s">
        <v>1250</v>
      </c>
      <c r="F163">
        <v>2023</v>
      </c>
      <c r="G163">
        <v>108123</v>
      </c>
      <c r="H163">
        <v>1.3925617509705734E-2</v>
      </c>
      <c r="I163" t="str">
        <f t="shared" si="7"/>
        <v>Vermont2023</v>
      </c>
      <c r="M163" t="str">
        <f t="shared" si="8"/>
        <v/>
      </c>
    </row>
    <row r="164" spans="1:13" x14ac:dyDescent="0.2">
      <c r="A164" t="s">
        <v>1276</v>
      </c>
      <c r="B164">
        <v>2023</v>
      </c>
      <c r="C164">
        <v>719896.9</v>
      </c>
      <c r="D164" t="str">
        <f t="shared" si="6"/>
        <v>Virginia2023</v>
      </c>
      <c r="E164" t="s">
        <v>1276</v>
      </c>
      <c r="F164">
        <v>2021</v>
      </c>
      <c r="G164">
        <v>109764</v>
      </c>
      <c r="H164">
        <v>5.7874497633940189E-2</v>
      </c>
      <c r="I164" t="str">
        <f t="shared" si="7"/>
        <v>Virginia2021</v>
      </c>
      <c r="M164" t="str">
        <f t="shared" si="8"/>
        <v/>
      </c>
    </row>
    <row r="165" spans="1:13" x14ac:dyDescent="0.2">
      <c r="A165" t="str">
        <f>+A164</f>
        <v>Virginia</v>
      </c>
      <c r="B165">
        <v>2022</v>
      </c>
      <c r="C165">
        <v>666681.80000000005</v>
      </c>
      <c r="D165" t="str">
        <f t="shared" si="6"/>
        <v>Virginia2022</v>
      </c>
      <c r="E165" t="s">
        <v>1276</v>
      </c>
      <c r="F165">
        <v>2022</v>
      </c>
      <c r="G165">
        <v>112677</v>
      </c>
      <c r="H165">
        <v>2.6538755876243578E-2</v>
      </c>
      <c r="I165" t="str">
        <f t="shared" si="7"/>
        <v>Virginia2022</v>
      </c>
      <c r="M165" t="str">
        <f t="shared" si="8"/>
        <v/>
      </c>
    </row>
    <row r="166" spans="1:13" x14ac:dyDescent="0.2">
      <c r="A166" t="str">
        <f>+A165</f>
        <v>Virginia</v>
      </c>
      <c r="B166">
        <v>2021</v>
      </c>
      <c r="C166">
        <v>615984.69999999995</v>
      </c>
      <c r="D166" t="str">
        <f t="shared" si="6"/>
        <v>Virginia2021</v>
      </c>
      <c r="E166" t="s">
        <v>1276</v>
      </c>
      <c r="F166">
        <v>2023</v>
      </c>
      <c r="G166">
        <v>116001</v>
      </c>
      <c r="H166">
        <v>2.9500252935381666E-2</v>
      </c>
      <c r="I166" t="str">
        <f t="shared" si="7"/>
        <v>Virginia2023</v>
      </c>
      <c r="M166" t="str">
        <f t="shared" si="8"/>
        <v/>
      </c>
    </row>
    <row r="167" spans="1:13" x14ac:dyDescent="0.2">
      <c r="A167" t="s">
        <v>1303</v>
      </c>
      <c r="B167">
        <v>2023</v>
      </c>
      <c r="C167">
        <v>807864.5</v>
      </c>
      <c r="D167" t="str">
        <f t="shared" si="6"/>
        <v>Washington2023</v>
      </c>
      <c r="E167" t="s">
        <v>1303</v>
      </c>
      <c r="F167">
        <v>2021</v>
      </c>
      <c r="G167">
        <v>119516</v>
      </c>
      <c r="H167">
        <v>6.9408280317468846E-2</v>
      </c>
      <c r="I167" t="str">
        <f t="shared" si="7"/>
        <v>Washington2021</v>
      </c>
      <c r="M167" t="str">
        <f t="shared" si="8"/>
        <v/>
      </c>
    </row>
    <row r="168" spans="1:13" x14ac:dyDescent="0.2">
      <c r="A168" t="str">
        <f>+A167</f>
        <v>Washington</v>
      </c>
      <c r="B168">
        <v>2022</v>
      </c>
      <c r="C168">
        <v>742909.5</v>
      </c>
      <c r="D168" t="str">
        <f t="shared" si="6"/>
        <v>Washington2022</v>
      </c>
      <c r="E168" t="s">
        <v>1303</v>
      </c>
      <c r="F168">
        <v>2022</v>
      </c>
      <c r="G168">
        <v>122176</v>
      </c>
      <c r="H168">
        <v>2.2256434284949295E-2</v>
      </c>
      <c r="I168" t="str">
        <f t="shared" si="7"/>
        <v>Washington2022</v>
      </c>
      <c r="M168" t="str">
        <f t="shared" si="8"/>
        <v/>
      </c>
    </row>
    <row r="169" spans="1:13" x14ac:dyDescent="0.2">
      <c r="A169" t="str">
        <f>+A168</f>
        <v>Washington</v>
      </c>
      <c r="B169">
        <v>2021</v>
      </c>
      <c r="C169">
        <v>687702.3</v>
      </c>
      <c r="D169" t="str">
        <f t="shared" si="6"/>
        <v>Washington2021</v>
      </c>
      <c r="E169" t="s">
        <v>1303</v>
      </c>
      <c r="F169">
        <v>2023</v>
      </c>
      <c r="G169">
        <v>128467</v>
      </c>
      <c r="H169">
        <v>5.1491291251964381E-2</v>
      </c>
      <c r="I169" t="str">
        <f t="shared" si="7"/>
        <v>Washington2023</v>
      </c>
      <c r="M169" t="str">
        <f t="shared" si="8"/>
        <v/>
      </c>
    </row>
    <row r="170" spans="1:13" x14ac:dyDescent="0.2">
      <c r="A170" t="s">
        <v>1323</v>
      </c>
      <c r="B170">
        <v>2023</v>
      </c>
      <c r="C170">
        <v>102151.8</v>
      </c>
      <c r="D170" t="str">
        <f t="shared" si="6"/>
        <v>West Virginia2023</v>
      </c>
      <c r="E170" t="s">
        <v>1323</v>
      </c>
      <c r="F170">
        <v>2021</v>
      </c>
      <c r="G170">
        <v>100788</v>
      </c>
      <c r="H170">
        <v>1.6243685531927766E-2</v>
      </c>
      <c r="I170" t="str">
        <f t="shared" si="7"/>
        <v>West Virginia2021</v>
      </c>
      <c r="M170" t="str">
        <f t="shared" si="8"/>
        <v/>
      </c>
    </row>
    <row r="171" spans="1:13" x14ac:dyDescent="0.2">
      <c r="A171" t="str">
        <f>+A170</f>
        <v>West Virginia</v>
      </c>
      <c r="B171">
        <v>2022</v>
      </c>
      <c r="C171">
        <v>98290</v>
      </c>
      <c r="D171" t="str">
        <f t="shared" si="6"/>
        <v>West Virginia2022</v>
      </c>
      <c r="E171" t="s">
        <v>1323</v>
      </c>
      <c r="F171">
        <v>2022</v>
      </c>
      <c r="G171">
        <v>102681</v>
      </c>
      <c r="H171">
        <v>1.8781997856887726E-2</v>
      </c>
      <c r="I171" t="str">
        <f t="shared" si="7"/>
        <v>West Virginia2022</v>
      </c>
      <c r="M171" t="str">
        <f t="shared" si="8"/>
        <v/>
      </c>
    </row>
    <row r="172" spans="1:13" x14ac:dyDescent="0.2">
      <c r="A172" t="str">
        <f>+A171</f>
        <v>West Virginia</v>
      </c>
      <c r="B172">
        <v>2021</v>
      </c>
      <c r="C172">
        <v>86550.5</v>
      </c>
      <c r="D172" t="str">
        <f t="shared" si="6"/>
        <v>West Virginia2021</v>
      </c>
      <c r="E172" t="s">
        <v>1323</v>
      </c>
      <c r="F172">
        <v>2023</v>
      </c>
      <c r="G172">
        <v>107484</v>
      </c>
      <c r="H172">
        <v>4.6775937125661027E-2</v>
      </c>
      <c r="I172" t="str">
        <f t="shared" si="7"/>
        <v>West Virginia2023</v>
      </c>
      <c r="M172" t="str">
        <f t="shared" si="8"/>
        <v/>
      </c>
    </row>
    <row r="173" spans="1:13" x14ac:dyDescent="0.2">
      <c r="A173" t="s">
        <v>1343</v>
      </c>
      <c r="B173">
        <v>2023</v>
      </c>
      <c r="C173">
        <v>428447.1</v>
      </c>
      <c r="D173" t="str">
        <f t="shared" si="6"/>
        <v>Wisconsin2023</v>
      </c>
      <c r="E173" t="s">
        <v>1343</v>
      </c>
      <c r="F173">
        <v>2021</v>
      </c>
      <c r="G173">
        <v>103923</v>
      </c>
      <c r="H173">
        <v>3.7352392170171986E-2</v>
      </c>
      <c r="I173" t="str">
        <f t="shared" si="7"/>
        <v>Wisconsin2021</v>
      </c>
      <c r="M173" t="str">
        <f t="shared" si="8"/>
        <v/>
      </c>
    </row>
    <row r="174" spans="1:13" x14ac:dyDescent="0.2">
      <c r="A174" t="str">
        <f>+A173</f>
        <v>Wisconsin</v>
      </c>
      <c r="B174">
        <v>2022</v>
      </c>
      <c r="C174">
        <v>400621.4</v>
      </c>
      <c r="D174" t="str">
        <f t="shared" si="6"/>
        <v>Wisconsin2022</v>
      </c>
      <c r="E174" t="s">
        <v>1343</v>
      </c>
      <c r="F174">
        <v>2022</v>
      </c>
      <c r="G174">
        <v>105549</v>
      </c>
      <c r="H174">
        <v>1.5646199590081119E-2</v>
      </c>
      <c r="I174" t="str">
        <f t="shared" si="7"/>
        <v>Wisconsin2022</v>
      </c>
      <c r="M174" t="str">
        <f t="shared" si="8"/>
        <v/>
      </c>
    </row>
    <row r="175" spans="1:13" x14ac:dyDescent="0.2">
      <c r="A175" t="str">
        <f>+A174</f>
        <v>Wisconsin</v>
      </c>
      <c r="B175">
        <v>2021</v>
      </c>
      <c r="C175">
        <v>368880.4</v>
      </c>
      <c r="D175" t="str">
        <f t="shared" si="6"/>
        <v>Wisconsin2021</v>
      </c>
      <c r="E175" t="s">
        <v>1343</v>
      </c>
      <c r="F175">
        <v>2023</v>
      </c>
      <c r="G175">
        <v>107047</v>
      </c>
      <c r="H175">
        <v>1.4192460373854797E-2</v>
      </c>
      <c r="I175" t="str">
        <f t="shared" si="7"/>
        <v>Wisconsin2023</v>
      </c>
      <c r="M175" t="str">
        <f t="shared" si="8"/>
        <v/>
      </c>
    </row>
    <row r="176" spans="1:13" x14ac:dyDescent="0.2">
      <c r="A176" t="s">
        <v>1360</v>
      </c>
      <c r="B176">
        <v>2023</v>
      </c>
      <c r="C176">
        <v>51990.5</v>
      </c>
      <c r="D176" t="str">
        <f t="shared" si="6"/>
        <v>Wyoming2023</v>
      </c>
      <c r="E176" t="s">
        <v>1360</v>
      </c>
      <c r="F176">
        <v>2021</v>
      </c>
      <c r="G176">
        <v>98702</v>
      </c>
      <c r="H176">
        <v>2.5795053003533568E-2</v>
      </c>
      <c r="I176" t="str">
        <f t="shared" si="7"/>
        <v>Wyoming2021</v>
      </c>
      <c r="M176" t="str">
        <f t="shared" si="8"/>
        <v/>
      </c>
    </row>
    <row r="177" spans="1:13" x14ac:dyDescent="0.2">
      <c r="A177" t="str">
        <f>+A176</f>
        <v>Wyoming</v>
      </c>
      <c r="B177">
        <v>2022</v>
      </c>
      <c r="C177">
        <v>49782.6</v>
      </c>
      <c r="D177" t="str">
        <f t="shared" si="6"/>
        <v>Wyoming2022</v>
      </c>
      <c r="E177" t="s">
        <v>1360</v>
      </c>
      <c r="F177">
        <v>2022</v>
      </c>
      <c r="G177">
        <v>100550</v>
      </c>
      <c r="H177">
        <v>1.8723024862718082E-2</v>
      </c>
      <c r="I177" t="str">
        <f t="shared" si="7"/>
        <v>Wyoming2022</v>
      </c>
      <c r="M177" t="str">
        <f t="shared" si="8"/>
        <v/>
      </c>
    </row>
    <row r="178" spans="1:13" x14ac:dyDescent="0.2">
      <c r="A178" t="str">
        <f>+A177</f>
        <v>Wyoming</v>
      </c>
      <c r="B178">
        <v>2021</v>
      </c>
      <c r="C178">
        <v>42319.1</v>
      </c>
      <c r="D178" t="str">
        <f t="shared" si="6"/>
        <v>Wyoming2021</v>
      </c>
      <c r="E178" t="s">
        <v>1360</v>
      </c>
      <c r="F178">
        <v>2023</v>
      </c>
      <c r="G178">
        <v>106886</v>
      </c>
      <c r="H178">
        <v>6.3013426156141222E-2</v>
      </c>
      <c r="I178" t="str">
        <f t="shared" si="7"/>
        <v>Wyoming2023</v>
      </c>
      <c r="M178" t="str">
        <f t="shared" si="8"/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Hoja1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 Braga</dc:creator>
  <cp:lastModifiedBy>Federico Lopez</cp:lastModifiedBy>
  <dcterms:created xsi:type="dcterms:W3CDTF">2024-12-03T12:42:35Z</dcterms:created>
  <dcterms:modified xsi:type="dcterms:W3CDTF">2024-12-15T22:14:30Z</dcterms:modified>
</cp:coreProperties>
</file>